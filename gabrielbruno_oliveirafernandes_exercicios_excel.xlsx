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181C74AE-AA49-41C4-B877-BF858745781E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Ex.excel01" sheetId="1" r:id="rId1"/>
    <sheet name="Ex.excel02" sheetId="2" r:id="rId2"/>
    <sheet name="Ex.excel03" sheetId="3" r:id="rId3"/>
    <sheet name="Ex.excel04" sheetId="4" r:id="rId4"/>
    <sheet name="Base_Limpa" sheetId="5" r:id="rId5"/>
    <sheet name="Registro_Limpeza" sheetId="6" r:id="rId6"/>
    <sheet name="Base_Dirty" sheetId="7" r:id="rId7"/>
  </sheets>
  <definedNames>
    <definedName name="_xlnm._FilterDatabase" localSheetId="4" hidden="1">Base_Limpa!$U$1:$U$326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3" i="3"/>
  <c r="L2" i="5" a="1"/>
  <c r="L2" i="5"/>
  <c r="L3" i="5" a="1"/>
  <c r="L3" i="5"/>
  <c r="L4" i="5" a="1"/>
  <c r="L4" i="5"/>
  <c r="L5" i="5" a="1"/>
  <c r="L5" i="5"/>
  <c r="L6" i="5" a="1"/>
  <c r="L6" i="5"/>
  <c r="L7" i="5" a="1"/>
  <c r="L7" i="5"/>
  <c r="L8" i="5" a="1"/>
  <c r="L8" i="5"/>
  <c r="L9" i="5" a="1"/>
  <c r="L9" i="5"/>
  <c r="L10" i="5" a="1"/>
  <c r="L10" i="5"/>
  <c r="L11" i="5" a="1"/>
  <c r="L11" i="5"/>
  <c r="L12" i="5" a="1"/>
  <c r="L12" i="5"/>
  <c r="L13" i="5" a="1"/>
  <c r="L13" i="5"/>
  <c r="L14" i="5" a="1"/>
  <c r="L14" i="5"/>
  <c r="L15" i="5" a="1"/>
  <c r="L15" i="5"/>
  <c r="L16" i="5" a="1"/>
  <c r="L16" i="5"/>
  <c r="L17" i="5" a="1"/>
  <c r="L17" i="5"/>
  <c r="L18" i="5" a="1"/>
  <c r="L18" i="5"/>
  <c r="L19" i="5" a="1"/>
  <c r="L19" i="5"/>
  <c r="L20" i="5" a="1"/>
  <c r="L20" i="5"/>
  <c r="L21" i="5" a="1"/>
  <c r="L21" i="5"/>
  <c r="L22" i="5" a="1"/>
  <c r="L22" i="5"/>
  <c r="L23" i="5" a="1"/>
  <c r="L23" i="5"/>
  <c r="L24" i="5" a="1"/>
  <c r="L24" i="5"/>
  <c r="L25" i="5" a="1"/>
  <c r="L25" i="5"/>
  <c r="L26" i="5" a="1"/>
  <c r="L26" i="5"/>
  <c r="L27" i="5" a="1"/>
  <c r="L27" i="5"/>
  <c r="L28" i="5" a="1"/>
  <c r="L28" i="5"/>
  <c r="L29" i="5" a="1"/>
  <c r="L29" i="5"/>
  <c r="L30" i="5" a="1"/>
  <c r="L30" i="5"/>
  <c r="L31" i="5" a="1"/>
  <c r="L31" i="5"/>
  <c r="L32" i="5" a="1"/>
  <c r="L32" i="5"/>
  <c r="L33" i="5" a="1"/>
  <c r="L33" i="5"/>
  <c r="L34" i="5" a="1"/>
  <c r="L34" i="5"/>
  <c r="L35" i="5" a="1"/>
  <c r="L35" i="5"/>
  <c r="L36" i="5" a="1"/>
  <c r="L36" i="5"/>
  <c r="L37" i="5" a="1"/>
  <c r="L37" i="5"/>
  <c r="L38" i="5" a="1"/>
  <c r="L38" i="5"/>
  <c r="L39" i="5" a="1"/>
  <c r="L39" i="5"/>
  <c r="L40" i="5" a="1"/>
  <c r="L40" i="5"/>
  <c r="L41" i="5" a="1"/>
  <c r="L41" i="5"/>
  <c r="L42" i="5" a="1"/>
  <c r="L42" i="5"/>
  <c r="L43" i="5" a="1"/>
  <c r="L43" i="5"/>
  <c r="L44" i="5" a="1"/>
  <c r="L44" i="5"/>
  <c r="L45" i="5" a="1"/>
  <c r="L45" i="5"/>
  <c r="L46" i="5" a="1"/>
  <c r="L46" i="5"/>
  <c r="L47" i="5" a="1"/>
  <c r="L47" i="5"/>
  <c r="L48" i="5" a="1"/>
  <c r="L48" i="5"/>
  <c r="L49" i="5" a="1"/>
  <c r="L49" i="5"/>
  <c r="L50" i="5" a="1"/>
  <c r="L50" i="5"/>
  <c r="L51" i="5" a="1"/>
  <c r="L51" i="5"/>
  <c r="L52" i="5" a="1"/>
  <c r="L52" i="5"/>
  <c r="L53" i="5" a="1"/>
  <c r="L53" i="5"/>
  <c r="L54" i="5" a="1"/>
  <c r="L54" i="5"/>
  <c r="L55" i="5" a="1"/>
  <c r="L55" i="5"/>
  <c r="L56" i="5" a="1"/>
  <c r="L56" i="5"/>
  <c r="L57" i="5" a="1"/>
  <c r="L57" i="5"/>
  <c r="L58" i="5" a="1"/>
  <c r="L58" i="5"/>
  <c r="L59" i="5" a="1"/>
  <c r="L59" i="5"/>
  <c r="L60" i="5" a="1"/>
  <c r="L60" i="5"/>
  <c r="L61" i="5" a="1"/>
  <c r="L61" i="5"/>
  <c r="L62" i="5" a="1"/>
  <c r="L62" i="5"/>
  <c r="L63" i="5" a="1"/>
  <c r="L63" i="5"/>
  <c r="L64" i="5" a="1"/>
  <c r="L64" i="5"/>
  <c r="L65" i="5" a="1"/>
  <c r="L65" i="5"/>
  <c r="L66" i="5" a="1"/>
  <c r="L66" i="5"/>
  <c r="L67" i="5" a="1"/>
  <c r="L67" i="5"/>
  <c r="L68" i="5" a="1"/>
  <c r="L68" i="5"/>
  <c r="L69" i="5" a="1"/>
  <c r="L69" i="5"/>
  <c r="L70" i="5" a="1"/>
  <c r="L70" i="5"/>
  <c r="L71" i="5" a="1"/>
  <c r="L71" i="5"/>
  <c r="L72" i="5" a="1"/>
  <c r="L72" i="5"/>
  <c r="L73" i="5" a="1"/>
  <c r="L73" i="5"/>
  <c r="L74" i="5" a="1"/>
  <c r="L74" i="5"/>
  <c r="L75" i="5" a="1"/>
  <c r="L75" i="5"/>
  <c r="L76" i="5" a="1"/>
  <c r="L76" i="5"/>
  <c r="L77" i="5" a="1"/>
  <c r="L77" i="5"/>
  <c r="L78" i="5" a="1"/>
  <c r="L78" i="5"/>
  <c r="L79" i="5" a="1"/>
  <c r="L79" i="5"/>
  <c r="L80" i="5" a="1"/>
  <c r="L80" i="5"/>
  <c r="L81" i="5" a="1"/>
  <c r="L81" i="5"/>
  <c r="L82" i="5" a="1"/>
  <c r="L82" i="5"/>
  <c r="L83" i="5" a="1"/>
  <c r="L83" i="5"/>
  <c r="L84" i="5" a="1"/>
  <c r="L84" i="5"/>
  <c r="L85" i="5" a="1"/>
  <c r="L85" i="5"/>
  <c r="L86" i="5" a="1"/>
  <c r="L86" i="5"/>
  <c r="L87" i="5" a="1"/>
  <c r="L87" i="5"/>
  <c r="L88" i="5" a="1"/>
  <c r="L88" i="5"/>
  <c r="L89" i="5" a="1"/>
  <c r="L89" i="5"/>
  <c r="L90" i="5" a="1"/>
  <c r="L90" i="5"/>
  <c r="L91" i="5" a="1"/>
  <c r="L91" i="5"/>
  <c r="L92" i="5" a="1"/>
  <c r="L92" i="5"/>
  <c r="L93" i="5" a="1"/>
  <c r="L93" i="5"/>
  <c r="L94" i="5" a="1"/>
  <c r="L94" i="5"/>
  <c r="L95" i="5" a="1"/>
  <c r="L95" i="5"/>
  <c r="L96" i="5" a="1"/>
  <c r="L96" i="5"/>
  <c r="L97" i="5" a="1"/>
  <c r="L97" i="5"/>
  <c r="L98" i="5" a="1"/>
  <c r="L98" i="5"/>
  <c r="L99" i="5" a="1"/>
  <c r="L99" i="5"/>
  <c r="L100" i="5" a="1"/>
  <c r="L100" i="5"/>
  <c r="L101" i="5" a="1"/>
  <c r="L101" i="5"/>
  <c r="L102" i="5" a="1"/>
  <c r="L102" i="5"/>
  <c r="L103" i="5" a="1"/>
  <c r="L103" i="5"/>
  <c r="L104" i="5" a="1"/>
  <c r="L104" i="5"/>
  <c r="L105" i="5" a="1"/>
  <c r="L105" i="5"/>
  <c r="L106" i="5" a="1"/>
  <c r="L106" i="5"/>
  <c r="L107" i="5" a="1"/>
  <c r="L107" i="5"/>
  <c r="L108" i="5" a="1"/>
  <c r="L108" i="5"/>
  <c r="L109" i="5" a="1"/>
  <c r="L109" i="5"/>
  <c r="L110" i="5" a="1"/>
  <c r="L110" i="5"/>
  <c r="L111" i="5" a="1"/>
  <c r="L111" i="5"/>
  <c r="L112" i="5" a="1"/>
  <c r="L112" i="5"/>
  <c r="L113" i="5" a="1"/>
  <c r="L113" i="5"/>
  <c r="L114" i="5" a="1"/>
  <c r="L114" i="5"/>
  <c r="L115" i="5" a="1"/>
  <c r="L115" i="5"/>
  <c r="L116" i="5" a="1"/>
  <c r="L116" i="5"/>
  <c r="L117" i="5" a="1"/>
  <c r="L117" i="5"/>
  <c r="L118" i="5" a="1"/>
  <c r="L118" i="5"/>
  <c r="L119" i="5" a="1"/>
  <c r="L119" i="5"/>
  <c r="L120" i="5" a="1"/>
  <c r="L120" i="5"/>
  <c r="L121" i="5" a="1"/>
  <c r="L121" i="5"/>
  <c r="L122" i="5" a="1"/>
  <c r="L122" i="5"/>
  <c r="L123" i="5" a="1"/>
  <c r="L123" i="5"/>
  <c r="L124" i="5" a="1"/>
  <c r="L124" i="5"/>
  <c r="L125" i="5" a="1"/>
  <c r="L125" i="5"/>
  <c r="L126" i="5" a="1"/>
  <c r="L126" i="5"/>
  <c r="L127" i="5" a="1"/>
  <c r="L127" i="5"/>
  <c r="L128" i="5" a="1"/>
  <c r="L128" i="5"/>
  <c r="L129" i="5" a="1"/>
  <c r="L129" i="5"/>
  <c r="L130" i="5" a="1"/>
  <c r="L130" i="5"/>
  <c r="L131" i="5" a="1"/>
  <c r="L131" i="5"/>
  <c r="L132" i="5" a="1"/>
  <c r="L132" i="5"/>
  <c r="L133" i="5" a="1"/>
  <c r="L133" i="5"/>
  <c r="L134" i="5" a="1"/>
  <c r="L134" i="5"/>
  <c r="L135" i="5" a="1"/>
  <c r="L135" i="5"/>
  <c r="L136" i="5" a="1"/>
  <c r="L136" i="5"/>
  <c r="L137" i="5" a="1"/>
  <c r="L137" i="5"/>
  <c r="L138" i="5" a="1"/>
  <c r="L138" i="5"/>
  <c r="L139" i="5" a="1"/>
  <c r="L139" i="5"/>
  <c r="L140" i="5" a="1"/>
  <c r="L140" i="5"/>
  <c r="L141" i="5" a="1"/>
  <c r="L141" i="5"/>
  <c r="L142" i="5" a="1"/>
  <c r="L142" i="5"/>
  <c r="L143" i="5" a="1"/>
  <c r="L143" i="5"/>
  <c r="L144" i="5" a="1"/>
  <c r="L144" i="5"/>
  <c r="L145" i="5" a="1"/>
  <c r="L145" i="5"/>
  <c r="L146" i="5" a="1"/>
  <c r="L146" i="5"/>
  <c r="L147" i="5" a="1"/>
  <c r="L147" i="5"/>
  <c r="L148" i="5" a="1"/>
  <c r="L148" i="5"/>
  <c r="L149" i="5" a="1"/>
  <c r="L149" i="5"/>
  <c r="L150" i="5" a="1"/>
  <c r="L150" i="5"/>
  <c r="L151" i="5" a="1"/>
  <c r="L151" i="5"/>
  <c r="L152" i="5" a="1"/>
  <c r="L152" i="5"/>
  <c r="L153" i="5" a="1"/>
  <c r="L153" i="5"/>
  <c r="L154" i="5" a="1"/>
  <c r="L154" i="5"/>
  <c r="L155" i="5" a="1"/>
  <c r="L155" i="5"/>
  <c r="L156" i="5" a="1"/>
  <c r="L156" i="5"/>
  <c r="L157" i="5" a="1"/>
  <c r="L157" i="5"/>
  <c r="L158" i="5" a="1"/>
  <c r="L158" i="5"/>
  <c r="L159" i="5" a="1"/>
  <c r="L159" i="5"/>
  <c r="L160" i="5" a="1"/>
  <c r="L160" i="5"/>
  <c r="L161" i="5" a="1"/>
  <c r="L161" i="5"/>
  <c r="L162" i="5" a="1"/>
  <c r="L162" i="5"/>
  <c r="L163" i="5" a="1"/>
  <c r="L163" i="5"/>
  <c r="L164" i="5" a="1"/>
  <c r="L164" i="5"/>
  <c r="L165" i="5" a="1"/>
  <c r="L165" i="5"/>
  <c r="L166" i="5" a="1"/>
  <c r="L166" i="5"/>
  <c r="L167" i="5" a="1"/>
  <c r="L167" i="5"/>
  <c r="L168" i="5" a="1"/>
  <c r="L168" i="5"/>
  <c r="L169" i="5" a="1"/>
  <c r="L169" i="5"/>
  <c r="L170" i="5" a="1"/>
  <c r="L170" i="5"/>
  <c r="L171" i="5" a="1"/>
  <c r="L171" i="5"/>
  <c r="L172" i="5" a="1"/>
  <c r="L172" i="5"/>
  <c r="L173" i="5" a="1"/>
  <c r="L173" i="5"/>
  <c r="L174" i="5" a="1"/>
  <c r="L174" i="5"/>
  <c r="L175" i="5" a="1"/>
  <c r="L175" i="5"/>
  <c r="L176" i="5" a="1"/>
  <c r="L176" i="5"/>
  <c r="L177" i="5" a="1"/>
  <c r="L177" i="5"/>
  <c r="L178" i="5" a="1"/>
  <c r="L178" i="5"/>
  <c r="L179" i="5" a="1"/>
  <c r="L179" i="5"/>
  <c r="L180" i="5" a="1"/>
  <c r="L180" i="5"/>
  <c r="L181" i="5" a="1"/>
  <c r="L181" i="5"/>
  <c r="L182" i="5" a="1"/>
  <c r="L182" i="5"/>
  <c r="L183" i="5" a="1"/>
  <c r="L183" i="5"/>
  <c r="L184" i="5" a="1"/>
  <c r="L184" i="5"/>
  <c r="L185" i="5" a="1"/>
  <c r="L185" i="5"/>
  <c r="L186" i="5" a="1"/>
  <c r="L186" i="5"/>
  <c r="L187" i="5" a="1"/>
  <c r="L187" i="5"/>
  <c r="L188" i="5" a="1"/>
  <c r="L188" i="5"/>
  <c r="L189" i="5" a="1"/>
  <c r="L189" i="5"/>
  <c r="L190" i="5" a="1"/>
  <c r="L190" i="5"/>
  <c r="L191" i="5" a="1"/>
  <c r="L191" i="5"/>
  <c r="L192" i="5" a="1"/>
  <c r="L192" i="5"/>
  <c r="L193" i="5" a="1"/>
  <c r="L193" i="5"/>
  <c r="L194" i="5" a="1"/>
  <c r="L194" i="5"/>
  <c r="L195" i="5" a="1"/>
  <c r="L195" i="5"/>
  <c r="L196" i="5" a="1"/>
  <c r="L196" i="5"/>
  <c r="L197" i="5" a="1"/>
  <c r="L197" i="5"/>
  <c r="L198" i="5" a="1"/>
  <c r="L198" i="5"/>
  <c r="L199" i="5" a="1"/>
  <c r="L199" i="5"/>
  <c r="L200" i="5" a="1"/>
  <c r="L200" i="5"/>
  <c r="L201" i="5" a="1"/>
  <c r="L201" i="5"/>
  <c r="L202" i="5" a="1"/>
  <c r="L202" i="5"/>
  <c r="L203" i="5" a="1"/>
  <c r="L203" i="5"/>
  <c r="L204" i="5" a="1"/>
  <c r="L204" i="5"/>
  <c r="L205" i="5" a="1"/>
  <c r="L205" i="5"/>
  <c r="L206" i="5" a="1"/>
  <c r="L206" i="5"/>
  <c r="L207" i="5" a="1"/>
  <c r="L207" i="5"/>
  <c r="L208" i="5" a="1"/>
  <c r="L208" i="5"/>
  <c r="L209" i="5" a="1"/>
  <c r="L209" i="5"/>
  <c r="L210" i="5" a="1"/>
  <c r="L210" i="5"/>
  <c r="L211" i="5" a="1"/>
  <c r="L211" i="5"/>
  <c r="L212" i="5" a="1"/>
  <c r="L212" i="5"/>
  <c r="L213" i="5" a="1"/>
  <c r="L213" i="5"/>
  <c r="L214" i="5" a="1"/>
  <c r="L214" i="5"/>
  <c r="L215" i="5" a="1"/>
  <c r="L215" i="5"/>
  <c r="L216" i="5" a="1"/>
  <c r="L216" i="5"/>
  <c r="L217" i="5" a="1"/>
  <c r="L217" i="5"/>
  <c r="L218" i="5" a="1"/>
  <c r="L218" i="5"/>
  <c r="L219" i="5" a="1"/>
  <c r="L219" i="5"/>
  <c r="L220" i="5" a="1"/>
  <c r="L220" i="5"/>
  <c r="L221" i="5" a="1"/>
  <c r="L221" i="5"/>
  <c r="L222" i="5" a="1"/>
  <c r="L222" i="5"/>
  <c r="L223" i="5" a="1"/>
  <c r="L223" i="5"/>
  <c r="L224" i="5" a="1"/>
  <c r="L224" i="5"/>
  <c r="L225" i="5" a="1"/>
  <c r="L225" i="5"/>
  <c r="L226" i="5" a="1"/>
  <c r="L226" i="5"/>
  <c r="L227" i="5" a="1"/>
  <c r="L227" i="5"/>
  <c r="L228" i="5" a="1"/>
  <c r="L228" i="5"/>
  <c r="L229" i="5" a="1"/>
  <c r="L229" i="5"/>
  <c r="L230" i="5" a="1"/>
  <c r="L230" i="5"/>
  <c r="L231" i="5" a="1"/>
  <c r="L231" i="5"/>
  <c r="L232" i="5" a="1"/>
  <c r="L232" i="5"/>
  <c r="L233" i="5" a="1"/>
  <c r="L233" i="5"/>
  <c r="L234" i="5" a="1"/>
  <c r="L234" i="5"/>
  <c r="L235" i="5" a="1"/>
  <c r="L235" i="5"/>
  <c r="L236" i="5" a="1"/>
  <c r="L236" i="5"/>
  <c r="L237" i="5" a="1"/>
  <c r="L237" i="5"/>
  <c r="L238" i="5" a="1"/>
  <c r="L238" i="5"/>
  <c r="L239" i="5" a="1"/>
  <c r="L239" i="5"/>
  <c r="L240" i="5" a="1"/>
  <c r="L240" i="5"/>
  <c r="L241" i="5" a="1"/>
  <c r="L241" i="5"/>
  <c r="L242" i="5" a="1"/>
  <c r="L242" i="5"/>
  <c r="L243" i="5" a="1"/>
  <c r="L243" i="5"/>
  <c r="L244" i="5" a="1"/>
  <c r="L244" i="5"/>
  <c r="L245" i="5" a="1"/>
  <c r="L245" i="5"/>
  <c r="L246" i="5" a="1"/>
  <c r="L246" i="5"/>
  <c r="L247" i="5" a="1"/>
  <c r="L247" i="5"/>
  <c r="L248" i="5" a="1"/>
  <c r="L248" i="5"/>
  <c r="L249" i="5" a="1"/>
  <c r="L249" i="5"/>
  <c r="L250" i="5" a="1"/>
  <c r="L250" i="5"/>
  <c r="L251" i="5" a="1"/>
  <c r="L251" i="5"/>
  <c r="L252" i="5" a="1"/>
  <c r="L252" i="5"/>
  <c r="L253" i="5" a="1"/>
  <c r="L253" i="5"/>
  <c r="L254" i="5" a="1"/>
  <c r="L254" i="5"/>
  <c r="L255" i="5" a="1"/>
  <c r="L255" i="5"/>
  <c r="L256" i="5" a="1"/>
  <c r="L256" i="5"/>
  <c r="L257" i="5" a="1"/>
  <c r="L257" i="5"/>
  <c r="L258" i="5" a="1"/>
  <c r="L258" i="5"/>
  <c r="L259" i="5" a="1"/>
  <c r="L259" i="5"/>
  <c r="L260" i="5" a="1"/>
  <c r="L260" i="5"/>
  <c r="L261" i="5" a="1"/>
  <c r="L261" i="5"/>
  <c r="L262" i="5" a="1"/>
  <c r="L262" i="5"/>
  <c r="L263" i="5" a="1"/>
  <c r="L263" i="5"/>
  <c r="L264" i="5" a="1"/>
  <c r="L264" i="5"/>
  <c r="L265" i="5" a="1"/>
  <c r="L265" i="5"/>
  <c r="L266" i="5" a="1"/>
  <c r="L266" i="5"/>
  <c r="L267" i="5" a="1"/>
  <c r="L267" i="5"/>
  <c r="L268" i="5" a="1"/>
  <c r="L268" i="5"/>
  <c r="L269" i="5" a="1"/>
  <c r="L269" i="5"/>
  <c r="L270" i="5" a="1"/>
  <c r="L270" i="5"/>
  <c r="L271" i="5" a="1"/>
  <c r="L271" i="5"/>
  <c r="L272" i="5" a="1"/>
  <c r="L272" i="5"/>
  <c r="L273" i="5" a="1"/>
  <c r="L273" i="5"/>
  <c r="L274" i="5" a="1"/>
  <c r="L274" i="5"/>
  <c r="L275" i="5" a="1"/>
  <c r="L275" i="5"/>
  <c r="L276" i="5" a="1"/>
  <c r="L276" i="5"/>
  <c r="L277" i="5" a="1"/>
  <c r="L277" i="5"/>
  <c r="L278" i="5" a="1"/>
  <c r="L278" i="5"/>
  <c r="L279" i="5" a="1"/>
  <c r="L279" i="5"/>
  <c r="L280" i="5" a="1"/>
  <c r="L280" i="5"/>
  <c r="L281" i="5" a="1"/>
  <c r="L281" i="5"/>
  <c r="L282" i="5" a="1"/>
  <c r="L282" i="5"/>
  <c r="L283" i="5" a="1"/>
  <c r="L283" i="5"/>
  <c r="L284" i="5" a="1"/>
  <c r="L284" i="5"/>
  <c r="L285" i="5" a="1"/>
  <c r="L285" i="5"/>
  <c r="L286" i="5" a="1"/>
  <c r="L286" i="5"/>
  <c r="L287" i="5" a="1"/>
  <c r="L287" i="5"/>
  <c r="L288" i="5" a="1"/>
  <c r="L288" i="5"/>
  <c r="L289" i="5" a="1"/>
  <c r="L289" i="5"/>
  <c r="L290" i="5" a="1"/>
  <c r="L290" i="5"/>
  <c r="L291" i="5" a="1"/>
  <c r="L291" i="5"/>
  <c r="L292" i="5" a="1"/>
  <c r="L292" i="5"/>
  <c r="L293" i="5" a="1"/>
  <c r="L293" i="5"/>
  <c r="L294" i="5" a="1"/>
  <c r="L294" i="5"/>
  <c r="L295" i="5" a="1"/>
  <c r="L295" i="5"/>
  <c r="L296" i="5" a="1"/>
  <c r="L296" i="5"/>
  <c r="L297" i="5" a="1"/>
  <c r="L297" i="5"/>
  <c r="L298" i="5" a="1"/>
  <c r="L298" i="5"/>
  <c r="L299" i="5" a="1"/>
  <c r="L299" i="5"/>
  <c r="L300" i="5" a="1"/>
  <c r="L300" i="5"/>
  <c r="L301" i="5" a="1"/>
  <c r="L301" i="5"/>
  <c r="L302" i="5" a="1"/>
  <c r="L302" i="5"/>
  <c r="L303" i="5" a="1"/>
  <c r="L303" i="5"/>
  <c r="L304" i="5" a="1"/>
  <c r="L304" i="5"/>
  <c r="L305" i="5" a="1"/>
  <c r="L305" i="5"/>
  <c r="L306" i="5" a="1"/>
  <c r="L306" i="5"/>
  <c r="L307" i="5" a="1"/>
  <c r="L307" i="5"/>
  <c r="L308" i="5" a="1"/>
  <c r="L308" i="5"/>
  <c r="L309" i="5" a="1"/>
  <c r="L309" i="5"/>
  <c r="L310" i="5" a="1"/>
  <c r="L310" i="5"/>
  <c r="L311" i="5" a="1"/>
  <c r="L311" i="5"/>
  <c r="L312" i="5" a="1"/>
  <c r="L312" i="5"/>
  <c r="L313" i="5" a="1"/>
  <c r="L313" i="5"/>
  <c r="L314" i="5" a="1"/>
  <c r="L314" i="5"/>
  <c r="L315" i="5" a="1"/>
  <c r="L315" i="5"/>
  <c r="L316" i="5" a="1"/>
  <c r="L316" i="5"/>
  <c r="L317" i="5" a="1"/>
  <c r="L317" i="5"/>
  <c r="L318" i="5" a="1"/>
  <c r="L318" i="5"/>
  <c r="L319" i="5" a="1"/>
  <c r="L319" i="5"/>
  <c r="L320" i="5" a="1"/>
  <c r="L320" i="5"/>
  <c r="L321" i="5" a="1"/>
  <c r="L321" i="5"/>
  <c r="L322" i="5" a="1"/>
  <c r="L322" i="5"/>
  <c r="L323" i="5" a="1"/>
  <c r="L323" i="5"/>
  <c r="L324" i="5" a="1"/>
  <c r="L324" i="5"/>
  <c r="L325" i="5" a="1"/>
  <c r="L325" i="5"/>
  <c r="L326" i="5" a="1"/>
  <c r="L326" i="5"/>
  <c r="L2" i="6"/>
  <c r="P251" i="5"/>
  <c r="V251" i="5"/>
  <c r="J3" i="5" a="1"/>
  <c r="J3" i="5"/>
  <c r="J4" i="5" a="1"/>
  <c r="J4" i="5"/>
  <c r="J5" i="5" a="1"/>
  <c r="J5" i="5"/>
  <c r="J6" i="5" a="1"/>
  <c r="J6" i="5"/>
  <c r="J7" i="5" a="1"/>
  <c r="J7" i="5"/>
  <c r="J8" i="5" a="1"/>
  <c r="J8" i="5"/>
  <c r="J9" i="5" a="1"/>
  <c r="J9" i="5"/>
  <c r="J10" i="5" a="1"/>
  <c r="J10" i="5"/>
  <c r="J11" i="5" a="1"/>
  <c r="J11" i="5"/>
  <c r="J12" i="5" a="1"/>
  <c r="J12" i="5"/>
  <c r="J13" i="5" a="1"/>
  <c r="J13" i="5"/>
  <c r="J14" i="5" a="1"/>
  <c r="J14" i="5"/>
  <c r="J15" i="5" a="1"/>
  <c r="J15" i="5"/>
  <c r="J16" i="5" a="1"/>
  <c r="J16" i="5"/>
  <c r="J17" i="5" a="1"/>
  <c r="J17" i="5"/>
  <c r="J18" i="5" a="1"/>
  <c r="J18" i="5"/>
  <c r="J19" i="5" a="1"/>
  <c r="J19" i="5"/>
  <c r="J20" i="5" a="1"/>
  <c r="J20" i="5"/>
  <c r="J21" i="5" a="1"/>
  <c r="J21" i="5"/>
  <c r="J22" i="5" a="1"/>
  <c r="J22" i="5"/>
  <c r="J23" i="5" a="1"/>
  <c r="J23" i="5"/>
  <c r="J24" i="5" a="1"/>
  <c r="J24" i="5"/>
  <c r="J25" i="5" a="1"/>
  <c r="J25" i="5"/>
  <c r="J26" i="5" a="1"/>
  <c r="J26" i="5"/>
  <c r="J27" i="5" a="1"/>
  <c r="J27" i="5"/>
  <c r="J28" i="5" a="1"/>
  <c r="J28" i="5"/>
  <c r="J29" i="5" a="1"/>
  <c r="J29" i="5"/>
  <c r="J30" i="5" a="1"/>
  <c r="J30" i="5"/>
  <c r="J31" i="5" a="1"/>
  <c r="J31" i="5"/>
  <c r="J32" i="5" a="1"/>
  <c r="J32" i="5"/>
  <c r="J33" i="5" a="1"/>
  <c r="J33" i="5"/>
  <c r="J34" i="5" a="1"/>
  <c r="J34" i="5"/>
  <c r="J35" i="5" a="1"/>
  <c r="J35" i="5"/>
  <c r="J36" i="5" a="1"/>
  <c r="J36" i="5"/>
  <c r="J37" i="5" a="1"/>
  <c r="J37" i="5"/>
  <c r="J38" i="5" a="1"/>
  <c r="J38" i="5"/>
  <c r="J39" i="5" a="1"/>
  <c r="J39" i="5"/>
  <c r="J40" i="5" a="1"/>
  <c r="J40" i="5"/>
  <c r="J41" i="5" a="1"/>
  <c r="J41" i="5"/>
  <c r="J42" i="5" a="1"/>
  <c r="J42" i="5"/>
  <c r="J43" i="5" a="1"/>
  <c r="J43" i="5"/>
  <c r="J44" i="5" a="1"/>
  <c r="J44" i="5"/>
  <c r="J45" i="5" a="1"/>
  <c r="J45" i="5"/>
  <c r="J46" i="5" a="1"/>
  <c r="J46" i="5"/>
  <c r="J47" i="5" a="1"/>
  <c r="J47" i="5"/>
  <c r="J48" i="5" a="1"/>
  <c r="J48" i="5"/>
  <c r="J49" i="5" a="1"/>
  <c r="J49" i="5"/>
  <c r="J50" i="5" a="1"/>
  <c r="J50" i="5"/>
  <c r="J51" i="5" a="1"/>
  <c r="J51" i="5"/>
  <c r="J52" i="5" a="1"/>
  <c r="J52" i="5"/>
  <c r="J53" i="5" a="1"/>
  <c r="J53" i="5"/>
  <c r="J54" i="5" a="1"/>
  <c r="J54" i="5"/>
  <c r="J2" i="5" a="1"/>
  <c r="J2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" i="5"/>
  <c r="Y285" i="5" a="1"/>
  <c r="Y285" i="5" s="1"/>
  <c r="Y267" i="5" a="1"/>
  <c r="Y267" i="5" s="1"/>
  <c r="Y242" i="5" a="1"/>
  <c r="Y242" i="5" s="1"/>
  <c r="Y239" i="5" a="1"/>
  <c r="Y239" i="5" s="1"/>
  <c r="Y218" i="5" a="1"/>
  <c r="Y218" i="5" s="1"/>
  <c r="Y197" i="5" a="1"/>
  <c r="Y197" i="5" s="1"/>
  <c r="Y192" i="5" a="1"/>
  <c r="Y192" i="5" s="1"/>
  <c r="Y152" i="5" a="1"/>
  <c r="Y152" i="5" s="1"/>
  <c r="Y144" i="5" a="1"/>
  <c r="Y144" i="5" s="1"/>
  <c r="Y141" i="5" a="1"/>
  <c r="Y141" i="5" s="1"/>
  <c r="Y132" i="5" a="1"/>
  <c r="Y132" i="5" s="1"/>
  <c r="Y103" i="5" a="1"/>
  <c r="Y103" i="5" s="1"/>
  <c r="V324" i="5"/>
  <c r="V325" i="5"/>
  <c r="V326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2" i="5"/>
  <c r="F7" i="4"/>
  <c r="F6" i="4"/>
  <c r="F5" i="4"/>
  <c r="F4" i="4"/>
  <c r="F3" i="4"/>
  <c r="G7" i="3"/>
  <c r="G6" i="3"/>
  <c r="G5" i="3"/>
  <c r="G4" i="3"/>
  <c r="G3" i="3"/>
  <c r="D3" i="2" a="1"/>
  <c r="D3" i="2"/>
  <c r="D4" i="2" a="1"/>
  <c r="D4" i="2"/>
  <c r="D5" i="2" a="1"/>
  <c r="D5" i="2"/>
  <c r="D6" i="2" a="1"/>
  <c r="D6" i="2"/>
  <c r="D7" i="2" a="1"/>
  <c r="D7" i="2"/>
  <c r="D8" i="2" a="1"/>
  <c r="D8" i="2"/>
  <c r="Y68" i="5" a="1"/>
  <c r="Y68" i="5"/>
  <c r="Y51" i="5" a="1"/>
  <c r="Y5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tc={5058E6BC-7775-46FD-90DF-0635F77BB3FB}</author>
  </authors>
  <commentList>
    <comment ref="A1" authorId="0" shapeId="0" xr:uid="{5058E6BC-7775-46FD-90DF-0635F77BB3FB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TROCAR POR COL B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<sst xmlns="http://schemas.openxmlformats.org/spreadsheetml/2006/main" count="5640" uniqueCount="1027">
  <si>
    <t>Tabela de Produtos da Cafeteria</t>
  </si>
  <si>
    <t>ID_Produto</t>
  </si>
  <si>
    <t>Tipo_de_Cafe</t>
  </si>
  <si>
    <t>Tamanho</t>
  </si>
  <si>
    <t>Valor_Unitario</t>
  </si>
  <si>
    <t>Quantidade</t>
  </si>
  <si>
    <t>Ara</t>
  </si>
  <si>
    <t>G</t>
  </si>
  <si>
    <t>Lib</t>
  </si>
  <si>
    <t>M</t>
  </si>
  <si>
    <t>Rob</t>
  </si>
  <si>
    <t>P</t>
  </si>
  <si>
    <t>Falidos e Quebrados LTDA.</t>
  </si>
  <si>
    <t>FUNCIONARIO</t>
  </si>
  <si>
    <t>PRODUTO</t>
  </si>
  <si>
    <t>VENDAS</t>
  </si>
  <si>
    <t>RESULTADO</t>
  </si>
  <si>
    <t>Abrilina</t>
  </si>
  <si>
    <t>Mouse</t>
  </si>
  <si>
    <t>Cheropita</t>
  </si>
  <si>
    <t>Teclado</t>
  </si>
  <si>
    <t>Aldegunda</t>
  </si>
  <si>
    <t>Monitor</t>
  </si>
  <si>
    <t>Arquibaldo</t>
  </si>
  <si>
    <t>Gabinete</t>
  </si>
  <si>
    <t>Clarisbadeu</t>
  </si>
  <si>
    <t>Disquete</t>
  </si>
  <si>
    <t>Fredolino</t>
  </si>
  <si>
    <t>Impressora</t>
  </si>
  <si>
    <t>Notas Escolares</t>
  </si>
  <si>
    <t>RA</t>
  </si>
  <si>
    <t>Nome de Aluno</t>
  </si>
  <si>
    <t>Nota 1 Trimestre</t>
  </si>
  <si>
    <t>Nota 2 Trimestre</t>
  </si>
  <si>
    <t>Nota 3 Trimestre</t>
  </si>
  <si>
    <t>Média final</t>
  </si>
  <si>
    <t>Resultado</t>
  </si>
  <si>
    <t>Astro</t>
  </si>
  <si>
    <t>Celeste</t>
  </si>
  <si>
    <t>Elvira</t>
  </si>
  <si>
    <t>Homer</t>
  </si>
  <si>
    <t>Chevrolet da Silva</t>
  </si>
  <si>
    <t>Recrutamento para vaga de emprego</t>
  </si>
  <si>
    <t>Nome</t>
  </si>
  <si>
    <t>Idade</t>
  </si>
  <si>
    <t>Ensino Médio</t>
  </si>
  <si>
    <t xml:space="preserve">Curso técnico </t>
  </si>
  <si>
    <t>Anos de experiência na área</t>
  </si>
  <si>
    <t>Situação</t>
  </si>
  <si>
    <t>Alfa Romeu Julia</t>
  </si>
  <si>
    <t>Não</t>
  </si>
  <si>
    <t>Sim</t>
  </si>
  <si>
    <t>Fusclaudia de Oliveira</t>
  </si>
  <si>
    <t>Unotavio do Santos</t>
  </si>
  <si>
    <t>Nissan Silvia</t>
  </si>
  <si>
    <t>Ferrari Enzo</t>
  </si>
  <si>
    <t>Requisitos para ser contratado</t>
  </si>
  <si>
    <t>Ter idade maior ou igual a 18 anos</t>
  </si>
  <si>
    <t>Ter ensino médio completo</t>
  </si>
  <si>
    <t>Ter curso de vendedor</t>
  </si>
  <si>
    <t>Ter no mínimo 3 anos de experiência na área</t>
  </si>
  <si>
    <t>status</t>
  </si>
  <si>
    <t>nome</t>
  </si>
  <si>
    <t>cpf</t>
  </si>
  <si>
    <t>idade</t>
  </si>
  <si>
    <t>data_nascimento</t>
  </si>
  <si>
    <t>cidade</t>
  </si>
  <si>
    <t>regiao</t>
  </si>
  <si>
    <t>renda_mensal</t>
  </si>
  <si>
    <t>credito_tomado</t>
  </si>
  <si>
    <t>flag_inadimplente</t>
  </si>
  <si>
    <t>qtde_batalhas</t>
  </si>
  <si>
    <t>nivel_risco</t>
  </si>
  <si>
    <t>valor_solicitado</t>
  </si>
  <si>
    <t>Ativo</t>
  </si>
  <si>
    <t>null</t>
  </si>
  <si>
    <t>Aegon Baelish</t>
  </si>
  <si>
    <t>000.000.240-00</t>
  </si>
  <si>
    <t>Inativo</t>
  </si>
  <si>
    <t>Aegon Blackwood</t>
  </si>
  <si>
    <t>000.000.118-00</t>
  </si>
  <si>
    <t>Jardim De Cima</t>
  </si>
  <si>
    <t>Campina</t>
  </si>
  <si>
    <t>N/A</t>
  </si>
  <si>
    <t>Aegon Bracken</t>
  </si>
  <si>
    <t>000.000.244-00</t>
  </si>
  <si>
    <t>Correrrio</t>
  </si>
  <si>
    <t>Terras Fluviais</t>
  </si>
  <si>
    <t>terras fluviais</t>
  </si>
  <si>
    <t>Aegon Florent</t>
  </si>
  <si>
    <t>000.000.271-00</t>
  </si>
  <si>
    <t>Null</t>
  </si>
  <si>
    <t>Aegon Frey</t>
  </si>
  <si>
    <t>000.000.338-00</t>
  </si>
  <si>
    <t>11100 moedas</t>
  </si>
  <si>
    <t>Aegon Hornwood</t>
  </si>
  <si>
    <t>000.000.171-00</t>
  </si>
  <si>
    <t>Aegon Marbrand</t>
  </si>
  <si>
    <t>000.000.352-00</t>
  </si>
  <si>
    <t>Aegon Redwyne</t>
  </si>
  <si>
    <t>000.000.347-00</t>
  </si>
  <si>
    <t>Pyke</t>
  </si>
  <si>
    <t>Ilhas De Ferro</t>
  </si>
  <si>
    <t>ILHAS DE FERRO</t>
  </si>
  <si>
    <t>Aegon Umber</t>
  </si>
  <si>
    <t>000.000.356-00</t>
  </si>
  <si>
    <t>Arya Marbrand</t>
  </si>
  <si>
    <t>000.000.133-00</t>
  </si>
  <si>
    <t>Arya Redwyne</t>
  </si>
  <si>
    <t>000.000.333-00</t>
  </si>
  <si>
    <t>3800 moedas</t>
  </si>
  <si>
    <t>Asha Arryn</t>
  </si>
  <si>
    <t>000.000.122-00</t>
  </si>
  <si>
    <t>Asha Baratheon</t>
  </si>
  <si>
    <t>000.000.195-00</t>
  </si>
  <si>
    <t>Braavos</t>
  </si>
  <si>
    <t>Essos</t>
  </si>
  <si>
    <t>Asha Blackwood</t>
  </si>
  <si>
    <t>000.000.085-00</t>
  </si>
  <si>
    <t>Asha Bolton</t>
  </si>
  <si>
    <t>000.000.069-00</t>
  </si>
  <si>
    <t>Asha Hornwood</t>
  </si>
  <si>
    <t>000.000.363-00</t>
  </si>
  <si>
    <t>21500 moedas</t>
  </si>
  <si>
    <t>Asha Manderly</t>
  </si>
  <si>
    <t>000.000.357-00</t>
  </si>
  <si>
    <t>Asha Redwyne</t>
  </si>
  <si>
    <t>000.000.102-00</t>
  </si>
  <si>
    <t>Asha Tallhart</t>
  </si>
  <si>
    <t>000.000.086-00</t>
  </si>
  <si>
    <t>Ilhas de Ferro</t>
  </si>
  <si>
    <t>17600 moedas</t>
  </si>
  <si>
    <t>Beric  Karstark</t>
  </si>
  <si>
    <t>000.000.172-00</t>
  </si>
  <si>
    <t>Beric  Umber</t>
  </si>
  <si>
    <t>Pedra Do Dragão</t>
  </si>
  <si>
    <t>Terras Da Coroa</t>
  </si>
  <si>
    <t>terras da coroa</t>
  </si>
  <si>
    <t>Beric Crakehall</t>
  </si>
  <si>
    <t>000.000.067-00</t>
  </si>
  <si>
    <t>Beric Manderly</t>
  </si>
  <si>
    <t>000.000.243-00</t>
  </si>
  <si>
    <t>Beric Seaworth</t>
  </si>
  <si>
    <t>000.000.025-00</t>
  </si>
  <si>
    <t>Beric Tallhart</t>
  </si>
  <si>
    <t>000.000.291-00</t>
  </si>
  <si>
    <t>Beric Tyrell</t>
  </si>
  <si>
    <t>000.000.242-00</t>
  </si>
  <si>
    <t>Bran Bolton</t>
  </si>
  <si>
    <t>000.000.003-00</t>
  </si>
  <si>
    <t>Porto Real</t>
  </si>
  <si>
    <t>Bran Dayne</t>
  </si>
  <si>
    <t>000.000.288-00</t>
  </si>
  <si>
    <t>4500 moedas</t>
  </si>
  <si>
    <t>Bran Dondarrion</t>
  </si>
  <si>
    <t>000.000.049-00</t>
  </si>
  <si>
    <t>Meereen</t>
  </si>
  <si>
    <t>essos</t>
  </si>
  <si>
    <t>Bran Florent</t>
  </si>
  <si>
    <t>000.000.218-00</t>
  </si>
  <si>
    <t>sem renda</t>
  </si>
  <si>
    <t>Bran Frey</t>
  </si>
  <si>
    <t>000.000.189-00</t>
  </si>
  <si>
    <t>Ilha Dos Ursos</t>
  </si>
  <si>
    <t>Norte</t>
  </si>
  <si>
    <t>Bran Karstark</t>
  </si>
  <si>
    <t>000.000.241-00</t>
  </si>
  <si>
    <t>Bran Tarly</t>
  </si>
  <si>
    <t>000.000.269-00</t>
  </si>
  <si>
    <t>Bran Umber</t>
  </si>
  <si>
    <t>000.000.132-00</t>
  </si>
  <si>
    <t>Bran Yronwood</t>
  </si>
  <si>
    <t>000.000.057-00</t>
  </si>
  <si>
    <t>Brienne Dayne</t>
  </si>
  <si>
    <t>000.000.070-00</t>
  </si>
  <si>
    <t>Brienne Dondarrion</t>
  </si>
  <si>
    <t>000.000.256-00</t>
  </si>
  <si>
    <t>Brienne Glover</t>
  </si>
  <si>
    <t>000.000.355-00</t>
  </si>
  <si>
    <t>Solar Do Entardecer</t>
  </si>
  <si>
    <t>Terras Da Tempestade</t>
  </si>
  <si>
    <t>Brienne Karstark</t>
  </si>
  <si>
    <t>000.000.031-00</t>
  </si>
  <si>
    <t>Brienne Mallister</t>
  </si>
  <si>
    <t>000.000.202-00</t>
  </si>
  <si>
    <t>Brienne Manderly</t>
  </si>
  <si>
    <t>000.000.076-00</t>
  </si>
  <si>
    <t>8600 moedas</t>
  </si>
  <si>
    <t>Brienne Reed</t>
  </si>
  <si>
    <t>000.000.306-00</t>
  </si>
  <si>
    <t>Brienne Royce</t>
  </si>
  <si>
    <t>000.000.108-00</t>
  </si>
  <si>
    <t>23500 moedas</t>
  </si>
  <si>
    <t>Brienne Westerling</t>
  </si>
  <si>
    <t>000.000.379-00</t>
  </si>
  <si>
    <t>Bronn Arryn</t>
  </si>
  <si>
    <t>000.000.016-00</t>
  </si>
  <si>
    <t>Bronn Baratheon</t>
  </si>
  <si>
    <t>000.000.325-00</t>
  </si>
  <si>
    <t>Bronn Blackwood</t>
  </si>
  <si>
    <t>000.000.052-00</t>
  </si>
  <si>
    <t>Bronn Bolton</t>
  </si>
  <si>
    <t>000.000.143-00</t>
  </si>
  <si>
    <t>26800 moedas</t>
  </si>
  <si>
    <t>Bronn Crakehall</t>
  </si>
  <si>
    <t>000.000.295-00</t>
  </si>
  <si>
    <t>Atalaia Da Água Cinzenta</t>
  </si>
  <si>
    <t>Gargalo</t>
  </si>
  <si>
    <t>GARGALO</t>
  </si>
  <si>
    <t>3600 moedas</t>
  </si>
  <si>
    <t>Bronn Dondarrion</t>
  </si>
  <si>
    <t>000.000.036-00</t>
  </si>
  <si>
    <t>Fosso Cailin | Norte</t>
  </si>
  <si>
    <t>Bronn Mallister</t>
  </si>
  <si>
    <t>000.000.200-00</t>
  </si>
  <si>
    <t>Fosso Cailin</t>
  </si>
  <si>
    <t>76500 moedas</t>
  </si>
  <si>
    <t>Bronn Manderly</t>
  </si>
  <si>
    <t>000.000.074-00</t>
  </si>
  <si>
    <t>Castelo Negro</t>
  </si>
  <si>
    <t>NORTE</t>
  </si>
  <si>
    <t>Bronn Royce</t>
  </si>
  <si>
    <t>000.000.369-00</t>
  </si>
  <si>
    <t>Vilavelha</t>
  </si>
  <si>
    <t>Bronn Stark</t>
  </si>
  <si>
    <t>000.000.313-00</t>
  </si>
  <si>
    <t>Dorne</t>
  </si>
  <si>
    <t>Bronn Umber</t>
  </si>
  <si>
    <t>000.000.177-00</t>
  </si>
  <si>
    <t>Catelyn  Dayne</t>
  </si>
  <si>
    <t>000.000.213-00</t>
  </si>
  <si>
    <t>Ponta Tempestade</t>
  </si>
  <si>
    <t>Terras da Tempestade</t>
  </si>
  <si>
    <t>Catelyn Cerwyn</t>
  </si>
  <si>
    <t>000.000.308-00</t>
  </si>
  <si>
    <t>Catelyn Lannister</t>
  </si>
  <si>
    <t>000.000.110-00</t>
  </si>
  <si>
    <t>Catelyn Mallister</t>
  </si>
  <si>
    <t>000.000.062-00</t>
  </si>
  <si>
    <t>Lannisporto</t>
  </si>
  <si>
    <t>Catelyn Tarly</t>
  </si>
  <si>
    <t>000.000.163-00</t>
  </si>
  <si>
    <t>27</t>
  </si>
  <si>
    <t>Jardim de Cima</t>
  </si>
  <si>
    <t>Catelyn Umber</t>
  </si>
  <si>
    <t>000.000.099-00</t>
  </si>
  <si>
    <t>Ilha dos Ursos</t>
  </si>
  <si>
    <t>Catelyn Westerling</t>
  </si>
  <si>
    <t>000.000.358-00</t>
  </si>
  <si>
    <t>19500 moedas</t>
  </si>
  <si>
    <t>Catelyn Yronwood</t>
  </si>
  <si>
    <t>000.000.226-00</t>
  </si>
  <si>
    <t>Harrenhal</t>
  </si>
  <si>
    <t>Cersei  Marbrand</t>
  </si>
  <si>
    <t>000.000.158-00</t>
  </si>
  <si>
    <t>Nao</t>
  </si>
  <si>
    <t>Solar do Entardecer</t>
  </si>
  <si>
    <t>Cersei Clegane</t>
  </si>
  <si>
    <t>000.000.323-00</t>
  </si>
  <si>
    <t>Cersei Glover</t>
  </si>
  <si>
    <t>000.000.324-00</t>
  </si>
  <si>
    <t>Cersei Greyjoy</t>
  </si>
  <si>
    <t>000.000.265-00</t>
  </si>
  <si>
    <t>Castelo Negro | Norte</t>
  </si>
  <si>
    <t>21300 moedas</t>
  </si>
  <si>
    <t>Cersei Stark</t>
  </si>
  <si>
    <t>000.000.293-00</t>
  </si>
  <si>
    <t>Cersei Tarth</t>
  </si>
  <si>
    <t>000.000.147-00</t>
  </si>
  <si>
    <t>74000 moedas</t>
  </si>
  <si>
    <t>Cersei Umber</t>
  </si>
  <si>
    <t>000.000.058-00</t>
  </si>
  <si>
    <t>Daario  Dayne</t>
  </si>
  <si>
    <t>000.000.144-00</t>
  </si>
  <si>
    <t>Ninho da Águia</t>
  </si>
  <si>
    <t>Daario Arryn</t>
  </si>
  <si>
    <t>000.000.173-00</t>
  </si>
  <si>
    <t>Pyke | Ilhas de Ferro</t>
  </si>
  <si>
    <t>Daario Cerwyn</t>
  </si>
  <si>
    <t>000.000.175-00</t>
  </si>
  <si>
    <t>Winterfell</t>
  </si>
  <si>
    <t>Daario Clegane</t>
  </si>
  <si>
    <t>000.000.270-00</t>
  </si>
  <si>
    <t>Daario Marbrand</t>
  </si>
  <si>
    <t>000.000.014-00</t>
  </si>
  <si>
    <t>46</t>
  </si>
  <si>
    <t>Daario Tarly</t>
  </si>
  <si>
    <t>000.000.046-00</t>
  </si>
  <si>
    <t>Pedra do Dragão</t>
  </si>
  <si>
    <t>Daario Tyrell</t>
  </si>
  <si>
    <t>000.000.251-00</t>
  </si>
  <si>
    <t>Daenerys Seaworth</t>
  </si>
  <si>
    <t>000.000.341-00</t>
  </si>
  <si>
    <t>Daenerys Snow</t>
  </si>
  <si>
    <t>000.000.142-00</t>
  </si>
  <si>
    <t>Daenerys Tallhart</t>
  </si>
  <si>
    <t>000.000.092-00</t>
  </si>
  <si>
    <t>Davos  Baratheon</t>
  </si>
  <si>
    <t>000.000.055-00</t>
  </si>
  <si>
    <t>Davos Tyrell</t>
  </si>
  <si>
    <t>000.000.161-00</t>
  </si>
  <si>
    <t>Davos Umber</t>
  </si>
  <si>
    <t>000.000.353-00</t>
  </si>
  <si>
    <t>Oeste</t>
  </si>
  <si>
    <t>000.000.001-00</t>
  </si>
  <si>
    <t>Eddard Crakehall</t>
  </si>
  <si>
    <t>000.000.318-00</t>
  </si>
  <si>
    <t>5500 moedas</t>
  </si>
  <si>
    <t>Eddard Dayne</t>
  </si>
  <si>
    <t>000.000.032-00</t>
  </si>
  <si>
    <t>000.000.005-00</t>
  </si>
  <si>
    <t>Eddard Greyjoy</t>
  </si>
  <si>
    <t>000.000.238-00</t>
  </si>
  <si>
    <t>000.000.009-00</t>
  </si>
  <si>
    <t>Eddard Mallister</t>
  </si>
  <si>
    <t>000.000.309-00</t>
  </si>
  <si>
    <t>000.000.011-00</t>
  </si>
  <si>
    <t>Monte Chifre</t>
  </si>
  <si>
    <t>Eddard Payne</t>
  </si>
  <si>
    <t>000.000.159-00</t>
  </si>
  <si>
    <t>000.000.012-00</t>
  </si>
  <si>
    <t>Atalaia da Água Cinzenta</t>
  </si>
  <si>
    <t>9200 moedas</t>
  </si>
  <si>
    <t>Eddard Royce</t>
  </si>
  <si>
    <t>000.000.181-00</t>
  </si>
  <si>
    <t>000.000.013-00</t>
  </si>
  <si>
    <t>16000 moedas</t>
  </si>
  <si>
    <t>Eddard Stark</t>
  </si>
  <si>
    <t>000.000.015-00</t>
  </si>
  <si>
    <t>29700 moedas</t>
  </si>
  <si>
    <t>78000 moedas</t>
  </si>
  <si>
    <t>Eddard Westerling</t>
  </si>
  <si>
    <t>000.000.094-00</t>
  </si>
  <si>
    <t>Ellaria  Reed</t>
  </si>
  <si>
    <t>000.000.311-00</t>
  </si>
  <si>
    <t>Ellaria Baelish</t>
  </si>
  <si>
    <t>000.000.336-00</t>
  </si>
  <si>
    <t>000.000.017-00</t>
  </si>
  <si>
    <t>Ellaria Bracken</t>
  </si>
  <si>
    <t>000.000.138-00</t>
  </si>
  <si>
    <t>000.000.019-00</t>
  </si>
  <si>
    <t>Ellaria Cerwyn</t>
  </si>
  <si>
    <t>51</t>
  </si>
  <si>
    <t>000.000.023-00</t>
  </si>
  <si>
    <t>Ellaria Mallister</t>
  </si>
  <si>
    <t>000.000.194-00</t>
  </si>
  <si>
    <t>000.000.024-00</t>
  </si>
  <si>
    <t>Ellaria Martell</t>
  </si>
  <si>
    <t>000.000.148-00</t>
  </si>
  <si>
    <t>não</t>
  </si>
  <si>
    <t>Ellaria Mormont</t>
  </si>
  <si>
    <t>000.000.157-00</t>
  </si>
  <si>
    <t>000.000.026-00</t>
  </si>
  <si>
    <t>Ellaria Redwyne</t>
  </si>
  <si>
    <t>000.000.093-00</t>
  </si>
  <si>
    <t>000.000.027-00</t>
  </si>
  <si>
    <t>Ellaria Seaworth</t>
  </si>
  <si>
    <t>000.000.125-00</t>
  </si>
  <si>
    <t>TERRAS FLUVIAIS</t>
  </si>
  <si>
    <t>000.000.030-00</t>
  </si>
  <si>
    <t>Ellaria Swyft</t>
  </si>
  <si>
    <t>000.000.115-00</t>
  </si>
  <si>
    <t>Ninho Da Águia</t>
  </si>
  <si>
    <t>Vale</t>
  </si>
  <si>
    <t>VALE</t>
  </si>
  <si>
    <t>Ellaria Targaryen</t>
  </si>
  <si>
    <t>000.000.149-00</t>
  </si>
  <si>
    <t>Harrenhal | Terras Fluviais</t>
  </si>
  <si>
    <t>Ellaria Tarly</t>
  </si>
  <si>
    <t>ESSOS</t>
  </si>
  <si>
    <t>000.000.037-00</t>
  </si>
  <si>
    <t>Gendry Cerwyn</t>
  </si>
  <si>
    <t>000.000.153-00</t>
  </si>
  <si>
    <t>000.000.039-00</t>
  </si>
  <si>
    <t>Gendry Hightower</t>
  </si>
  <si>
    <t>000.000.167-00</t>
  </si>
  <si>
    <t>000.000.041-00</t>
  </si>
  <si>
    <t>Gilly Frey</t>
  </si>
  <si>
    <t>000.000.258-00</t>
  </si>
  <si>
    <t>000.000.043-00</t>
  </si>
  <si>
    <t>Gilly Glover</t>
  </si>
  <si>
    <t>000.000.022-00</t>
  </si>
  <si>
    <t>000.000.044-00</t>
  </si>
  <si>
    <t>Gilly Marbrand</t>
  </si>
  <si>
    <t>000.000.156-00</t>
  </si>
  <si>
    <t>000.000.045-00</t>
  </si>
  <si>
    <t>Gilly Mormont</t>
  </si>
  <si>
    <t>000.000.220-00</t>
  </si>
  <si>
    <t>Gilly Swyft</t>
  </si>
  <si>
    <t>000.000.261-00</t>
  </si>
  <si>
    <t>000.000.050-00</t>
  </si>
  <si>
    <t>Grey  Worm  Greyjoy</t>
  </si>
  <si>
    <t>000.000.182-00</t>
  </si>
  <si>
    <t>000.000.051-00</t>
  </si>
  <si>
    <t>Grey Worm Baratheon</t>
  </si>
  <si>
    <t>000.000.221-00</t>
  </si>
  <si>
    <t>NÃO</t>
  </si>
  <si>
    <t>Grey Worm Dondarrion</t>
  </si>
  <si>
    <t>000.000.233-00</t>
  </si>
  <si>
    <t>000.000.054-00</t>
  </si>
  <si>
    <t>Grey Worm Hornwood</t>
  </si>
  <si>
    <t>000.000.322-00</t>
  </si>
  <si>
    <t>52000 moedas</t>
  </si>
  <si>
    <t>Grey Worm Targaryen</t>
  </si>
  <si>
    <t>000.000.060-00</t>
  </si>
  <si>
    <t>000.000.056-00</t>
  </si>
  <si>
    <t>Jaime Bracken</t>
  </si>
  <si>
    <t>000.000.166-00</t>
  </si>
  <si>
    <t>Jaime Dondarrion</t>
  </si>
  <si>
    <t>20900 moedas</t>
  </si>
  <si>
    <t>Jaime Seaworth</t>
  </si>
  <si>
    <t>000.000.263-00</t>
  </si>
  <si>
    <t>sim</t>
  </si>
  <si>
    <t>000.000.059-00</t>
  </si>
  <si>
    <t>Jaime Yronwood</t>
  </si>
  <si>
    <t>Jeor  Payne</t>
  </si>
  <si>
    <t>000.000.209-00</t>
  </si>
  <si>
    <t>000.000.061-00</t>
  </si>
  <si>
    <t>Jeor Baelish</t>
  </si>
  <si>
    <t>000.000.332-00</t>
  </si>
  <si>
    <t>14300 moedas</t>
  </si>
  <si>
    <t>Jeor Clegane</t>
  </si>
  <si>
    <t>000.000.273-00</t>
  </si>
  <si>
    <t>000.000.065-00</t>
  </si>
  <si>
    <t>42000 moedas</t>
  </si>
  <si>
    <t>Jeor Florent</t>
  </si>
  <si>
    <t>000.000.249-00</t>
  </si>
  <si>
    <t>000.000.066-00</t>
  </si>
  <si>
    <t>Jeor Karstark</t>
  </si>
  <si>
    <t>000.000.310-00</t>
  </si>
  <si>
    <t>Jeor Lannister</t>
  </si>
  <si>
    <t>000.000.091-00</t>
  </si>
  <si>
    <t>Jeor Mallister</t>
  </si>
  <si>
    <t>000.000.162-00</t>
  </si>
  <si>
    <t>000.000.071-00</t>
  </si>
  <si>
    <t>Jeor Marbrand</t>
  </si>
  <si>
    <t>000.000.073-00</t>
  </si>
  <si>
    <t>Jeor Martell</t>
  </si>
  <si>
    <t>20100 moedas</t>
  </si>
  <si>
    <t>Jojen Dayne</t>
  </si>
  <si>
    <t>000.000.199-00</t>
  </si>
  <si>
    <t>terras da tempestade</t>
  </si>
  <si>
    <t>000.000.075-00</t>
  </si>
  <si>
    <t>Jojen Florent</t>
  </si>
  <si>
    <t>000.000.321-00</t>
  </si>
  <si>
    <t>Jojen Hornwood</t>
  </si>
  <si>
    <t>000.000.128-00</t>
  </si>
  <si>
    <t>Terras da Coroa</t>
  </si>
  <si>
    <t>000.000.080-00</t>
  </si>
  <si>
    <t>Ilha dos Ursos | Norte</t>
  </si>
  <si>
    <t>Jojen Redwyne</t>
  </si>
  <si>
    <t>000.000.334-00</t>
  </si>
  <si>
    <t>24</t>
  </si>
  <si>
    <t>dorne</t>
  </si>
  <si>
    <t>000.000.081-00</t>
  </si>
  <si>
    <t>Jojen Reed</t>
  </si>
  <si>
    <t>000.000.136-00</t>
  </si>
  <si>
    <t>20000 moedas</t>
  </si>
  <si>
    <t>Jon  Karstark</t>
  </si>
  <si>
    <t>000.000.139-00</t>
  </si>
  <si>
    <t>55</t>
  </si>
  <si>
    <t>000.000.087-00</t>
  </si>
  <si>
    <t>70500 moedas</t>
  </si>
  <si>
    <t>Jon Baelish</t>
  </si>
  <si>
    <t>000.000.214-00</t>
  </si>
  <si>
    <t>000.000.088-00</t>
  </si>
  <si>
    <t>Jon Bolton</t>
  </si>
  <si>
    <t>000.000.130-00</t>
  </si>
  <si>
    <t>000.000.090-00</t>
  </si>
  <si>
    <t>Jon Cerwyn</t>
  </si>
  <si>
    <t>000.000.112-00</t>
  </si>
  <si>
    <t>Jon Dayne</t>
  </si>
  <si>
    <t>000.000.319-00</t>
  </si>
  <si>
    <t>Jon Hightower</t>
  </si>
  <si>
    <t>Jon Hornwood</t>
  </si>
  <si>
    <t>000.000.331-00</t>
  </si>
  <si>
    <t>Atalaia da Água Cinzenta | Gargalo</t>
  </si>
  <si>
    <t>Jon Marbrand</t>
  </si>
  <si>
    <t>000.000.359-00</t>
  </si>
  <si>
    <t>000.000.095-00</t>
  </si>
  <si>
    <t>Jon Tarth</t>
  </si>
  <si>
    <t>000.000.208-00</t>
  </si>
  <si>
    <t>000.000.097-00</t>
  </si>
  <si>
    <t>Jorah  Tyrell</t>
  </si>
  <si>
    <t>000.000.229-00</t>
  </si>
  <si>
    <t>000.000.100-00</t>
  </si>
  <si>
    <t>Correrrio | Terras Fluviais</t>
  </si>
  <si>
    <t>Jorah Dondarrion</t>
  </si>
  <si>
    <t>000.000.210-00</t>
  </si>
  <si>
    <t>000.000.101-00</t>
  </si>
  <si>
    <t>10400 moedas</t>
  </si>
  <si>
    <t>Jorah Florent</t>
  </si>
  <si>
    <t>000.000.204-00</t>
  </si>
  <si>
    <t>000.000.105-00</t>
  </si>
  <si>
    <t>Jorah Hightower</t>
  </si>
  <si>
    <t>000.000.346-00</t>
  </si>
  <si>
    <t>000.000.106-00</t>
  </si>
  <si>
    <t>Jorah Marbrand</t>
  </si>
  <si>
    <t>000.000.168-00</t>
  </si>
  <si>
    <t>000.000.107-00</t>
  </si>
  <si>
    <t>Jorah Redwyne</t>
  </si>
  <si>
    <t>000.000.165-00</t>
  </si>
  <si>
    <t>000.000.109-00</t>
  </si>
  <si>
    <t>Jorah Seaworth</t>
  </si>
  <si>
    <t>000.000.207-00</t>
  </si>
  <si>
    <t>28800 moedas</t>
  </si>
  <si>
    <t>Loras  Tarth</t>
  </si>
  <si>
    <t>000.000.286-00</t>
  </si>
  <si>
    <t>000.000.111-00</t>
  </si>
  <si>
    <t>Loras Baelish</t>
  </si>
  <si>
    <t>000.000.217-00</t>
  </si>
  <si>
    <t>Dorne | Dorne</t>
  </si>
  <si>
    <t>Loras Bracken</t>
  </si>
  <si>
    <t>000.000.254-00</t>
  </si>
  <si>
    <t>000.000.113-00</t>
  </si>
  <si>
    <t>17500 moedas</t>
  </si>
  <si>
    <t>Loras Clegane</t>
  </si>
  <si>
    <t>000.000.287-00</t>
  </si>
  <si>
    <t>000.000.114-00</t>
  </si>
  <si>
    <t>Loras Frey</t>
  </si>
  <si>
    <t>Loras Greyjoy</t>
  </si>
  <si>
    <t>000.000.362-00</t>
  </si>
  <si>
    <t>Loras Lannister</t>
  </si>
  <si>
    <t>000.000.302-00</t>
  </si>
  <si>
    <t>000.000.119-00</t>
  </si>
  <si>
    <t>Loras Manderly</t>
  </si>
  <si>
    <t>000.000.278-00</t>
  </si>
  <si>
    <t>000.000.120-00</t>
  </si>
  <si>
    <t>Loras Payne</t>
  </si>
  <si>
    <t>Lyanna Florent</t>
  </si>
  <si>
    <t>000.000.063-00</t>
  </si>
  <si>
    <t>000.000.123-00</t>
  </si>
  <si>
    <t>Meereen | Essos</t>
  </si>
  <si>
    <t>Lyanna Marbrand</t>
  </si>
  <si>
    <t>000.000.283-00</t>
  </si>
  <si>
    <t>000.000.124-00</t>
  </si>
  <si>
    <t>22000 moedas</t>
  </si>
  <si>
    <t>Lyanna Seaworth</t>
  </si>
  <si>
    <t>Lyanna Stark</t>
  </si>
  <si>
    <t>000.000.126-00</t>
  </si>
  <si>
    <t>Lyanna Swyft</t>
  </si>
  <si>
    <t>000.000.180-00</t>
  </si>
  <si>
    <t>Lyanna Tarly</t>
  </si>
  <si>
    <t>000.000.232-00</t>
  </si>
  <si>
    <t>000.000.129-00</t>
  </si>
  <si>
    <t>Lyanna Tarth</t>
  </si>
  <si>
    <t>000.000.345-00</t>
  </si>
  <si>
    <t>19900 moedas</t>
  </si>
  <si>
    <t>Lyanna Westerling</t>
  </si>
  <si>
    <t>000.000.179-00</t>
  </si>
  <si>
    <t>000.000.131-00</t>
  </si>
  <si>
    <t>Margaery  Hornwood</t>
  </si>
  <si>
    <t>000.000.151-00</t>
  </si>
  <si>
    <t>Margaery Cerwyn</t>
  </si>
  <si>
    <t>000.000.211-00</t>
  </si>
  <si>
    <t>000.000.134-00</t>
  </si>
  <si>
    <t>Margaery Dayne</t>
  </si>
  <si>
    <t>000.000.276-00</t>
  </si>
  <si>
    <t>000.000.135-00</t>
  </si>
  <si>
    <t>Margaery Dondarrion</t>
  </si>
  <si>
    <t>000.000.192-00</t>
  </si>
  <si>
    <t>Margaery Manderly</t>
  </si>
  <si>
    <t>000.000.222-00</t>
  </si>
  <si>
    <t>Margaery Marbrand</t>
  </si>
  <si>
    <t>000.000.146-00</t>
  </si>
  <si>
    <t>Margaery Tarly</t>
  </si>
  <si>
    <t>000.000.274-00</t>
  </si>
  <si>
    <t>000.000.141-00</t>
  </si>
  <si>
    <t>Margaery Tyrell</t>
  </si>
  <si>
    <t>Meera Payne</t>
  </si>
  <si>
    <t>Meera Reed</t>
  </si>
  <si>
    <t>000.000.314-00</t>
  </si>
  <si>
    <t>Meera Tarly</t>
  </si>
  <si>
    <t>000.000.326-00</t>
  </si>
  <si>
    <t>Melisandre  Baelish</t>
  </si>
  <si>
    <t>000.000.152-00</t>
  </si>
  <si>
    <t>25100 moedas</t>
  </si>
  <si>
    <t>Melisandre Baratheon</t>
  </si>
  <si>
    <t>000.000.364-00</t>
  </si>
  <si>
    <t>Melisandre Blackwood</t>
  </si>
  <si>
    <t>Melisandre Cerwyn</t>
  </si>
  <si>
    <t>6400 moedas</t>
  </si>
  <si>
    <t>Melisandre Clegane</t>
  </si>
  <si>
    <t>000.000.231-00</t>
  </si>
  <si>
    <t>000.000.155-00</t>
  </si>
  <si>
    <t>Melisandre Crakehall</t>
  </si>
  <si>
    <t>000.000.260-00</t>
  </si>
  <si>
    <t>45500 moedas</t>
  </si>
  <si>
    <t>Melisandre Glover</t>
  </si>
  <si>
    <t>000.000.329-00</t>
  </si>
  <si>
    <t>Melisandre Targaryen</t>
  </si>
  <si>
    <t>000.000.170-00</t>
  </si>
  <si>
    <t>Missandei  Tarly</t>
  </si>
  <si>
    <t>000.000.196-00</t>
  </si>
  <si>
    <t>000.000.164-00</t>
  </si>
  <si>
    <t>Missandei Florent</t>
  </si>
  <si>
    <t>000.000.282-00</t>
  </si>
  <si>
    <t>Missandei Glover</t>
  </si>
  <si>
    <t>000.000.305-00</t>
  </si>
  <si>
    <t>Missandei Karstark</t>
  </si>
  <si>
    <t>000.000.169-00</t>
  </si>
  <si>
    <t>Missandei Redwyne</t>
  </si>
  <si>
    <t>Missandei Tarly</t>
  </si>
  <si>
    <t>000.000.002-00</t>
  </si>
  <si>
    <t>Braavos | Essos</t>
  </si>
  <si>
    <t>Olenna Arryn</t>
  </si>
  <si>
    <t>000.000.096-00</t>
  </si>
  <si>
    <t>Olenna Baelish</t>
  </si>
  <si>
    <t>000.000.191-00</t>
  </si>
  <si>
    <t>3500 moedas</t>
  </si>
  <si>
    <t>Olenna Bracken</t>
  </si>
  <si>
    <t>000.000.225-00</t>
  </si>
  <si>
    <t>000.000.178-00</t>
  </si>
  <si>
    <t>Olenna Hornwood</t>
  </si>
  <si>
    <t>000.000.299-00</t>
  </si>
  <si>
    <t>Olenna Reed</t>
  </si>
  <si>
    <t>000.000.248-00</t>
  </si>
  <si>
    <t>Petyr Greyjoy</t>
  </si>
  <si>
    <t>000.000.301-00</t>
  </si>
  <si>
    <t>000.000.184-00</t>
  </si>
  <si>
    <t>Petyr Karstark</t>
  </si>
  <si>
    <t>000.000.237-00</t>
  </si>
  <si>
    <t>000.000.186-00</t>
  </si>
  <si>
    <t>Petyr Mallister</t>
  </si>
  <si>
    <t>000.000.116-00</t>
  </si>
  <si>
    <t>000.000.187-00</t>
  </si>
  <si>
    <t>Monte Chifre | Campina</t>
  </si>
  <si>
    <t>Petyr Snow</t>
  </si>
  <si>
    <t>000.000.219-00</t>
  </si>
  <si>
    <t>TERRAS DA TEMPESTADE</t>
  </si>
  <si>
    <t>Petyr Swyft</t>
  </si>
  <si>
    <t>000.000.275-00</t>
  </si>
  <si>
    <t>Petyr Yronwood</t>
  </si>
  <si>
    <t>Podrick Blackwood</t>
  </si>
  <si>
    <t>Podrick Dayne</t>
  </si>
  <si>
    <t>000.000.223-00</t>
  </si>
  <si>
    <t>Podrick Florent</t>
  </si>
  <si>
    <t>000.000.354-00</t>
  </si>
  <si>
    <t>000.000.197-00</t>
  </si>
  <si>
    <t>Pedra do Dragão | Terras da Coroa</t>
  </si>
  <si>
    <t>Podrick Swyft</t>
  </si>
  <si>
    <t>Podrick Targaryen</t>
  </si>
  <si>
    <t>29900 moedas</t>
  </si>
  <si>
    <t>Ramsay Dayne</t>
  </si>
  <si>
    <t>000.000.224-00</t>
  </si>
  <si>
    <t>000.000.201-00</t>
  </si>
  <si>
    <t>Ramsay Dondarrion</t>
  </si>
  <si>
    <t>Ramsay Hornwood</t>
  </si>
  <si>
    <t>23400 moedas</t>
  </si>
  <si>
    <t>Ramsay Stark</t>
  </si>
  <si>
    <t>000.000.205-00</t>
  </si>
  <si>
    <t>Ramsay Tarly</t>
  </si>
  <si>
    <t>000.000.098-00</t>
  </si>
  <si>
    <t>Renly Blackwood</t>
  </si>
  <si>
    <t>Renly Bolton</t>
  </si>
  <si>
    <t>000.000.303-00</t>
  </si>
  <si>
    <t>Renly Dayne</t>
  </si>
  <si>
    <t>Renly Mallister</t>
  </si>
  <si>
    <t>000.000.372-00</t>
  </si>
  <si>
    <t>000.000.215-00</t>
  </si>
  <si>
    <t>Renly Mormont</t>
  </si>
  <si>
    <t>000.000.376-00</t>
  </si>
  <si>
    <t>000.000.216-00</t>
  </si>
  <si>
    <t>Jardim de Cima | Campina</t>
  </si>
  <si>
    <t>Renly Redwyne</t>
  </si>
  <si>
    <t>Renly Seaworth</t>
  </si>
  <si>
    <t>000.000.350-00</t>
  </si>
  <si>
    <t>Renly Stark</t>
  </si>
  <si>
    <t>000.000.252-00</t>
  </si>
  <si>
    <t>Renly Tallhart</t>
  </si>
  <si>
    <t>000.000.117-00</t>
  </si>
  <si>
    <t>Rhaegar Dayne</t>
  </si>
  <si>
    <t>000.000.335-00</t>
  </si>
  <si>
    <t>Rhaegar Hornwood</t>
  </si>
  <si>
    <t>Rhaegar Lannister</t>
  </si>
  <si>
    <t>000.000.370-00</t>
  </si>
  <si>
    <t>Rhaegar Mormont</t>
  </si>
  <si>
    <t>Rhaegar Payne</t>
  </si>
  <si>
    <t>000.000.253-00</t>
  </si>
  <si>
    <t>000.000.227-00</t>
  </si>
  <si>
    <t>Rhaegar Stark</t>
  </si>
  <si>
    <t>000.000.228-00</t>
  </si>
  <si>
    <t>Rhaegar Tallhart</t>
  </si>
  <si>
    <t>000.000.348-00</t>
  </si>
  <si>
    <t>Rhaegar Targaryen</t>
  </si>
  <si>
    <t>000.000.342-00</t>
  </si>
  <si>
    <t>Rhaegar Umber</t>
  </si>
  <si>
    <t>000.000.247-00</t>
  </si>
  <si>
    <t>Rickon Crakehall</t>
  </si>
  <si>
    <t>000.000.234-00</t>
  </si>
  <si>
    <t>Rickon Frey</t>
  </si>
  <si>
    <t>000.000.235-00</t>
  </si>
  <si>
    <t>Rickon Karstark</t>
  </si>
  <si>
    <t>000.000.236-00</t>
  </si>
  <si>
    <t>Rickon Lannister</t>
  </si>
  <si>
    <t>Rickon Redwyne</t>
  </si>
  <si>
    <t>000.000.150-00</t>
  </si>
  <si>
    <t>Rickon Targaryen</t>
  </si>
  <si>
    <t>000.000.298-00</t>
  </si>
  <si>
    <t>4000 moedas</t>
  </si>
  <si>
    <t>Robb Baratheon</t>
  </si>
  <si>
    <t>000.000.365-00</t>
  </si>
  <si>
    <t>Robb Clegane</t>
  </si>
  <si>
    <t>000.000.304-00</t>
  </si>
  <si>
    <t>000.000.245-00</t>
  </si>
  <si>
    <t>Robb Greyjoy</t>
  </si>
  <si>
    <t>000.000.246-00</t>
  </si>
  <si>
    <t>Robb Reed</t>
  </si>
  <si>
    <t>Robb Stark</t>
  </si>
  <si>
    <t>Robert Cerwyn</t>
  </si>
  <si>
    <t>000.000.300-00</t>
  </si>
  <si>
    <t>17800 moedas</t>
  </si>
  <si>
    <t>Robert Hornwood</t>
  </si>
  <si>
    <t>000.000.259-00</t>
  </si>
  <si>
    <t>000.000.250-00</t>
  </si>
  <si>
    <t>23000 moedas</t>
  </si>
  <si>
    <t>Robert Karstark</t>
  </si>
  <si>
    <t>Robert Mallister</t>
  </si>
  <si>
    <t>Robert Manderly</t>
  </si>
  <si>
    <t>000.000.230-00</t>
  </si>
  <si>
    <t>Robert Stark</t>
  </si>
  <si>
    <t>000.000.315-00</t>
  </si>
  <si>
    <t>Robert Tarth</t>
  </si>
  <si>
    <t>Robert Westerling</t>
  </si>
  <si>
    <t>27300 moedas</t>
  </si>
  <si>
    <t>Robert Yronwood</t>
  </si>
  <si>
    <t>Roose Bolton</t>
  </si>
  <si>
    <t>000.000.137-00</t>
  </si>
  <si>
    <t>Roose Bracken</t>
  </si>
  <si>
    <t>000.000.188-00</t>
  </si>
  <si>
    <t>Roose Cerwyn</t>
  </si>
  <si>
    <t>000.000.349-00</t>
  </si>
  <si>
    <t>32</t>
  </si>
  <si>
    <t>Roose Dondarrion</t>
  </si>
  <si>
    <t>000.000.266-00</t>
  </si>
  <si>
    <t>Roose Manderly</t>
  </si>
  <si>
    <t>000.000.154-00</t>
  </si>
  <si>
    <t>Samwell Glover</t>
  </si>
  <si>
    <t>000.000.160-00</t>
  </si>
  <si>
    <t>Samwell Yronwood</t>
  </si>
  <si>
    <t>Sandor Clegane</t>
  </si>
  <si>
    <t>Sandor Dondarrion</t>
  </si>
  <si>
    <t>000.000.082-00</t>
  </si>
  <si>
    <t>norte</t>
  </si>
  <si>
    <t>Sandor Westerling</t>
  </si>
  <si>
    <t>000.000.337-00</t>
  </si>
  <si>
    <t>000.000.281-00</t>
  </si>
  <si>
    <t>Sansa Dondarrion</t>
  </si>
  <si>
    <t>vale</t>
  </si>
  <si>
    <t>Shae  Dayne</t>
  </si>
  <si>
    <t>000.000.312-00</t>
  </si>
  <si>
    <t>Shae Clegane</t>
  </si>
  <si>
    <t>000.000.284-00</t>
  </si>
  <si>
    <t>Shae Frey</t>
  </si>
  <si>
    <t>000.000.127-00</t>
  </si>
  <si>
    <t>61500 moedas</t>
  </si>
  <si>
    <t>Shae Mormont</t>
  </si>
  <si>
    <t>Shae Seaworth</t>
  </si>
  <si>
    <t>Shae Tarly</t>
  </si>
  <si>
    <t>000.000.289-00</t>
  </si>
  <si>
    <t>Stannis  Cerwyn</t>
  </si>
  <si>
    <t>000.000.034-00</t>
  </si>
  <si>
    <t>Stannis Crakehall</t>
  </si>
  <si>
    <t>000.000.351-00</t>
  </si>
  <si>
    <t>Stannis Greyjoy</t>
  </si>
  <si>
    <t>000.000.296-00</t>
  </si>
  <si>
    <t>Stannis Lannister</t>
  </si>
  <si>
    <t>000.000.361-00</t>
  </si>
  <si>
    <t>000.000.297-00</t>
  </si>
  <si>
    <t>11000 moedas</t>
  </si>
  <si>
    <t>Stannis Redwyne</t>
  </si>
  <si>
    <t>Stannis Seaworth</t>
  </si>
  <si>
    <t>000.000.316-00</t>
  </si>
  <si>
    <t>Stannis Westerling</t>
  </si>
  <si>
    <t>Theon Baelish</t>
  </si>
  <si>
    <t>000.000.380-00</t>
  </si>
  <si>
    <t>Theon Baratheon</t>
  </si>
  <si>
    <t>000.000.375-00</t>
  </si>
  <si>
    <t>SIM</t>
  </si>
  <si>
    <t>22900 moedas</t>
  </si>
  <si>
    <t>Theon Frey</t>
  </si>
  <si>
    <t>Theon Karstark</t>
  </si>
  <si>
    <t>Theon Tarth</t>
  </si>
  <si>
    <t>Thoros  Baelish</t>
  </si>
  <si>
    <t>Thoros  Frey</t>
  </si>
  <si>
    <t>Thoros Clegane</t>
  </si>
  <si>
    <t>Thoros Crakehall</t>
  </si>
  <si>
    <t>000.000.193-00</t>
  </si>
  <si>
    <t>Thoros Greyjoy</t>
  </si>
  <si>
    <t>Lannisporto | Oeste</t>
  </si>
  <si>
    <t>60000 moedas</t>
  </si>
  <si>
    <t>Thoros Hornwood</t>
  </si>
  <si>
    <t>Thoros Karstark</t>
  </si>
  <si>
    <t>Thoros Payne</t>
  </si>
  <si>
    <t>000.000.077-00</t>
  </si>
  <si>
    <t>Thoros Tarth</t>
  </si>
  <si>
    <t>000.000.239-00</t>
  </si>
  <si>
    <t>Thoros Westerling</t>
  </si>
  <si>
    <t>000.000.257-00</t>
  </si>
  <si>
    <t>Thoros Yronwood</t>
  </si>
  <si>
    <t>Tormund  Cerwyn</t>
  </si>
  <si>
    <t>Tormund Glover</t>
  </si>
  <si>
    <t>Tormund Greyjoy</t>
  </si>
  <si>
    <t>Tormund Karstark</t>
  </si>
  <si>
    <t>Tormund Royce</t>
  </si>
  <si>
    <t>Tormund Tyrell</t>
  </si>
  <si>
    <t>000.000.378-00</t>
  </si>
  <si>
    <t>Tormund Yronwood</t>
  </si>
  <si>
    <t>Tyrion Blackwood</t>
  </si>
  <si>
    <t>Tyrion Clegane</t>
  </si>
  <si>
    <t>11400 moedas</t>
  </si>
  <si>
    <t>Tyrion Karstark</t>
  </si>
  <si>
    <t>000.000.038-00</t>
  </si>
  <si>
    <t>Tyrion Lannister</t>
  </si>
  <si>
    <t>000.000.028-00</t>
  </si>
  <si>
    <t>Tyrion Snow</t>
  </si>
  <si>
    <t>000.000.279-00</t>
  </si>
  <si>
    <t>Tyrion Tyrell</t>
  </si>
  <si>
    <t>000.000.190-00</t>
  </si>
  <si>
    <t>Varys  Blackwood</t>
  </si>
  <si>
    <t>000.000.267-00</t>
  </si>
  <si>
    <t>Varys  Stark</t>
  </si>
  <si>
    <t>000.000.377-00</t>
  </si>
  <si>
    <t>Varys Arryn</t>
  </si>
  <si>
    <t>Varys Blackwood</t>
  </si>
  <si>
    <t>000.000.373-00</t>
  </si>
  <si>
    <t>Varys Bolton</t>
  </si>
  <si>
    <t>000.000.272-00</t>
  </si>
  <si>
    <t>Varys Bracken</t>
  </si>
  <si>
    <t>2000 moedas</t>
  </si>
  <si>
    <t>Varys Florent</t>
  </si>
  <si>
    <t>000.000.264-00</t>
  </si>
  <si>
    <t>Varys Lannister</t>
  </si>
  <si>
    <t>000.000.367-00</t>
  </si>
  <si>
    <t>21600 moedas</t>
  </si>
  <si>
    <t>Varys Tallhart</t>
  </si>
  <si>
    <t>Varys Targaryen</t>
  </si>
  <si>
    <t>Viserys  Umber</t>
  </si>
  <si>
    <t>18000 moedas</t>
  </si>
  <si>
    <t>Viserys Baratheon</t>
  </si>
  <si>
    <t>Viserys Florent</t>
  </si>
  <si>
    <t>Viserys Hightower</t>
  </si>
  <si>
    <t>20800 moedas</t>
  </si>
  <si>
    <t>Viserys Seaworth</t>
  </si>
  <si>
    <t>Yara  Marbrand</t>
  </si>
  <si>
    <t>Yara Baelish</t>
  </si>
  <si>
    <t>000.000.344-00</t>
  </si>
  <si>
    <t>Yara Mallister</t>
  </si>
  <si>
    <t>Yara Payne</t>
  </si>
  <si>
    <t>Yara Royce</t>
  </si>
  <si>
    <t>000.000.320-00</t>
  </si>
  <si>
    <t>Yara Tallhart</t>
  </si>
  <si>
    <t>000.000.064-00</t>
  </si>
  <si>
    <t>Yara Targaryen</t>
  </si>
  <si>
    <t>18200 moedas</t>
  </si>
  <si>
    <t>31000 moedas</t>
  </si>
  <si>
    <t>Coluna</t>
  </si>
  <si>
    <t xml:space="preserve">Problema encontrado </t>
  </si>
  <si>
    <t xml:space="preserve"> O que foi feito </t>
  </si>
  <si>
    <t xml:space="preserve"> Por quê</t>
  </si>
  <si>
    <t>Todas</t>
  </si>
  <si>
    <t>Não formatado como planilha</t>
  </si>
  <si>
    <t>Formatar como planilha</t>
  </si>
  <si>
    <t>Possibilitar limpeza e filtragem de dados mais eficiente</t>
  </si>
  <si>
    <t>A</t>
  </si>
  <si>
    <t>Uppercase aleatório em palavras</t>
  </si>
  <si>
    <t xml:space="preserve">Pri. Maiuscula na coluna </t>
  </si>
  <si>
    <t>Leitura mais limpa</t>
  </si>
  <si>
    <t>Registros incorretos "inativoo"</t>
  </si>
  <si>
    <t>criei validação de dados</t>
  </si>
  <si>
    <t>evita problema de inserção de dados incorretos</t>
  </si>
  <si>
    <t>exclusão de linha com loqueado</t>
  </si>
  <si>
    <t>exclusao deste outlier</t>
  </si>
  <si>
    <t>Não representa dados da maioria</t>
  </si>
  <si>
    <t>Status inexistente</t>
  </si>
  <si>
    <t>definir como null</t>
  </si>
  <si>
    <t>Não é possível inferir</t>
  </si>
  <si>
    <t>B</t>
  </si>
  <si>
    <t>Nomes duplicados</t>
  </si>
  <si>
    <t>remoção de duplicatas</t>
  </si>
  <si>
    <t>evita dados inconsistentes</t>
  </si>
  <si>
    <t>datatype incorreto</t>
  </si>
  <si>
    <t>definir como texto</t>
  </si>
  <si>
    <t>evita erros com inserção e manipulação do dado</t>
  </si>
  <si>
    <t>C</t>
  </si>
  <si>
    <t>CPF inconsistente</t>
  </si>
  <si>
    <t>formatação através da fórmula TEXTO(cél;"000\.000\.000\-00")</t>
  </si>
  <si>
    <t>conserta leitura dos cpfs</t>
  </si>
  <si>
    <t>CPF inexistente</t>
  </si>
  <si>
    <t>D</t>
  </si>
  <si>
    <t>idade formatada incorreto</t>
  </si>
  <si>
    <t>extração de caracteres através de fórmula esquerdo (dado que todos os casos eram só com 2 chars)</t>
  </si>
  <si>
    <t>E</t>
  </si>
  <si>
    <t>definir como data abreviada</t>
  </si>
  <si>
    <t>corrige formatação ocasionado pelo typecast</t>
  </si>
  <si>
    <t>data de nascimento inexistente</t>
  </si>
  <si>
    <t>F</t>
  </si>
  <si>
    <t>cidades e regioes separadas por pipe</t>
  </si>
  <si>
    <t>dividir texto via formula, delimitador pipe, inserir output da regiao na coluna correta</t>
  </si>
  <si>
    <t>cidade inexistente</t>
  </si>
  <si>
    <t>regiao inexistente</t>
  </si>
  <si>
    <t>H e I</t>
  </si>
  <si>
    <t>formatação de contabil, através de definição como número, e preenchimento relampago com inputs apenas numericos</t>
  </si>
  <si>
    <t xml:space="preserve">formatação correta dos numeros </t>
  </si>
  <si>
    <t>valores inexistentes</t>
  </si>
  <si>
    <t>J</t>
  </si>
  <si>
    <t>inadimplencia sem fórmula</t>
  </si>
  <si>
    <t>fórmula com tratamento de exceção com condicionais</t>
  </si>
  <si>
    <t>automatiza flag da inadimplencia</t>
  </si>
  <si>
    <t>K</t>
  </si>
  <si>
    <t>preenchimento relampago para apenas dados numericos</t>
  </si>
  <si>
    <t>dado incorreto</t>
  </si>
  <si>
    <t>tornar null</t>
  </si>
  <si>
    <t>para posterior correção do detentor do dado</t>
  </si>
  <si>
    <t>L</t>
  </si>
  <si>
    <t>sem informação de nivel de risco</t>
  </si>
  <si>
    <t>levar em consideração media e divisão por 3 do nivel de risco</t>
  </si>
  <si>
    <t>definição do que se considera risco médio no datset</t>
  </si>
  <si>
    <t>sem calculo de nivel de risco</t>
  </si>
  <si>
    <t>condicional que considera &lt;=15 baixo, &gt;=15 &lt;=30 medio, &gt;30 alto</t>
  </si>
  <si>
    <t>cria um limiar para os niveis de risco</t>
  </si>
  <si>
    <t>sem visualização nivel de risco</t>
  </si>
  <si>
    <t>formatação condicional para nível de risco</t>
  </si>
  <si>
    <t>melhor visualização</t>
  </si>
  <si>
    <t>correção na formatação para tipo contábil</t>
  </si>
  <si>
    <t>datatype correto</t>
  </si>
  <si>
    <t>todas</t>
  </si>
  <si>
    <t>s/ centralização</t>
  </si>
  <si>
    <t>centralizar e formatar adequadamente considerando tipo de dado</t>
  </si>
  <si>
    <t>ATIVO</t>
  </si>
  <si>
    <t>yara targaryen</t>
  </si>
  <si>
    <t>ilhas de ferro</t>
  </si>
  <si>
    <t>catelyn westerling</t>
  </si>
  <si>
    <t>rhaegar stark</t>
  </si>
  <si>
    <t>TERRAS DA COROA</t>
  </si>
  <si>
    <t>1 batalhas</t>
  </si>
  <si>
    <t>samwell yronwood</t>
  </si>
  <si>
    <t>Ativoo</t>
  </si>
  <si>
    <t>BRONN ARRYN</t>
  </si>
  <si>
    <t>oeste</t>
  </si>
  <si>
    <t>MEERA PAYNE</t>
  </si>
  <si>
    <t>DORNE</t>
  </si>
  <si>
    <t>MELISANDRE BARATHEON</t>
  </si>
  <si>
    <t>27 batalhas</t>
  </si>
  <si>
    <t>CAMPINA</t>
  </si>
  <si>
    <t>000.000.140-00</t>
  </si>
  <si>
    <t>campina</t>
  </si>
  <si>
    <t>VARYS BRACKEN</t>
  </si>
  <si>
    <t>000.000.294-00</t>
  </si>
  <si>
    <t>gargalo</t>
  </si>
  <si>
    <t>38 batalhas</t>
  </si>
  <si>
    <t>ELLARIA TARLY</t>
  </si>
  <si>
    <t>ativo</t>
  </si>
  <si>
    <t>46 anos</t>
  </si>
  <si>
    <t>28 batalhas</t>
  </si>
  <si>
    <t>BERIC CRAKEHALL</t>
  </si>
  <si>
    <t>55 anos</t>
  </si>
  <si>
    <t>10 batalhas</t>
  </si>
  <si>
    <t>bran florent</t>
  </si>
  <si>
    <t>24 anos</t>
  </si>
  <si>
    <t>renly dayne</t>
  </si>
  <si>
    <t>3 batalhas</t>
  </si>
  <si>
    <t>000.000.277-00</t>
  </si>
  <si>
    <t>LORAS BAELISH</t>
  </si>
  <si>
    <t>loras payne</t>
  </si>
  <si>
    <t>24 batalhas</t>
  </si>
  <si>
    <t>MELISANDRE TARGARYEN</t>
  </si>
  <si>
    <t>loqueado</t>
  </si>
  <si>
    <t>000.000.047-00</t>
  </si>
  <si>
    <t>31 batalhas</t>
  </si>
  <si>
    <t>tormund glover</t>
  </si>
  <si>
    <t>THEON BARATHEON</t>
  </si>
  <si>
    <t>tormund royce</t>
  </si>
  <si>
    <t>OESTE</t>
  </si>
  <si>
    <t>RENLY MORMONT</t>
  </si>
  <si>
    <t>19 batalhas</t>
  </si>
  <si>
    <t>EDDARD WESTERLING</t>
  </si>
  <si>
    <t>41 batalhas</t>
  </si>
  <si>
    <t>29 batalhas</t>
  </si>
  <si>
    <t>inativo</t>
  </si>
  <si>
    <t>SANDOR WESTERLING</t>
  </si>
  <si>
    <t>30 batalhas</t>
  </si>
  <si>
    <t>5 batalhas</t>
  </si>
  <si>
    <t>ROBERT CERWYN</t>
  </si>
  <si>
    <t>THOROS HORNWOOD</t>
  </si>
  <si>
    <t>INATIVO</t>
  </si>
  <si>
    <t>27 anos</t>
  </si>
  <si>
    <t>40 batalhas</t>
  </si>
  <si>
    <t>robert mallister</t>
  </si>
  <si>
    <t>BRIENNE KARSTARK</t>
  </si>
  <si>
    <t>000.000.006-00</t>
  </si>
  <si>
    <t>theon tarth</t>
  </si>
  <si>
    <t>18 batalhas</t>
  </si>
  <si>
    <t>renly bolton</t>
  </si>
  <si>
    <t>BRAN BOLTON</t>
  </si>
  <si>
    <t>000.000.307-00</t>
  </si>
  <si>
    <t>000.000.008-00</t>
  </si>
  <si>
    <t>000.000.020-00</t>
  </si>
  <si>
    <t>32 anos</t>
  </si>
  <si>
    <t>theon baelish</t>
  </si>
  <si>
    <t>missandei redwyne</t>
  </si>
  <si>
    <t>000.000.007-00</t>
  </si>
  <si>
    <t>CERSEI GLOVER</t>
  </si>
  <si>
    <t>4 batalhas</t>
  </si>
  <si>
    <t>13 batalhas</t>
  </si>
  <si>
    <t>26 batalhas</t>
  </si>
  <si>
    <t>000.000.374-00</t>
  </si>
  <si>
    <t>000.000.339-00</t>
  </si>
  <si>
    <t>petyr yronwood</t>
  </si>
  <si>
    <t>000.000.104-00</t>
  </si>
  <si>
    <t>6 batalhas</t>
  </si>
  <si>
    <t>MARGAERY DONDARRION</t>
  </si>
  <si>
    <t>41 anos</t>
  </si>
  <si>
    <t>000.000.004-00</t>
  </si>
  <si>
    <t>RENLY STARK</t>
  </si>
  <si>
    <t>olenna hornwood</t>
  </si>
  <si>
    <t>51 anos</t>
  </si>
  <si>
    <t>7 batalhas</t>
  </si>
  <si>
    <t>000.000.103-00</t>
  </si>
  <si>
    <t>LYANNA TARTH</t>
  </si>
  <si>
    <t>000.000.010-00</t>
  </si>
  <si>
    <t>80000 moedas</t>
  </si>
  <si>
    <t>48500 moedas</t>
  </si>
  <si>
    <t>000.000.079-00</t>
  </si>
  <si>
    <t>DAARIO TARLY</t>
  </si>
  <si>
    <t>000.000.280-00</t>
  </si>
  <si>
    <t>29500 moedas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</si>
</sst>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_-[$R$-416]\ * #,##0.00_-;\-[$R$-416]\ * #,##0.00_-;_-[$R$-416]\ * &quot;-&quot;??_-;_-@_-"/>
    <numFmt numFmtId="168" formatCode="_-[$$-409]* #,##0.00_ ;_-[$$-409]* \-#,##0.00\ ;_-[$$-409]* &quot;-&quot;??_ ;_-@_ "/>
    <numFmt numFmtId="170" formatCode="_-[$$-409]* #,##0_ ;_-[$$-409]* \-#,##0\ ;_-[$$-409]* &quot;-&quot;_ ;_-@_ "/>
    <numFmt numFmtId="177" formatCode="0.0"/>
  </numFmts>
  <fonts count="9">
    <font>
      <sz val="11"/>
      <color theme="1"/>
      <name val="Calibri"/>
      <family val="2"/>
      <scheme val="minor"/>
    </font>
    <font>
      <sz val="11"/>
      <color theme="1"/>
      <name val="Arial"/>
    </font>
    <font>
      <sz val="11"/>
      <color rgb="FF242424"/>
      <name val="Arial"/>
    </font>
    <font>
      <b/>
      <sz val="11"/>
      <color theme="0"/>
      <name val="Calibri"/>
      <family val="2"/>
      <scheme val="minor"/>
    </font>
    <font>
      <b/>
      <sz val="11"/>
      <color theme="0"/>
      <name val="Arial"/>
    </font>
    <font>
      <sz val="11"/>
      <color theme="0"/>
      <name val="Arial"/>
    </font>
    <font>
      <i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" fillId="5" borderId="0" xfId="0" applyFont="1" applyFill="1"/>
    <xf numFmtId="14" fontId="0" fillId="0" borderId="0" xfId="0" applyNumberFormat="1"/>
    <xf numFmtId="8" fontId="0" fillId="0" borderId="0" xfId="0" applyNumberFormat="1"/>
    <xf numFmtId="3" fontId="0" fillId="0" borderId="0" xfId="0" applyNumberFormat="1"/>
    <xf numFmtId="0" fontId="0" fillId="8" borderId="1" xfId="0" applyFont="1" applyFill="1" applyBorder="1"/>
    <xf numFmtId="0" fontId="0" fillId="0" borderId="1" xfId="0" applyFont="1" applyBorder="1"/>
    <xf numFmtId="49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/>
    <xf numFmtId="0" fontId="5" fillId="4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2" fontId="3" fillId="9" borderId="1" xfId="0" applyNumberFormat="1" applyFont="1" applyFill="1" applyBorder="1"/>
    <xf numFmtId="2" fontId="0" fillId="0" borderId="1" xfId="0" applyNumberFormat="1" applyFont="1" applyBorder="1"/>
    <xf numFmtId="2" fontId="0" fillId="8" borderId="1" xfId="0" applyNumberFormat="1" applyFont="1" applyFill="1" applyBorder="1"/>
    <xf numFmtId="2" fontId="0" fillId="0" borderId="0" xfId="0" applyNumberFormat="1"/>
    <xf numFmtId="168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NumberFormat="1" applyFont="1" applyAlignment="1">
      <alignment horizontal="left"/>
    </xf>
    <xf numFmtId="14" fontId="0" fillId="0" borderId="0" xfId="0" applyNumberFormat="1" applyAlignment="1">
      <alignment horizontal="center"/>
    </xf>
    <xf numFmtId="177" fontId="1" fillId="0" borderId="0" xfId="0" applyNumberFormat="1" applyFont="1"/>
    <xf numFmtId="0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left"/>
    </xf>
    <xf numFmtId="0" fontId="8" fillId="0" borderId="0" xfId="0" applyFont="1" applyFill="1" applyAlignment="1">
      <alignment horizontal="center"/>
    </xf>
  </cellXfs>
  <cellStyles count="1">
    <cellStyle name="Normal" xfId="0" builtinId="0"/>
  </cellStyles>
  <dxfs count="53">
    <dxf>
      <numFmt numFmtId="170" formatCode="_-[$$-409]* #,##0_ ;_-[$$-409]* \-#,##0\ ;_-[$$-409]* &quot;-&quot;_ ;_-@_ "/>
      <alignment horizontal="left"/>
    </dxf>
    <dxf>
      <numFmt numFmtId="0" formatCode="General"/>
      <alignment horizontal="center"/>
    </dxf>
    <dxf>
      <fill>
        <patternFill patternType="none"/>
      </fill>
      <alignment horizontal="center"/>
    </dxf>
    <dxf>
      <alignment horizontal="center"/>
    </dxf>
    <dxf>
      <numFmt numFmtId="170" formatCode="_-[$$-409]* #,##0_ ;_-[$$-409]* \-#,##0\ ;_-[$$-409]* &quot;-&quot;_ ;_-@_ "/>
      <alignment horizontal="left"/>
    </dxf>
    <dxf>
      <numFmt numFmtId="170" formatCode="_-[$$-409]* #,##0_ ;_-[$$-409]* \-#,##0\ ;_-[$$-409]* &quot;-&quot;_ ;_-@_ "/>
      <alignment horizontal="left"/>
    </dxf>
    <dxf>
      <alignment horizontal="left"/>
    </dxf>
    <dxf>
      <alignment horizontal="left"/>
    </dxf>
    <dxf>
      <numFmt numFmtId="19" formatCode="dd/mm/yyyy"/>
      <alignment horizontal="center"/>
    </dxf>
    <dxf>
      <alignment horizontal="center"/>
    </dxf>
    <dxf>
      <numFmt numFmtId="30" formatCode="@"/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font>
        <b val="0"/>
        <color rgb="FF000000"/>
      </font>
      <alignment horizontal="center"/>
    </dxf>
    <dxf>
      <font>
        <b/>
        <i/>
      </font>
    </dxf>
    <dxf>
      <font>
        <b/>
        <i/>
      </font>
    </dxf>
    <dxf>
      <font>
        <b/>
        <i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rgb="FF9C0006"/>
      </font>
    </dxf>
    <dxf>
      <font>
        <color theme="9"/>
      </font>
    </dxf>
    <dxf>
      <font>
        <name val="Arial"/>
      </font>
      <numFmt numFmtId="0" formatCode="General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color theme="9" tint="-0.249977111117893"/>
      </font>
    </dxf>
    <dxf>
      <font>
        <color rgb="FF9C0006"/>
      </font>
    </dxf>
    <dxf>
      <font>
        <color rgb="FF9C0006"/>
      </font>
    </dxf>
    <dxf>
      <font>
        <color theme="9" tint="-0.249977111117893"/>
      </font>
    </dxf>
    <dxf>
      <font>
        <name val="Arial"/>
      </font>
      <numFmt numFmtId="0" formatCode="General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  <numFmt numFmtId="164" formatCode="_-[$R$-416]\ * #,##0.00_-;\-[$R$-416]\ * #,##0.00_-;_-[$R$-416]\ * &quot;-&quot;??_-;_-@_-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briel Bruno Oliveira" id="{88C1102A-B8CE-4D04-BF21-20E935C8F8F1}" userId="80d5d064528c7da3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662C1B-64FF-4E27-BBBB-C648501FAA0C}" name="Tabela1" displayName="Tabela1" ref="A2:E6" totalsRowShown="0" headerRowDxfId="52" dataDxfId="51">
  <autoFilter ref="A2:E6" xr:uid="{2D662C1B-64FF-4E27-BBBB-C648501FAA0C}"/>
  <tableColumns count="5">
    <tableColumn id="1" xr3:uid="{35584A83-8E04-44C1-A545-D24F4E553A14}" name="ID_Produto" dataDxfId="50"/>
    <tableColumn id="2" xr3:uid="{E7ABCE77-6B67-4C57-95CC-AB367A7C42B8}" name="Tipo_de_Cafe" dataDxfId="49"/>
    <tableColumn id="3" xr3:uid="{95D6ED72-396A-4DC3-BE41-4BAC66F3975E}" name="Tamanho" dataDxfId="48"/>
    <tableColumn id="4" xr3:uid="{D5F75709-0390-41E5-88E8-2177FC7C3CFB}" name="Valor_Unitario" dataDxfId="47"/>
    <tableColumn id="5" xr3:uid="{75C1E3EE-BA34-4814-A88A-F36458E8242E}" name="Quantidade" dataDxfId="4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E9F1B6-AA40-49BE-B9BB-4682AFA72717}" name="Tabela2" displayName="Tabela2" ref="A2:D8" totalsRowShown="0" headerRowDxfId="45" dataDxfId="44">
  <autoFilter ref="A2:D8" xr:uid="{57E9F1B6-AA40-49BE-B9BB-4682AFA72717}"/>
  <tableColumns count="4">
    <tableColumn id="1" xr3:uid="{E432FC92-E064-483E-8957-AEC800429DCF}" name="FUNCIONARIO" dataDxfId="43"/>
    <tableColumn id="2" xr3:uid="{6F81C100-E7FB-4660-B5BA-FB07F1BD843B}" name="PRODUTO" dataDxfId="42"/>
    <tableColumn id="3" xr3:uid="{F28552F8-3492-40C4-8F96-A0EFF3897FCC}" name="VENDAS" dataDxfId="41"/>
    <tableColumn id="4" xr3:uid="{119D4DD9-2BF5-4599-824B-37C345794466}" name="RESULTADO" dataDxfId="40">
      <calculatedColumnFormula array="1">_xlfn.IFS(Tabela2[[#This Row],[VENDAS]]&gt;5,"Ótimo",Tabela2[[#This Row],[VENDAS]]&lt;5,"Péssimo",Tabela2[[#This Row],[VENDAS]]=5,"Regular")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3404AD-0A46-4381-AF16-B18153A44859}" name="Tabela3" displayName="Tabela3" ref="A2:G7" totalsRowShown="0" headerRowDxfId="35" dataDxfId="34">
  <autoFilter ref="A2:G7" xr:uid="{D33404AD-0A46-4381-AF16-B18153A44859}"/>
  <tableColumns count="7">
    <tableColumn id="1" xr3:uid="{22B0647C-177B-4865-9F2F-69E2298CF70C}" name="RA" dataDxfId="33"/>
    <tableColumn id="2" xr3:uid="{81561E03-3B16-4338-9C26-4551F7F0CDA4}" name="Nome de Aluno" dataDxfId="32"/>
    <tableColumn id="3" xr3:uid="{29963808-9C70-44E0-8D3A-9A9D1C275FB6}" name="Nota 1 Trimestre" dataDxfId="31"/>
    <tableColumn id="4" xr3:uid="{05CF8DF4-17F4-4EA3-B562-42532ED3FBB3}" name="Nota 2 Trimestre" dataDxfId="30"/>
    <tableColumn id="5" xr3:uid="{1BB3A783-E23E-4007-B28B-1A8A7D69CBE9}" name="Nota 3 Trimestre" dataDxfId="29"/>
    <tableColumn id="6" xr3:uid="{8E998410-CA9A-4DA8-B222-C3D649480DE1}" name="Média final" dataDxfId="28">
      <calculatedColumnFormula>AVERAGE(Tabela3[[#This Row],[Nota 1 Trimestre]:[Nota 3 Trimestre]])</calculatedColumnFormula>
    </tableColumn>
    <tableColumn id="7" xr3:uid="{F98F6DF8-C048-444C-B795-632D73226DBB}" name="Resultado" dataDxfId="27">
      <calculatedColumnFormula>IF(Tabela3[[#This Row],[Média final]]&gt;6,"Aprovado","Reprovado")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64D950-8239-4351-85DF-296DB3116249}" name="Tabela4" displayName="Tabela4" ref="A2:F7" totalsRowShown="0" dataDxfId="24">
  <autoFilter ref="A2:F7" xr:uid="{B264D950-8239-4351-85DF-296DB3116249}"/>
  <tableColumns count="6">
    <tableColumn id="1" xr3:uid="{26F47033-A3C7-4B4A-B5C7-90CE9054DEF7}" name="Nome" dataDxfId="23"/>
    <tableColumn id="2" xr3:uid="{ED211B0B-B3AB-48F8-A8DA-F40942C4CBD3}" name="Idade" dataDxfId="22"/>
    <tableColumn id="3" xr3:uid="{4019D164-839C-46B7-B634-806344453B22}" name="Ensino Médio" dataDxfId="21"/>
    <tableColumn id="4" xr3:uid="{65017E95-F7BC-4536-BBB4-0D6AEFE2AC86}" name="Curso técnico " dataDxfId="20"/>
    <tableColumn id="5" xr3:uid="{59802A8F-2997-4819-9449-C5DB2C60C2E5}" name="Anos de experiência na área" dataDxfId="19"/>
    <tableColumn id="6" xr3:uid="{33E361C0-0EE8-43CA-BB1B-BB4F940A00F7}" name="Situação" dataDxfId="18">
      <calculatedColumnFormula>IF(AND(Tabela4[[#This Row],[Idade]]&gt;=18,Tabela4[[#This Row],[Ensino Médio]]="Sim",Tabela4[[#This Row],[Curso técnico ]]="Sim",Tabela4[[#This Row],[Anos de experiência na área]]&gt;=3)=TRUE,"Apto","Não Apto")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6907AB-6471-476B-A402-E9825DF06F63}" name="Tabela6" displayName="Tabela6" ref="A1:M326" totalsRowShown="0" headerRowDxfId="14" dataDxfId="13">
  <autoFilter ref="A1:M326" xr:uid="{CC6907AB-6471-476B-A402-E9825DF06F63}"/>
  <sortState xmlns:xlrd2="http://schemas.microsoft.com/office/spreadsheetml/2017/richdata2" ref="A2:M326">
    <sortCondition ref="B1:B326"/>
  </sortState>
  <tableColumns count="13">
    <tableColumn id="16" xr3:uid="{BA639D7C-ECE3-48A6-936A-C8B20DD0E28E}" name="status" dataDxfId="12"/>
    <tableColumn id="19" xr3:uid="{D10C5AF0-4A0B-4D1E-8069-D6AA5CC9B397}" name="nome" dataDxfId="11"/>
    <tableColumn id="3" xr3:uid="{08CA0AA8-35CA-4D59-B7F0-B541E937DF0F}" name="cpf" dataDxfId="10"/>
    <tableColumn id="4" xr3:uid="{3941F72A-661D-4AC0-8280-DF715DE3BADD}" name="idade" dataDxfId="9"/>
    <tableColumn id="5" xr3:uid="{EA9FFBB4-95B9-4EE7-8320-A452312B41F9}" name="data_nascimento" dataDxfId="8"/>
    <tableColumn id="6" xr3:uid="{C8D109EF-82FA-4C6D-950B-CA47D0B724D1}" name="cidade" dataDxfId="7"/>
    <tableColumn id="7" xr3:uid="{74E7CF7E-ED10-4499-A2EB-6D4DEEDB614A}" name="regiao" dataDxfId="6"/>
    <tableColumn id="8" xr3:uid="{EA866C51-DC99-490B-AC6E-A202D30F78EC}" name="renda_mensal" dataDxfId="5"/>
    <tableColumn id="9" xr3:uid="{857E6350-598A-4E2F-89F2-027186B8986A}" name="credito_tomado" dataDxfId="4"/>
    <tableColumn id="10" xr3:uid="{4961F81B-FC2B-4E6B-841D-B983863F98B8}" name="flag_inadimplente" dataDxfId="3"/>
    <tableColumn id="1" xr3:uid="{FABB6C40-F880-4539-B567-43D3EB579859}" name="qtde_batalhas" dataDxfId="2"/>
    <tableColumn id="12" xr3:uid="{E5447849-20F0-4EE4-8459-DC9AB097DE5B}" name="nivel_risco" dataDxfId="1">
      <calculatedColumnFormula array="1">_xlfn.IFS(Tabela6[[#This Row],[qtde_batalhas]]&lt;=15,"Baixo",Tabela6[[#This Row],[qtde_batalhas]]&gt;=30,"Alto",Tabela6[[#This Row],[qtde_batalhas]]&lt;30,"Médio")</calculatedColumnFormula>
    </tableColumn>
    <tableColumn id="14" xr3:uid="{787B8462-70C5-4D4A-8052-B62182263638}" name="valor_solicitado" dataDxfId="0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3905F5-9727-4E64-AE86-028A20CC1722}" name="Tabela5" displayName="Tabela5" ref="A1:D41" totalsRowShown="0">
  <autoFilter ref="A1:D41" xr:uid="{A03905F5-9727-4E64-AE86-028A20CC1722}"/>
  <tableColumns count="4">
    <tableColumn id="1" xr3:uid="{40F0551D-3F00-4BB9-B2F7-81F11BD959AA}" name="Coluna"/>
    <tableColumn id="5" xr3:uid="{09456D90-ECFA-4B54-8D9B-92C8B831F6B6}" name="Problema encontrado "/>
    <tableColumn id="3" xr3:uid="{F52B5756-33EE-444A-B67E-851872C4F105}" name=" O que foi feito "/>
    <tableColumn id="4" xr3:uid="{A549B3A4-C443-4E84-ADC9-633D0E6211C3}" name=" Por qu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08T20:38:50.27" personId="{88C1102A-B8CE-4D04-BF21-20E935C8F8F1}" id="{5058E6BC-7775-46FD-90DF-0635F77BB3FB}">
    <text>TROCAR POR COL 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selection activeCell="G6" sqref="G1:H6"/>
    </sheetView>
  </sheetViews>
  <sheetFormatPr defaultRowHeight="15"/>
  <cols>
    <col min="1" max="1" width="22.5703125" bestFit="1" customWidth="1"/>
    <col min="2" max="2" width="17.42578125" bestFit="1" customWidth="1"/>
    <col min="3" max="4" width="18.5703125" bestFit="1" customWidth="1"/>
    <col min="5" max="5" width="29" bestFit="1" customWidth="1"/>
    <col min="6" max="6" width="13.5703125" bestFit="1" customWidth="1"/>
    <col min="7" max="7" width="15" bestFit="1" customWidth="1"/>
  </cols>
  <sheetData>
    <row r="1" spans="1:10">
      <c r="A1" s="19" t="s">
        <v>0</v>
      </c>
      <c r="B1" s="19"/>
      <c r="C1" s="19"/>
      <c r="D1" s="19"/>
      <c r="E1" s="19"/>
      <c r="F1" s="2"/>
      <c r="G1" s="2"/>
      <c r="H1" s="2"/>
      <c r="I1" s="2"/>
      <c r="J1" s="2"/>
    </row>
    <row r="2" spans="1:10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2"/>
      <c r="G2" s="2"/>
      <c r="H2" s="2"/>
      <c r="I2" s="2"/>
      <c r="J2" s="2"/>
    </row>
    <row r="3" spans="1:10">
      <c r="A3" s="2">
        <v>2</v>
      </c>
      <c r="B3" s="2" t="s">
        <v>6</v>
      </c>
      <c r="C3" s="2" t="s">
        <v>7</v>
      </c>
      <c r="D3" s="3">
        <v>29.79</v>
      </c>
      <c r="E3" s="2">
        <v>20</v>
      </c>
      <c r="F3" s="2"/>
      <c r="G3" s="2"/>
      <c r="H3" s="2"/>
      <c r="I3" s="2"/>
      <c r="J3" s="2"/>
    </row>
    <row r="4" spans="1:10">
      <c r="A4" s="2">
        <v>1</v>
      </c>
      <c r="B4" s="2" t="s">
        <v>6</v>
      </c>
      <c r="C4" s="2" t="s">
        <v>7</v>
      </c>
      <c r="D4" s="3">
        <v>3.89</v>
      </c>
      <c r="E4" s="2">
        <v>10</v>
      </c>
      <c r="F4" s="2"/>
      <c r="G4" s="2"/>
      <c r="H4" s="2"/>
      <c r="I4" s="2"/>
      <c r="J4" s="2"/>
    </row>
    <row r="5" spans="1:10">
      <c r="A5" s="2">
        <v>3</v>
      </c>
      <c r="B5" s="2" t="s">
        <v>8</v>
      </c>
      <c r="C5" s="2" t="s">
        <v>9</v>
      </c>
      <c r="D5" s="3">
        <v>3.38</v>
      </c>
      <c r="E5" s="2">
        <v>30</v>
      </c>
      <c r="F5" s="2"/>
      <c r="G5" s="2"/>
      <c r="H5" s="2"/>
      <c r="I5" s="2"/>
      <c r="J5" s="2"/>
    </row>
    <row r="6" spans="1:10">
      <c r="A6" s="2">
        <v>4</v>
      </c>
      <c r="B6" s="2" t="s">
        <v>10</v>
      </c>
      <c r="C6" s="2" t="s">
        <v>11</v>
      </c>
      <c r="D6" s="3">
        <v>13.43</v>
      </c>
      <c r="E6" s="2">
        <v>40</v>
      </c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G8" s="2"/>
      <c r="H8" s="2"/>
      <c r="I8" s="2"/>
      <c r="J8" s="2"/>
    </row>
    <row r="9" spans="1:10">
      <c r="G9" s="2"/>
      <c r="H9" s="2"/>
      <c r="I9" s="2"/>
      <c r="J9" s="2"/>
    </row>
    <row r="10" spans="1:10">
      <c r="G10" s="2"/>
      <c r="H10" s="2"/>
      <c r="I10" s="2"/>
      <c r="J10" s="2"/>
    </row>
    <row r="11" spans="1:10">
      <c r="G11" s="2"/>
      <c r="H11" s="2"/>
      <c r="I11" s="2"/>
      <c r="J11" s="2"/>
    </row>
    <row r="12" spans="1:10">
      <c r="G12" s="2"/>
      <c r="H12" s="2"/>
      <c r="I12" s="2"/>
      <c r="J12" s="2"/>
    </row>
    <row r="13" spans="1:10">
      <c r="G13" s="2"/>
      <c r="H13" s="2"/>
      <c r="I13" s="2"/>
      <c r="J13" s="2"/>
    </row>
    <row r="14" spans="1:10">
      <c r="G14" s="2"/>
      <c r="H14" s="2"/>
      <c r="I14" s="2"/>
      <c r="J14" s="2"/>
    </row>
    <row r="15" spans="1:10"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J17" s="2"/>
    </row>
    <row r="18" spans="1:10">
      <c r="J18" s="2"/>
    </row>
    <row r="19" spans="1:10">
      <c r="J19" s="2"/>
    </row>
    <row r="20" spans="1:10">
      <c r="J20" s="2"/>
    </row>
    <row r="21" spans="1:10">
      <c r="J21" s="2"/>
    </row>
    <row r="22" spans="1:10"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J24" s="2"/>
    </row>
    <row r="25" spans="1:10">
      <c r="J25" s="2"/>
    </row>
    <row r="26" spans="1:10">
      <c r="J26" s="2"/>
    </row>
    <row r="27" spans="1:10">
      <c r="J27" s="2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7759-1F1C-445D-B6C8-DB37CEA28D2F}">
  <dimension ref="A1:F8"/>
  <sheetViews>
    <sheetView workbookViewId="0">
      <selection sqref="A1:D1"/>
    </sheetView>
  </sheetViews>
  <sheetFormatPr defaultRowHeight="15"/>
  <cols>
    <col min="1" max="1" width="28.140625" bestFit="1" customWidth="1"/>
    <col min="2" max="2" width="14.140625" bestFit="1" customWidth="1"/>
    <col min="3" max="3" width="12.42578125" bestFit="1" customWidth="1"/>
    <col min="4" max="4" width="16.7109375" bestFit="1" customWidth="1"/>
  </cols>
  <sheetData>
    <row r="1" spans="1:6">
      <c r="A1" s="20" t="s">
        <v>12</v>
      </c>
      <c r="B1" s="20"/>
      <c r="C1" s="20"/>
      <c r="D1" s="20"/>
      <c r="E1" s="2"/>
      <c r="F1" s="2"/>
    </row>
    <row r="2" spans="1:6">
      <c r="A2" s="2" t="s">
        <v>13</v>
      </c>
      <c r="B2" s="2" t="s">
        <v>14</v>
      </c>
      <c r="C2" s="2" t="s">
        <v>15</v>
      </c>
      <c r="D2" s="2" t="s">
        <v>16</v>
      </c>
      <c r="E2" s="2"/>
      <c r="F2" s="2"/>
    </row>
    <row r="3" spans="1:6">
      <c r="A3" s="2" t="s">
        <v>17</v>
      </c>
      <c r="B3" s="2" t="s">
        <v>18</v>
      </c>
      <c r="C3" s="2">
        <v>8</v>
      </c>
      <c r="D3" s="2" t="str" cm="1">
        <f t="array" ref="D3">_xlfn.IFS(Tabela2[[#This Row],[VENDAS]]&gt;5,"Ótimo",Tabela2[[#This Row],[VENDAS]]&lt;5,"Péssimo",Tabela2[[#This Row],[VENDAS]]=5,"Regular")</f>
        <v>Ótimo</v>
      </c>
      <c r="E3" s="2"/>
      <c r="F3" s="4"/>
    </row>
    <row r="4" spans="1:6">
      <c r="A4" s="2" t="s">
        <v>19</v>
      </c>
      <c r="B4" s="2" t="s">
        <v>20</v>
      </c>
      <c r="C4" s="2">
        <v>5</v>
      </c>
      <c r="D4" s="2" t="str" cm="1">
        <f t="array" ref="D4">_xlfn.IFS(Tabela2[[#This Row],[VENDAS]]&gt;5,"Ótimo",Tabela2[[#This Row],[VENDAS]]&lt;5,"Péssimo",Tabela2[[#This Row],[VENDAS]]=5,"Regular")</f>
        <v>Regular</v>
      </c>
      <c r="E4" s="2"/>
      <c r="F4" s="2"/>
    </row>
    <row r="5" spans="1:6">
      <c r="A5" s="2" t="s">
        <v>21</v>
      </c>
      <c r="B5" s="2" t="s">
        <v>22</v>
      </c>
      <c r="C5" s="2">
        <v>9</v>
      </c>
      <c r="D5" s="2" t="str" cm="1">
        <f t="array" ref="D5">_xlfn.IFS(Tabela2[[#This Row],[VENDAS]]&gt;5,"Ótimo",Tabela2[[#This Row],[VENDAS]]&lt;5,"Péssimo",Tabela2[[#This Row],[VENDAS]]=5,"Regular")</f>
        <v>Ótimo</v>
      </c>
      <c r="E5" s="2"/>
      <c r="F5" s="2"/>
    </row>
    <row r="6" spans="1:6">
      <c r="A6" s="2" t="s">
        <v>23</v>
      </c>
      <c r="B6" s="2" t="s">
        <v>24</v>
      </c>
      <c r="C6" s="2">
        <v>4</v>
      </c>
      <c r="D6" s="2" t="str" cm="1">
        <f t="array" ref="D6">_xlfn.IFS(Tabela2[[#This Row],[VENDAS]]&gt;5,"Ótimo",Tabela2[[#This Row],[VENDAS]]&lt;5,"Péssimo",Tabela2[[#This Row],[VENDAS]]=5,"Regular")</f>
        <v>Péssimo</v>
      </c>
      <c r="E6" s="2"/>
      <c r="F6" s="2"/>
    </row>
    <row r="7" spans="1:6">
      <c r="A7" s="2" t="s">
        <v>25</v>
      </c>
      <c r="B7" s="2" t="s">
        <v>26</v>
      </c>
      <c r="C7" s="2">
        <v>6</v>
      </c>
      <c r="D7" s="2" t="str" cm="1">
        <f t="array" ref="D7">_xlfn.IFS(Tabela2[[#This Row],[VENDAS]]&gt;5,"Ótimo",Tabela2[[#This Row],[VENDAS]]&lt;5,"Péssimo",Tabela2[[#This Row],[VENDAS]]=5,"Regular")</f>
        <v>Ótimo</v>
      </c>
      <c r="E7" s="2"/>
      <c r="F7" s="2"/>
    </row>
    <row r="8" spans="1:6">
      <c r="A8" s="2" t="s">
        <v>27</v>
      </c>
      <c r="B8" s="2" t="s">
        <v>28</v>
      </c>
      <c r="C8" s="2">
        <v>3</v>
      </c>
      <c r="D8" s="2" t="str" cm="1">
        <f t="array" ref="D8">_xlfn.IFS(Tabela2[[#This Row],[VENDAS]]&gt;5,"Ótimo",Tabela2[[#This Row],[VENDAS]]&lt;5,"Péssimo",Tabela2[[#This Row],[VENDAS]]=5,"Regular")</f>
        <v>Péssimo</v>
      </c>
      <c r="E8" s="2"/>
      <c r="F8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4066-EC82-4F4C-9218-BF4248A4C646}">
  <dimension ref="A1:I7"/>
  <sheetViews>
    <sheetView workbookViewId="0">
      <selection activeCell="F3" sqref="F3"/>
    </sheetView>
  </sheetViews>
  <sheetFormatPr defaultRowHeight="15"/>
  <cols>
    <col min="1" max="1" width="6.5703125" bestFit="1" customWidth="1"/>
    <col min="2" max="2" width="19.28515625" bestFit="1" customWidth="1"/>
    <col min="3" max="5" width="20.42578125" bestFit="1" customWidth="1"/>
    <col min="6" max="6" width="14.5703125" bestFit="1" customWidth="1"/>
    <col min="7" max="7" width="13.85546875" bestFit="1" customWidth="1"/>
    <col min="9" max="9" width="11.5703125" bestFit="1" customWidth="1"/>
  </cols>
  <sheetData>
    <row r="1" spans="1:9">
      <c r="A1" s="21" t="s">
        <v>29</v>
      </c>
      <c r="B1" s="21"/>
      <c r="C1" s="21"/>
      <c r="D1" s="21"/>
      <c r="E1" s="21"/>
      <c r="F1" s="21"/>
      <c r="G1" s="21"/>
      <c r="H1" s="2"/>
      <c r="I1" s="2"/>
    </row>
    <row r="2" spans="1:9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/>
      <c r="I2" s="4"/>
    </row>
    <row r="3" spans="1:9">
      <c r="A3" s="2">
        <v>2001</v>
      </c>
      <c r="B3" s="2" t="s">
        <v>37</v>
      </c>
      <c r="C3" s="2">
        <v>5</v>
      </c>
      <c r="D3" s="2">
        <v>6</v>
      </c>
      <c r="E3" s="2">
        <v>8</v>
      </c>
      <c r="F3" s="36">
        <f>AVERAGE(Tabela3[[#This Row],[Nota 1 Trimestre]:[Nota 3 Trimestre]])</f>
        <v>6.333333333333333</v>
      </c>
      <c r="G3" s="2" t="str">
        <f>IF(Tabela3[[#This Row],[Média final]]&gt;6,"Aprovado","Reprovado")</f>
        <v>Aprovado</v>
      </c>
      <c r="H3" s="2"/>
      <c r="I3" s="2"/>
    </row>
    <row r="4" spans="1:9">
      <c r="A4" s="2">
        <v>2002</v>
      </c>
      <c r="B4" s="2" t="s">
        <v>38</v>
      </c>
      <c r="C4" s="2">
        <v>10</v>
      </c>
      <c r="D4" s="2">
        <v>7</v>
      </c>
      <c r="E4" s="2">
        <v>8</v>
      </c>
      <c r="F4" s="36">
        <f>AVERAGE(Tabela3[[#This Row],[Nota 1 Trimestre]:[Nota 3 Trimestre]])</f>
        <v>8.3333333333333339</v>
      </c>
      <c r="G4" s="2" t="str">
        <f>IF(Tabela3[[#This Row],[Média final]]&gt;6,"Aprovado","Reprovado")</f>
        <v>Aprovado</v>
      </c>
      <c r="H4" s="2"/>
      <c r="I4" s="2"/>
    </row>
    <row r="5" spans="1:9">
      <c r="A5" s="2">
        <v>2003</v>
      </c>
      <c r="B5" s="2" t="s">
        <v>39</v>
      </c>
      <c r="C5" s="2">
        <v>5</v>
      </c>
      <c r="D5" s="2">
        <v>2</v>
      </c>
      <c r="E5" s="2">
        <v>8</v>
      </c>
      <c r="F5" s="36">
        <f>AVERAGE(Tabela3[[#This Row],[Nota 1 Trimestre]:[Nota 3 Trimestre]])</f>
        <v>5</v>
      </c>
      <c r="G5" s="2" t="str">
        <f>IF(Tabela3[[#This Row],[Média final]]&gt;6,"Aprovado","Reprovado")</f>
        <v>Reprovado</v>
      </c>
      <c r="H5" s="2"/>
      <c r="I5" s="2"/>
    </row>
    <row r="6" spans="1:9">
      <c r="A6" s="2">
        <v>2004</v>
      </c>
      <c r="B6" s="2" t="s">
        <v>40</v>
      </c>
      <c r="C6" s="2">
        <v>2</v>
      </c>
      <c r="D6" s="2">
        <v>1</v>
      </c>
      <c r="E6" s="2">
        <v>3</v>
      </c>
      <c r="F6" s="36">
        <f>AVERAGE(Tabela3[[#This Row],[Nota 1 Trimestre]:[Nota 3 Trimestre]])</f>
        <v>2</v>
      </c>
      <c r="G6" s="2" t="str">
        <f>IF(Tabela3[[#This Row],[Média final]]&gt;6,"Aprovado","Reprovado")</f>
        <v>Reprovado</v>
      </c>
      <c r="H6" s="2"/>
      <c r="I6" s="2"/>
    </row>
    <row r="7" spans="1:9">
      <c r="A7" s="2">
        <v>2005</v>
      </c>
      <c r="B7" s="2" t="s">
        <v>41</v>
      </c>
      <c r="C7" s="2">
        <v>4</v>
      </c>
      <c r="D7" s="2">
        <v>7</v>
      </c>
      <c r="E7" s="2">
        <v>8</v>
      </c>
      <c r="F7" s="36">
        <f>AVERAGE(Tabela3[[#This Row],[Nota 1 Trimestre]:[Nota 3 Trimestre]])</f>
        <v>6.333333333333333</v>
      </c>
      <c r="G7" s="2" t="str">
        <f>IF(Tabela3[[#This Row],[Média final]]&gt;6,"Aprovado","Reprovado")</f>
        <v>Aprovado</v>
      </c>
    </row>
  </sheetData>
  <mergeCells count="1">
    <mergeCell ref="A1:G1"/>
  </mergeCells>
  <conditionalFormatting sqref="C3:F7">
    <cfRule type="cellIs" dxfId="39" priority="3" operator="greaterThanOrEqual">
      <formula>6</formula>
    </cfRule>
    <cfRule type="cellIs" dxfId="38" priority="4" operator="lessThan">
      <formula>6</formula>
    </cfRule>
  </conditionalFormatting>
  <conditionalFormatting sqref="G3:G7">
    <cfRule type="cellIs" dxfId="37" priority="1" operator="equal">
      <formula>"Reprovado"</formula>
    </cfRule>
    <cfRule type="cellIs" dxfId="36" priority="2" operator="equal">
      <formula>"Aprovado"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098C-39A0-448B-BBCE-0D91DE62EA2F}">
  <dimension ref="A1:I13"/>
  <sheetViews>
    <sheetView workbookViewId="0">
      <selection activeCell="E5" sqref="E5"/>
    </sheetView>
  </sheetViews>
  <sheetFormatPr defaultRowHeight="15"/>
  <cols>
    <col min="1" max="1" width="22.5703125" bestFit="1" customWidth="1"/>
    <col min="2" max="2" width="8.42578125" bestFit="1" customWidth="1"/>
    <col min="3" max="3" width="15.7109375" bestFit="1" customWidth="1"/>
    <col min="4" max="4" width="16" bestFit="1" customWidth="1"/>
    <col min="5" max="5" width="29" bestFit="1" customWidth="1"/>
    <col min="6" max="6" width="11" bestFit="1" customWidth="1"/>
  </cols>
  <sheetData>
    <row r="1" spans="1:9">
      <c r="A1" s="22" t="s">
        <v>42</v>
      </c>
      <c r="B1" s="22"/>
      <c r="C1" s="22"/>
      <c r="D1" s="22"/>
      <c r="E1" s="22"/>
      <c r="F1" s="22"/>
      <c r="G1" s="2"/>
      <c r="H1" s="2"/>
      <c r="I1" s="2"/>
    </row>
    <row r="2" spans="1:9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s="2"/>
      <c r="H2" s="2"/>
      <c r="I2" s="4"/>
    </row>
    <row r="3" spans="1:9">
      <c r="A3" s="2" t="s">
        <v>49</v>
      </c>
      <c r="B3" s="5">
        <v>17</v>
      </c>
      <c r="C3" s="5" t="s">
        <v>50</v>
      </c>
      <c r="D3" s="5" t="s">
        <v>51</v>
      </c>
      <c r="E3" s="5">
        <v>1</v>
      </c>
      <c r="F3" s="5" t="str">
        <f>IF(AND(Tabela4[[#This Row],[Idade]]&gt;=18,Tabela4[[#This Row],[Ensino Médio]]="Sim",Tabela4[[#This Row],[Curso técnico ]]="Sim",Tabela4[[#This Row],[Anos de experiência na área]]&gt;=3)=TRUE,"Apto","Não Apto")</f>
        <v>Não Apto</v>
      </c>
      <c r="G3" s="2"/>
      <c r="H3" s="2"/>
      <c r="I3" s="2"/>
    </row>
    <row r="4" spans="1:9">
      <c r="A4" s="2" t="s">
        <v>52</v>
      </c>
      <c r="B4" s="5">
        <v>24</v>
      </c>
      <c r="C4" s="5" t="s">
        <v>51</v>
      </c>
      <c r="D4" s="5" t="s">
        <v>51</v>
      </c>
      <c r="E4" s="5">
        <v>3</v>
      </c>
      <c r="F4" s="5" t="str">
        <f>IF(AND(Tabela4[[#This Row],[Idade]]&gt;=18,Tabela4[[#This Row],[Ensino Médio]]="Sim",Tabela4[[#This Row],[Curso técnico ]]="Sim",Tabela4[[#This Row],[Anos de experiência na área]]&gt;=3)=TRUE,"Apto","Não Apto")</f>
        <v>Apto</v>
      </c>
      <c r="G4" s="2"/>
      <c r="H4" s="2"/>
      <c r="I4" s="2"/>
    </row>
    <row r="5" spans="1:9">
      <c r="A5" s="2" t="s">
        <v>53</v>
      </c>
      <c r="B5" s="5">
        <v>28</v>
      </c>
      <c r="C5" s="5" t="s">
        <v>51</v>
      </c>
      <c r="D5" s="5" t="s">
        <v>51</v>
      </c>
      <c r="E5" s="5">
        <v>4</v>
      </c>
      <c r="F5" s="5" t="str">
        <f>IF(AND(Tabela4[[#This Row],[Idade]]&gt;=18,Tabela4[[#This Row],[Ensino Médio]]="Sim",Tabela4[[#This Row],[Curso técnico ]]="Sim",Tabela4[[#This Row],[Anos de experiência na área]]&gt;=3)=TRUE,"Apto","Não Apto")</f>
        <v>Apto</v>
      </c>
    </row>
    <row r="6" spans="1:9">
      <c r="A6" s="2" t="s">
        <v>54</v>
      </c>
      <c r="B6" s="5">
        <v>18</v>
      </c>
      <c r="C6" s="5" t="s">
        <v>51</v>
      </c>
      <c r="D6" s="5" t="s">
        <v>50</v>
      </c>
      <c r="E6" s="5">
        <v>1</v>
      </c>
      <c r="F6" s="5" t="str">
        <f>IF(AND(Tabela4[[#This Row],[Idade]]&gt;=18,Tabela4[[#This Row],[Ensino Médio]]="Sim",Tabela4[[#This Row],[Curso técnico ]]="Sim",Tabela4[[#This Row],[Anos de experiência na área]]&gt;=3)=TRUE,"Apto","Não Apto")</f>
        <v>Não Apto</v>
      </c>
    </row>
    <row r="7" spans="1:9">
      <c r="A7" t="s">
        <v>55</v>
      </c>
      <c r="B7" s="1">
        <v>22</v>
      </c>
      <c r="C7" s="5" t="s">
        <v>51</v>
      </c>
      <c r="D7" s="1" t="s">
        <v>51</v>
      </c>
      <c r="E7" s="1">
        <v>2</v>
      </c>
      <c r="F7" s="1" t="str">
        <f>IF(AND(Tabela4[[#This Row],[Idade]]&gt;=18,Tabela4[[#This Row],[Ensino Médio]]="Sim",Tabela4[[#This Row],[Curso técnico ]]="Sim",Tabela4[[#This Row],[Anos de experiência na área]]&gt;=3)=TRUE,"Apto","Não Apto")</f>
        <v>Não Apto</v>
      </c>
    </row>
    <row r="9" spans="1:9" ht="15" customHeight="1">
      <c r="A9" s="7" t="s">
        <v>56</v>
      </c>
      <c r="B9" s="7"/>
      <c r="C9" s="7"/>
    </row>
    <row r="10" spans="1:9" ht="30.75">
      <c r="A10" s="8" t="s">
        <v>57</v>
      </c>
      <c r="B10" s="8"/>
      <c r="C10" s="8"/>
    </row>
    <row r="11" spans="1:9">
      <c r="A11" s="6" t="s">
        <v>58</v>
      </c>
      <c r="B11" s="6"/>
      <c r="C11" s="6"/>
    </row>
    <row r="12" spans="1:9">
      <c r="A12" s="9" t="s">
        <v>59</v>
      </c>
      <c r="B12" s="9"/>
      <c r="C12" s="9"/>
    </row>
    <row r="13" spans="1:9">
      <c r="A13" s="6" t="s">
        <v>60</v>
      </c>
      <c r="B13" s="6"/>
      <c r="C13" s="6"/>
    </row>
  </sheetData>
  <mergeCells count="1">
    <mergeCell ref="A1:F1"/>
  </mergeCells>
  <conditionalFormatting sqref="F3:F7">
    <cfRule type="cellIs" dxfId="26" priority="1" operator="equal">
      <formula>"Apto"</formula>
    </cfRule>
    <cfRule type="cellIs" dxfId="25" priority="2" operator="equal">
      <formula>"Não Apto"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A245-B79E-4975-A562-C077F4929AC2}">
  <dimension ref="A1:AE369"/>
  <sheetViews>
    <sheetView tabSelected="1" workbookViewId="0">
      <selection activeCell="M1" sqref="A1:M1"/>
    </sheetView>
  </sheetViews>
  <sheetFormatPr defaultColWidth="9.140625" defaultRowHeight="15"/>
  <cols>
    <col min="1" max="1" width="9.42578125" style="29" customWidth="1"/>
    <col min="2" max="2" width="24.5703125" style="17" customWidth="1"/>
    <col min="3" max="3" width="15" style="30" bestFit="1" customWidth="1"/>
    <col min="4" max="4" width="15" style="1" customWidth="1"/>
    <col min="5" max="5" width="19" style="35" bestFit="1" customWidth="1"/>
    <col min="6" max="6" width="23.140625" style="30" bestFit="1" customWidth="1"/>
    <col min="7" max="7" width="31.85546875" style="30" bestFit="1" customWidth="1"/>
    <col min="8" max="8" width="23.42578125" style="31" bestFit="1" customWidth="1"/>
    <col min="9" max="9" width="18.85546875" style="31" bestFit="1" customWidth="1"/>
    <col min="10" max="10" width="20" style="1" bestFit="1" customWidth="1"/>
    <col min="11" max="11" width="20" style="28" customWidth="1"/>
    <col min="12" max="12" width="16.42578125" style="1" bestFit="1" customWidth="1"/>
    <col min="13" max="13" width="21" style="31" bestFit="1" customWidth="1"/>
    <col min="14" max="14" width="17.7109375" bestFit="1" customWidth="1"/>
    <col min="15" max="20" width="0" hidden="1" customWidth="1"/>
    <col min="21" max="22" width="15" hidden="1" customWidth="1"/>
    <col min="23" max="25" width="0" hidden="1" customWidth="1"/>
    <col min="26" max="26" width="14.140625" style="26" hidden="1" customWidth="1"/>
    <col min="27" max="27" width="14.140625" hidden="1" customWidth="1"/>
    <col min="28" max="28" width="0" hidden="1" customWidth="1"/>
    <col min="29" max="29" width="15.7109375" style="26" hidden="1" customWidth="1"/>
    <col min="30" max="32" width="0" hidden="1" customWidth="1"/>
  </cols>
  <sheetData>
    <row r="1" spans="1:31">
      <c r="A1" s="37" t="s">
        <v>61</v>
      </c>
      <c r="B1" s="38" t="s">
        <v>62</v>
      </c>
      <c r="C1" s="39" t="s">
        <v>63</v>
      </c>
      <c r="D1" s="40" t="s">
        <v>64</v>
      </c>
      <c r="E1" s="41" t="s">
        <v>65</v>
      </c>
      <c r="F1" s="39" t="s">
        <v>66</v>
      </c>
      <c r="G1" s="39" t="s">
        <v>67</v>
      </c>
      <c r="H1" s="42" t="s">
        <v>68</v>
      </c>
      <c r="I1" s="42" t="s">
        <v>69</v>
      </c>
      <c r="J1" s="38" t="s">
        <v>70</v>
      </c>
      <c r="K1" s="43" t="s">
        <v>71</v>
      </c>
      <c r="L1" s="38" t="s">
        <v>72</v>
      </c>
      <c r="M1" s="42" t="s">
        <v>73</v>
      </c>
      <c r="O1" s="16" t="s">
        <v>67</v>
      </c>
      <c r="R1" t="s">
        <v>74</v>
      </c>
      <c r="U1" t="s">
        <v>63</v>
      </c>
      <c r="Z1" s="26" t="s">
        <v>68</v>
      </c>
      <c r="AC1" s="23"/>
      <c r="AD1" t="s">
        <v>75</v>
      </c>
    </row>
    <row r="2" spans="1:31">
      <c r="A2" s="29" t="s">
        <v>74</v>
      </c>
      <c r="B2" s="17" t="s">
        <v>76</v>
      </c>
      <c r="C2" s="30" t="s">
        <v>77</v>
      </c>
      <c r="D2" s="1">
        <v>47</v>
      </c>
      <c r="E2" s="35">
        <v>29031</v>
      </c>
      <c r="F2" s="30" t="s">
        <v>75</v>
      </c>
      <c r="G2" s="17" t="s">
        <v>75</v>
      </c>
      <c r="H2" s="31">
        <v>28400</v>
      </c>
      <c r="I2" s="31">
        <v>78000</v>
      </c>
      <c r="J2" s="1" t="str" cm="1">
        <f t="array" ref="J2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2" s="28">
        <v>37</v>
      </c>
      <c r="L2" s="1" t="str" cm="1">
        <f t="array" ref="L2">_xlfn.IFS(Tabela6[[#This Row],[qtde_batalhas]]&lt;=15,"Baixo",Tabela6[[#This Row],[qtde_batalhas]]&gt;=30,"Alto",Tabela6[[#This Row],[qtde_batalhas]]&lt;30,"Médio")</f>
        <v>Alto</v>
      </c>
      <c r="M2" s="31">
        <v>99000</v>
      </c>
      <c r="N2" s="27"/>
      <c r="O2" t="s">
        <v>75</v>
      </c>
      <c r="R2" t="s">
        <v>78</v>
      </c>
      <c r="U2">
        <v>200</v>
      </c>
      <c r="V2" t="str">
        <f>TEXT(U2,"000\.000\.000\-00")</f>
        <v>000.000.002-00</v>
      </c>
      <c r="Z2" s="26">
        <v>28400</v>
      </c>
      <c r="AA2">
        <v>28400</v>
      </c>
      <c r="AC2" s="25">
        <v>78000</v>
      </c>
      <c r="AD2">
        <v>78000</v>
      </c>
      <c r="AE2">
        <v>78000</v>
      </c>
    </row>
    <row r="3" spans="1:31">
      <c r="A3" s="29" t="s">
        <v>74</v>
      </c>
      <c r="B3" s="17" t="s">
        <v>79</v>
      </c>
      <c r="C3" s="30" t="s">
        <v>80</v>
      </c>
      <c r="D3" s="1">
        <v>69</v>
      </c>
      <c r="E3" s="35">
        <v>21054</v>
      </c>
      <c r="F3" s="17" t="s">
        <v>81</v>
      </c>
      <c r="G3" s="17" t="s">
        <v>82</v>
      </c>
      <c r="H3" s="31">
        <v>23800</v>
      </c>
      <c r="I3" s="31" t="s">
        <v>75</v>
      </c>
      <c r="J3" s="1" t="str" cm="1">
        <f t="array" ref="J3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null</v>
      </c>
      <c r="K3" s="28">
        <v>26</v>
      </c>
      <c r="L3" s="1" t="str" cm="1">
        <f t="array" ref="L3">_xlfn.IFS(Tabela6[[#This Row],[qtde_batalhas]]&lt;=15,"Baixo",Tabela6[[#This Row],[qtde_batalhas]]&gt;=30,"Alto",Tabela6[[#This Row],[qtde_batalhas]]&lt;30,"Médio")</f>
        <v>Médio</v>
      </c>
      <c r="M3" s="31">
        <v>89000</v>
      </c>
      <c r="N3" s="27"/>
      <c r="O3" t="s">
        <v>82</v>
      </c>
      <c r="P3" t="str">
        <f>PROPER(O3)</f>
        <v>Campina</v>
      </c>
      <c r="U3">
        <v>2200</v>
      </c>
      <c r="V3" t="str">
        <f>TEXT(U3,"000\.000\.000\-00")</f>
        <v>000.000.022-00</v>
      </c>
      <c r="Z3" s="26">
        <v>23800</v>
      </c>
      <c r="AA3">
        <v>23800</v>
      </c>
      <c r="AC3" s="24" t="s">
        <v>83</v>
      </c>
      <c r="AD3" t="s">
        <v>75</v>
      </c>
      <c r="AE3" t="s">
        <v>75</v>
      </c>
    </row>
    <row r="4" spans="1:31">
      <c r="A4" s="29" t="s">
        <v>74</v>
      </c>
      <c r="B4" s="17" t="s">
        <v>84</v>
      </c>
      <c r="C4" s="30" t="s">
        <v>85</v>
      </c>
      <c r="D4" s="1">
        <v>69</v>
      </c>
      <c r="E4" s="35">
        <v>20725</v>
      </c>
      <c r="F4" s="17" t="s">
        <v>86</v>
      </c>
      <c r="G4" s="17" t="s">
        <v>87</v>
      </c>
      <c r="H4" s="31">
        <v>8100</v>
      </c>
      <c r="I4" s="31">
        <v>27500</v>
      </c>
      <c r="J4" s="1" t="str" cm="1">
        <f t="array" ref="J4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" s="28">
        <v>42</v>
      </c>
      <c r="L4" s="1" t="str" cm="1">
        <f t="array" ref="L4">_xlfn.IFS(Tabela6[[#This Row],[qtde_batalhas]]&lt;=15,"Baixo",Tabela6[[#This Row],[qtde_batalhas]]&gt;=30,"Alto",Tabela6[[#This Row],[qtde_batalhas]]&lt;30,"Médio")</f>
        <v>Alto</v>
      </c>
      <c r="M4" s="31">
        <v>72500</v>
      </c>
      <c r="N4" s="27"/>
      <c r="O4" t="s">
        <v>88</v>
      </c>
      <c r="P4" t="str">
        <f t="shared" ref="P4:P67" si="0">PROPER(O4)</f>
        <v>Terras Fluviais</v>
      </c>
      <c r="U4">
        <v>2800</v>
      </c>
      <c r="V4" t="str">
        <f>TEXT(U4,"000\.000\.000\-00")</f>
        <v>000.000.028-00</v>
      </c>
      <c r="Z4" s="26">
        <v>8100</v>
      </c>
      <c r="AA4">
        <v>8100</v>
      </c>
      <c r="AC4" s="25">
        <v>27500</v>
      </c>
      <c r="AD4">
        <v>27500</v>
      </c>
      <c r="AE4">
        <v>27500</v>
      </c>
    </row>
    <row r="5" spans="1:31">
      <c r="A5" s="29" t="s">
        <v>78</v>
      </c>
      <c r="B5" s="17" t="s">
        <v>89</v>
      </c>
      <c r="C5" s="30" t="s">
        <v>90</v>
      </c>
      <c r="D5" s="1">
        <v>55</v>
      </c>
      <c r="E5" s="35">
        <v>25895</v>
      </c>
      <c r="F5" s="30" t="s">
        <v>91</v>
      </c>
      <c r="G5" s="17" t="s">
        <v>91</v>
      </c>
      <c r="H5" s="31">
        <v>6800</v>
      </c>
      <c r="I5" s="31">
        <v>12000</v>
      </c>
      <c r="J5" s="1" t="str" cm="1">
        <f t="array" ref="J5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5" s="28">
        <v>6</v>
      </c>
      <c r="L5" s="1" t="str" cm="1">
        <f t="array" ref="L5">_xlfn.IFS(Tabela6[[#This Row],[qtde_batalhas]]&lt;=15,"Baixo",Tabela6[[#This Row],[qtde_batalhas]]&gt;=30,"Alto",Tabela6[[#This Row],[qtde_batalhas]]&lt;30,"Médio")</f>
        <v>Baixo</v>
      </c>
      <c r="M5" s="31">
        <v>11000</v>
      </c>
      <c r="N5" s="27"/>
      <c r="O5" t="s">
        <v>75</v>
      </c>
      <c r="P5" t="str">
        <f t="shared" si="0"/>
        <v>Null</v>
      </c>
      <c r="U5">
        <v>3200</v>
      </c>
      <c r="V5" t="str">
        <f>TEXT(U5,"000\.000\.000\-00")</f>
        <v>000.000.032-00</v>
      </c>
      <c r="Z5" s="26">
        <v>6800</v>
      </c>
      <c r="AA5">
        <v>6800</v>
      </c>
      <c r="AC5" s="24">
        <v>12000</v>
      </c>
      <c r="AD5">
        <v>12000</v>
      </c>
      <c r="AE5">
        <v>12000</v>
      </c>
    </row>
    <row r="6" spans="1:31">
      <c r="A6" s="29" t="s">
        <v>74</v>
      </c>
      <c r="B6" s="17" t="s">
        <v>92</v>
      </c>
      <c r="C6" s="30" t="s">
        <v>93</v>
      </c>
      <c r="D6" s="1">
        <v>56</v>
      </c>
      <c r="E6" s="35">
        <v>25525</v>
      </c>
      <c r="F6" s="30" t="s">
        <v>91</v>
      </c>
      <c r="G6" s="17" t="s">
        <v>91</v>
      </c>
      <c r="H6" s="31">
        <v>11100</v>
      </c>
      <c r="I6" s="31">
        <v>63000</v>
      </c>
      <c r="J6" s="1" t="str" cm="1">
        <f t="array" ref="J6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6" s="28">
        <v>0</v>
      </c>
      <c r="L6" s="1" t="str" cm="1">
        <f t="array" ref="L6">_xlfn.IFS(Tabela6[[#This Row],[qtde_batalhas]]&lt;=15,"Baixo",Tabela6[[#This Row],[qtde_batalhas]]&gt;=30,"Alto",Tabela6[[#This Row],[qtde_batalhas]]&lt;30,"Médio")</f>
        <v>Baixo</v>
      </c>
      <c r="M6" s="31">
        <v>56000</v>
      </c>
      <c r="O6" t="s">
        <v>75</v>
      </c>
      <c r="P6" t="str">
        <f t="shared" si="0"/>
        <v>Null</v>
      </c>
      <c r="U6">
        <v>3400</v>
      </c>
      <c r="V6" t="str">
        <f>TEXT(U6,"000\.000\.000\-00")</f>
        <v>000.000.034-00</v>
      </c>
      <c r="Z6" s="26" t="s">
        <v>94</v>
      </c>
      <c r="AA6">
        <v>11100</v>
      </c>
      <c r="AC6" s="25">
        <v>63000</v>
      </c>
      <c r="AD6">
        <v>63000</v>
      </c>
      <c r="AE6">
        <v>63000</v>
      </c>
    </row>
    <row r="7" spans="1:31">
      <c r="A7" s="29" t="s">
        <v>78</v>
      </c>
      <c r="B7" s="17" t="s">
        <v>95</v>
      </c>
      <c r="C7" s="30" t="s">
        <v>96</v>
      </c>
      <c r="D7" s="1">
        <v>45</v>
      </c>
      <c r="E7" s="35">
        <v>29506</v>
      </c>
      <c r="F7" s="30" t="s">
        <v>91</v>
      </c>
      <c r="G7" s="17" t="s">
        <v>91</v>
      </c>
      <c r="H7" s="31">
        <v>5100</v>
      </c>
      <c r="I7" s="31">
        <v>25000</v>
      </c>
      <c r="J7" s="1" t="str" cm="1">
        <f t="array" ref="J7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7" s="28">
        <v>29</v>
      </c>
      <c r="L7" s="1" t="str" cm="1">
        <f t="array" ref="L7">_xlfn.IFS(Tabela6[[#This Row],[qtde_batalhas]]&lt;=15,"Baixo",Tabela6[[#This Row],[qtde_batalhas]]&gt;=30,"Alto",Tabela6[[#This Row],[qtde_batalhas]]&lt;30,"Médio")</f>
        <v>Médio</v>
      </c>
      <c r="M7" s="31">
        <v>88000</v>
      </c>
      <c r="O7" t="s">
        <v>75</v>
      </c>
      <c r="P7" t="str">
        <f t="shared" si="0"/>
        <v>Null</v>
      </c>
      <c r="U7">
        <v>3800</v>
      </c>
      <c r="V7" t="str">
        <f>TEXT(U7,"000\.000\.000\-00")</f>
        <v>000.000.038-00</v>
      </c>
      <c r="Z7" s="26">
        <v>5100</v>
      </c>
      <c r="AA7">
        <v>5100</v>
      </c>
      <c r="AC7" s="24">
        <v>25000</v>
      </c>
      <c r="AD7">
        <v>25000</v>
      </c>
      <c r="AE7">
        <v>25000</v>
      </c>
    </row>
    <row r="8" spans="1:31">
      <c r="A8" s="29" t="s">
        <v>74</v>
      </c>
      <c r="B8" s="17" t="s">
        <v>97</v>
      </c>
      <c r="C8" s="30" t="s">
        <v>98</v>
      </c>
      <c r="D8" s="1">
        <v>65</v>
      </c>
      <c r="E8" s="35">
        <v>22337</v>
      </c>
      <c r="F8" s="30" t="s">
        <v>91</v>
      </c>
      <c r="G8" s="17" t="s">
        <v>91</v>
      </c>
      <c r="H8" s="31">
        <v>3800</v>
      </c>
      <c r="I8" s="31">
        <v>49500</v>
      </c>
      <c r="J8" s="1" t="str" cm="1">
        <f t="array" ref="J8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8" s="28">
        <v>16</v>
      </c>
      <c r="L8" s="1" t="str" cm="1">
        <f t="array" ref="L8">_xlfn.IFS(Tabela6[[#This Row],[qtde_batalhas]]&lt;=15,"Baixo",Tabela6[[#This Row],[qtde_batalhas]]&gt;=30,"Alto",Tabela6[[#This Row],[qtde_batalhas]]&lt;30,"Médio")</f>
        <v>Médio</v>
      </c>
      <c r="M8" s="31">
        <v>15500</v>
      </c>
      <c r="O8" t="s">
        <v>75</v>
      </c>
      <c r="P8" t="str">
        <f t="shared" si="0"/>
        <v>Null</v>
      </c>
      <c r="U8">
        <v>4900</v>
      </c>
      <c r="V8" t="str">
        <f>TEXT(U8,"000\.000\.000\-00")</f>
        <v>000.000.049-00</v>
      </c>
      <c r="Z8" s="26">
        <v>3800</v>
      </c>
      <c r="AA8">
        <v>3800</v>
      </c>
      <c r="AC8" s="25">
        <v>49500</v>
      </c>
      <c r="AD8">
        <v>49500</v>
      </c>
      <c r="AE8">
        <v>49500</v>
      </c>
    </row>
    <row r="9" spans="1:31">
      <c r="A9" s="29" t="s">
        <v>74</v>
      </c>
      <c r="B9" s="17" t="s">
        <v>99</v>
      </c>
      <c r="C9" s="30" t="s">
        <v>100</v>
      </c>
      <c r="D9" s="1">
        <v>19</v>
      </c>
      <c r="E9" s="35">
        <v>39016</v>
      </c>
      <c r="F9" s="17" t="s">
        <v>101</v>
      </c>
      <c r="G9" s="17" t="s">
        <v>102</v>
      </c>
      <c r="H9" s="31">
        <v>14900</v>
      </c>
      <c r="I9" s="31">
        <v>17000</v>
      </c>
      <c r="J9" s="1" t="str" cm="1">
        <f t="array" ref="J9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9" s="28">
        <v>20</v>
      </c>
      <c r="L9" s="1" t="str" cm="1">
        <f t="array" ref="L9">_xlfn.IFS(Tabela6[[#This Row],[qtde_batalhas]]&lt;=15,"Baixo",Tabela6[[#This Row],[qtde_batalhas]]&gt;=30,"Alto",Tabela6[[#This Row],[qtde_batalhas]]&lt;30,"Médio")</f>
        <v>Médio</v>
      </c>
      <c r="M9" s="31">
        <v>29500</v>
      </c>
      <c r="O9" t="s">
        <v>103</v>
      </c>
      <c r="P9" t="str">
        <f t="shared" si="0"/>
        <v>Ilhas De Ferro</v>
      </c>
      <c r="U9">
        <v>6300</v>
      </c>
      <c r="V9" t="str">
        <f>TEXT(U9,"000\.000\.000\-00")</f>
        <v>000.000.063-00</v>
      </c>
      <c r="Z9" s="26">
        <v>14900</v>
      </c>
      <c r="AA9">
        <v>14900</v>
      </c>
      <c r="AC9" s="24">
        <v>17000</v>
      </c>
      <c r="AD9">
        <v>17000</v>
      </c>
      <c r="AE9">
        <v>17000</v>
      </c>
    </row>
    <row r="10" spans="1:31">
      <c r="A10" s="29" t="s">
        <v>78</v>
      </c>
      <c r="B10" s="17" t="s">
        <v>104</v>
      </c>
      <c r="C10" s="30" t="s">
        <v>105</v>
      </c>
      <c r="D10" s="1">
        <v>66</v>
      </c>
      <c r="E10" s="35">
        <v>22101</v>
      </c>
      <c r="F10" s="30" t="s">
        <v>91</v>
      </c>
      <c r="G10" s="17" t="s">
        <v>91</v>
      </c>
      <c r="H10" s="31">
        <v>16800</v>
      </c>
      <c r="I10" s="31">
        <v>79500</v>
      </c>
      <c r="J10" s="1" t="str" cm="1">
        <f t="array" ref="J10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10" s="28">
        <v>36</v>
      </c>
      <c r="L10" s="1" t="str" cm="1">
        <f t="array" ref="L10">_xlfn.IFS(Tabela6[[#This Row],[qtde_batalhas]]&lt;=15,"Baixo",Tabela6[[#This Row],[qtde_batalhas]]&gt;=30,"Alto",Tabela6[[#This Row],[qtde_batalhas]]&lt;30,"Médio")</f>
        <v>Alto</v>
      </c>
      <c r="M10" s="31">
        <v>1500</v>
      </c>
      <c r="O10" t="s">
        <v>75</v>
      </c>
      <c r="P10" t="str">
        <f t="shared" si="0"/>
        <v>Null</v>
      </c>
      <c r="U10">
        <v>6400</v>
      </c>
      <c r="V10" t="str">
        <f>TEXT(U10,"000\.000\.000\-00")</f>
        <v>000.000.064-00</v>
      </c>
      <c r="Z10" s="26">
        <v>16800</v>
      </c>
      <c r="AA10">
        <v>16800</v>
      </c>
      <c r="AC10" s="25">
        <v>79500</v>
      </c>
      <c r="AD10">
        <v>79500</v>
      </c>
      <c r="AE10">
        <v>79500</v>
      </c>
    </row>
    <row r="11" spans="1:31">
      <c r="A11" s="29" t="s">
        <v>74</v>
      </c>
      <c r="B11" s="17" t="s">
        <v>106</v>
      </c>
      <c r="C11" s="30" t="s">
        <v>107</v>
      </c>
      <c r="D11" s="1">
        <v>24</v>
      </c>
      <c r="E11" s="35">
        <v>37172</v>
      </c>
      <c r="F11" s="30" t="s">
        <v>91</v>
      </c>
      <c r="G11" s="17" t="s">
        <v>91</v>
      </c>
      <c r="H11" s="31">
        <v>21600</v>
      </c>
      <c r="I11" s="31">
        <v>25000</v>
      </c>
      <c r="J11" s="1" t="str" cm="1">
        <f t="array" ref="J11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11" s="28">
        <v>33</v>
      </c>
      <c r="L11" s="1" t="str" cm="1">
        <f t="array" ref="L11">_xlfn.IFS(Tabela6[[#This Row],[qtde_batalhas]]&lt;=15,"Baixo",Tabela6[[#This Row],[qtde_batalhas]]&gt;=30,"Alto",Tabela6[[#This Row],[qtde_batalhas]]&lt;30,"Médio")</f>
        <v>Alto</v>
      </c>
      <c r="M11" s="31">
        <v>17500</v>
      </c>
      <c r="O11" t="s">
        <v>75</v>
      </c>
      <c r="P11" t="str">
        <f t="shared" si="0"/>
        <v>Null</v>
      </c>
      <c r="U11">
        <v>6900</v>
      </c>
      <c r="V11" t="str">
        <f>TEXT(U11,"000\.000\.000\-00")</f>
        <v>000.000.069-00</v>
      </c>
      <c r="Z11" s="26">
        <v>21600</v>
      </c>
      <c r="AA11">
        <v>21600</v>
      </c>
      <c r="AC11" s="24">
        <v>25000</v>
      </c>
      <c r="AD11">
        <v>25000</v>
      </c>
      <c r="AE11">
        <v>25000</v>
      </c>
    </row>
    <row r="12" spans="1:31">
      <c r="A12" s="29" t="s">
        <v>74</v>
      </c>
      <c r="B12" s="17" t="s">
        <v>108</v>
      </c>
      <c r="C12" s="30" t="s">
        <v>109</v>
      </c>
      <c r="D12" s="1">
        <v>21</v>
      </c>
      <c r="E12" s="35">
        <v>38323</v>
      </c>
      <c r="F12" s="17" t="s">
        <v>86</v>
      </c>
      <c r="G12" s="17" t="s">
        <v>87</v>
      </c>
      <c r="H12" s="31">
        <v>3800</v>
      </c>
      <c r="I12" s="31">
        <v>0</v>
      </c>
      <c r="J12" s="1" t="str" cm="1">
        <f t="array" ref="J12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12" s="28">
        <v>25</v>
      </c>
      <c r="L12" s="1" t="str" cm="1">
        <f t="array" ref="L12">_xlfn.IFS(Tabela6[[#This Row],[qtde_batalhas]]&lt;=15,"Baixo",Tabela6[[#This Row],[qtde_batalhas]]&gt;=30,"Alto",Tabela6[[#This Row],[qtde_batalhas]]&lt;30,"Médio")</f>
        <v>Médio</v>
      </c>
      <c r="M12" s="31">
        <v>50000</v>
      </c>
      <c r="O12" t="s">
        <v>87</v>
      </c>
      <c r="P12" t="str">
        <f t="shared" si="0"/>
        <v>Terras Fluviais</v>
      </c>
      <c r="U12">
        <v>7700</v>
      </c>
      <c r="V12" t="str">
        <f>TEXT(U12,"000\.000\.000\-00")</f>
        <v>000.000.077-00</v>
      </c>
      <c r="Z12" s="26" t="s">
        <v>110</v>
      </c>
      <c r="AA12">
        <v>3800</v>
      </c>
      <c r="AC12" s="25">
        <v>0</v>
      </c>
      <c r="AD12">
        <v>0</v>
      </c>
      <c r="AE12">
        <v>0</v>
      </c>
    </row>
    <row r="13" spans="1:31">
      <c r="A13" s="29" t="s">
        <v>78</v>
      </c>
      <c r="B13" s="17" t="s">
        <v>111</v>
      </c>
      <c r="C13" s="30" t="s">
        <v>112</v>
      </c>
      <c r="D13" s="1">
        <v>49</v>
      </c>
      <c r="E13" s="35">
        <v>28049</v>
      </c>
      <c r="F13" s="30" t="s">
        <v>91</v>
      </c>
      <c r="G13" s="17" t="s">
        <v>91</v>
      </c>
      <c r="H13" s="31">
        <v>25200</v>
      </c>
      <c r="I13" s="31">
        <v>59500</v>
      </c>
      <c r="J13" s="1" t="str" cm="1">
        <f t="array" ref="J13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13" s="28">
        <v>37</v>
      </c>
      <c r="L13" s="1" t="str" cm="1">
        <f t="array" ref="L13">_xlfn.IFS(Tabela6[[#This Row],[qtde_batalhas]]&lt;=15,"Baixo",Tabela6[[#This Row],[qtde_batalhas]]&gt;=30,"Alto",Tabela6[[#This Row],[qtde_batalhas]]&lt;30,"Médio")</f>
        <v>Alto</v>
      </c>
      <c r="M13" s="31">
        <v>86500</v>
      </c>
      <c r="O13" t="s">
        <v>75</v>
      </c>
      <c r="P13" t="str">
        <f t="shared" si="0"/>
        <v>Null</v>
      </c>
      <c r="U13">
        <v>8200</v>
      </c>
      <c r="V13" t="str">
        <f>TEXT(U13,"000\.000\.000\-00")</f>
        <v>000.000.082-00</v>
      </c>
      <c r="Z13" s="26">
        <v>25200</v>
      </c>
      <c r="AA13">
        <v>25200</v>
      </c>
      <c r="AC13" s="24">
        <v>59500</v>
      </c>
      <c r="AD13">
        <v>59500</v>
      </c>
      <c r="AE13">
        <v>59500</v>
      </c>
    </row>
    <row r="14" spans="1:31">
      <c r="A14" s="29" t="s">
        <v>74</v>
      </c>
      <c r="B14" s="17" t="s">
        <v>113</v>
      </c>
      <c r="C14" s="30" t="s">
        <v>114</v>
      </c>
      <c r="D14" s="1">
        <v>70</v>
      </c>
      <c r="E14" s="35">
        <v>20570</v>
      </c>
      <c r="F14" s="17" t="s">
        <v>115</v>
      </c>
      <c r="G14" s="17" t="s">
        <v>116</v>
      </c>
      <c r="H14" s="31">
        <v>16300</v>
      </c>
      <c r="I14" s="31">
        <v>16500</v>
      </c>
      <c r="J14" s="1" t="str" cm="1">
        <f t="array" ref="J14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14" s="28">
        <v>25</v>
      </c>
      <c r="L14" s="1" t="str" cm="1">
        <f t="array" ref="L14">_xlfn.IFS(Tabela6[[#This Row],[qtde_batalhas]]&lt;=15,"Baixo",Tabela6[[#This Row],[qtde_batalhas]]&gt;=30,"Alto",Tabela6[[#This Row],[qtde_batalhas]]&lt;30,"Médio")</f>
        <v>Médio</v>
      </c>
      <c r="M14" s="31">
        <v>65500</v>
      </c>
      <c r="O14" t="s">
        <v>116</v>
      </c>
      <c r="P14" t="str">
        <f t="shared" si="0"/>
        <v>Essos</v>
      </c>
      <c r="U14">
        <v>8600</v>
      </c>
      <c r="V14" t="str">
        <f>TEXT(U14,"000\.000\.000\-00")</f>
        <v>000.000.086-00</v>
      </c>
      <c r="Z14" s="26">
        <v>16300</v>
      </c>
      <c r="AA14">
        <v>16300</v>
      </c>
      <c r="AC14" s="25">
        <v>16500</v>
      </c>
      <c r="AD14">
        <v>16500</v>
      </c>
      <c r="AE14">
        <v>16500</v>
      </c>
    </row>
    <row r="15" spans="1:31">
      <c r="A15" s="29" t="s">
        <v>74</v>
      </c>
      <c r="B15" s="17" t="s">
        <v>117</v>
      </c>
      <c r="C15" s="30" t="s">
        <v>118</v>
      </c>
      <c r="D15" s="1">
        <v>50</v>
      </c>
      <c r="E15" s="35">
        <v>27886</v>
      </c>
      <c r="F15" s="30" t="s">
        <v>91</v>
      </c>
      <c r="G15" s="17" t="s">
        <v>91</v>
      </c>
      <c r="H15" s="31">
        <v>16100</v>
      </c>
      <c r="I15" s="31">
        <v>8000</v>
      </c>
      <c r="J15" s="1" t="str" cm="1">
        <f t="array" ref="J15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15" s="28">
        <v>30</v>
      </c>
      <c r="L15" s="1" t="str" cm="1">
        <f t="array" ref="L15">_xlfn.IFS(Tabela6[[#This Row],[qtde_batalhas]]&lt;=15,"Baixo",Tabela6[[#This Row],[qtde_batalhas]]&gt;=30,"Alto",Tabela6[[#This Row],[qtde_batalhas]]&lt;30,"Médio")</f>
        <v>Alto</v>
      </c>
      <c r="M15" s="31">
        <v>27000</v>
      </c>
      <c r="O15" t="s">
        <v>75</v>
      </c>
      <c r="P15" t="str">
        <f t="shared" si="0"/>
        <v>Null</v>
      </c>
      <c r="U15">
        <v>9600</v>
      </c>
      <c r="V15" t="str">
        <f>TEXT(U15,"000\.000\.000\-00")</f>
        <v>000.000.096-00</v>
      </c>
      <c r="Z15" s="26">
        <v>16100</v>
      </c>
      <c r="AA15">
        <v>16100</v>
      </c>
      <c r="AC15" s="24">
        <v>8000</v>
      </c>
      <c r="AD15">
        <v>8000</v>
      </c>
      <c r="AE15">
        <v>8000</v>
      </c>
    </row>
    <row r="16" spans="1:31">
      <c r="A16" s="29" t="s">
        <v>78</v>
      </c>
      <c r="B16" s="17" t="s">
        <v>119</v>
      </c>
      <c r="C16" s="30" t="s">
        <v>120</v>
      </c>
      <c r="D16" s="1">
        <v>51</v>
      </c>
      <c r="E16" s="35">
        <v>27590</v>
      </c>
      <c r="F16" s="30" t="s">
        <v>91</v>
      </c>
      <c r="G16" s="17" t="s">
        <v>91</v>
      </c>
      <c r="H16" s="31">
        <v>19400</v>
      </c>
      <c r="I16" s="31">
        <v>4000</v>
      </c>
      <c r="J16" s="1" t="str" cm="1">
        <f t="array" ref="J16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16" s="28">
        <v>30</v>
      </c>
      <c r="L16" s="1" t="str" cm="1">
        <f t="array" ref="L16">_xlfn.IFS(Tabela6[[#This Row],[qtde_batalhas]]&lt;=15,"Baixo",Tabela6[[#This Row],[qtde_batalhas]]&gt;=30,"Alto",Tabela6[[#This Row],[qtde_batalhas]]&lt;30,"Médio")</f>
        <v>Alto</v>
      </c>
      <c r="M16" s="31">
        <v>38500</v>
      </c>
      <c r="O16" t="s">
        <v>75</v>
      </c>
      <c r="P16" t="str">
        <f t="shared" si="0"/>
        <v>Null</v>
      </c>
      <c r="U16">
        <v>9800</v>
      </c>
      <c r="V16" t="str">
        <f>TEXT(U16,"000\.000\.000\-00")</f>
        <v>000.000.098-00</v>
      </c>
      <c r="Z16" s="26">
        <v>19400</v>
      </c>
      <c r="AA16">
        <v>19400</v>
      </c>
      <c r="AC16" s="25">
        <v>4000</v>
      </c>
      <c r="AD16">
        <v>4000</v>
      </c>
      <c r="AE16">
        <v>4000</v>
      </c>
    </row>
    <row r="17" spans="1:31">
      <c r="A17" s="29" t="s">
        <v>74</v>
      </c>
      <c r="B17" s="17" t="s">
        <v>121</v>
      </c>
      <c r="C17" s="30" t="s">
        <v>122</v>
      </c>
      <c r="D17" s="1">
        <v>33</v>
      </c>
      <c r="E17" s="35">
        <v>34144</v>
      </c>
      <c r="F17" s="30" t="s">
        <v>91</v>
      </c>
      <c r="G17" s="17" t="s">
        <v>91</v>
      </c>
      <c r="H17" s="31">
        <v>21500</v>
      </c>
      <c r="I17" s="31" t="s">
        <v>75</v>
      </c>
      <c r="J17" s="1" t="str" cm="1">
        <f t="array" ref="J17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null</v>
      </c>
      <c r="K17" s="28">
        <v>22</v>
      </c>
      <c r="L17" s="1" t="str" cm="1">
        <f t="array" ref="L17">_xlfn.IFS(Tabela6[[#This Row],[qtde_batalhas]]&lt;=15,"Baixo",Tabela6[[#This Row],[qtde_batalhas]]&gt;=30,"Alto",Tabela6[[#This Row],[qtde_batalhas]]&lt;30,"Médio")</f>
        <v>Médio</v>
      </c>
      <c r="M17" s="31">
        <v>51500</v>
      </c>
      <c r="O17" t="s">
        <v>75</v>
      </c>
      <c r="P17" t="str">
        <f t="shared" si="0"/>
        <v>Null</v>
      </c>
      <c r="U17">
        <v>9900</v>
      </c>
      <c r="V17" t="str">
        <f>TEXT(U17,"000\.000\.000\-00")</f>
        <v>000.000.099-00</v>
      </c>
      <c r="Z17" s="26" t="s">
        <v>123</v>
      </c>
      <c r="AA17">
        <v>21500</v>
      </c>
      <c r="AC17" s="24" t="s">
        <v>83</v>
      </c>
      <c r="AD17" t="s">
        <v>75</v>
      </c>
      <c r="AE17" t="s">
        <v>75</v>
      </c>
    </row>
    <row r="18" spans="1:31">
      <c r="A18" s="29" t="s">
        <v>78</v>
      </c>
      <c r="B18" s="17" t="s">
        <v>124</v>
      </c>
      <c r="C18" s="30" t="s">
        <v>125</v>
      </c>
      <c r="D18" s="1">
        <v>29</v>
      </c>
      <c r="E18" s="35">
        <v>35607</v>
      </c>
      <c r="F18" s="30" t="s">
        <v>91</v>
      </c>
      <c r="G18" s="17" t="s">
        <v>91</v>
      </c>
      <c r="H18" s="31">
        <v>13800</v>
      </c>
      <c r="I18" s="31">
        <v>41500</v>
      </c>
      <c r="J18" s="1" t="str" cm="1">
        <f t="array" ref="J18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18" s="28">
        <v>34</v>
      </c>
      <c r="L18" s="1" t="str" cm="1">
        <f t="array" ref="L18">_xlfn.IFS(Tabela6[[#This Row],[qtde_batalhas]]&lt;=15,"Baixo",Tabela6[[#This Row],[qtde_batalhas]]&gt;=30,"Alto",Tabela6[[#This Row],[qtde_batalhas]]&lt;30,"Médio")</f>
        <v>Alto</v>
      </c>
      <c r="M18" s="31">
        <v>66000</v>
      </c>
      <c r="O18" t="s">
        <v>75</v>
      </c>
      <c r="P18" t="str">
        <f t="shared" si="0"/>
        <v>Null</v>
      </c>
      <c r="U18">
        <v>10200</v>
      </c>
      <c r="V18" t="str">
        <f>TEXT(U18,"000\.000\.000\-00")</f>
        <v>000.000.102-00</v>
      </c>
      <c r="Z18" s="26">
        <v>13800</v>
      </c>
      <c r="AA18">
        <v>13800</v>
      </c>
      <c r="AC18" s="25">
        <v>41500</v>
      </c>
      <c r="AD18">
        <v>41500</v>
      </c>
      <c r="AE18">
        <v>41500</v>
      </c>
    </row>
    <row r="19" spans="1:31">
      <c r="A19" s="29" t="s">
        <v>74</v>
      </c>
      <c r="B19" s="17" t="s">
        <v>126</v>
      </c>
      <c r="C19" s="30" t="s">
        <v>127</v>
      </c>
      <c r="D19" s="1">
        <v>35</v>
      </c>
      <c r="E19" s="35">
        <v>33444</v>
      </c>
      <c r="F19" s="30" t="s">
        <v>91</v>
      </c>
      <c r="G19" s="17" t="s">
        <v>91</v>
      </c>
      <c r="H19" s="31">
        <v>8400</v>
      </c>
      <c r="I19" s="31">
        <v>62500</v>
      </c>
      <c r="J19" s="1" t="str" cm="1">
        <f t="array" ref="J19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19" s="28">
        <v>31</v>
      </c>
      <c r="L19" s="1" t="str" cm="1">
        <f t="array" ref="L19">_xlfn.IFS(Tabela6[[#This Row],[qtde_batalhas]]&lt;=15,"Baixo",Tabela6[[#This Row],[qtde_batalhas]]&gt;=30,"Alto",Tabela6[[#This Row],[qtde_batalhas]]&lt;30,"Médio")</f>
        <v>Alto</v>
      </c>
      <c r="M19" s="31">
        <v>83500</v>
      </c>
      <c r="O19" t="s">
        <v>75</v>
      </c>
      <c r="P19" t="str">
        <f t="shared" si="0"/>
        <v>Null</v>
      </c>
      <c r="U19">
        <v>10800</v>
      </c>
      <c r="V19" t="str">
        <f>TEXT(U19,"000\.000\.000\-00")</f>
        <v>000.000.108-00</v>
      </c>
      <c r="Z19" s="26">
        <v>8400</v>
      </c>
      <c r="AA19">
        <v>8400</v>
      </c>
      <c r="AC19" s="24">
        <v>62500</v>
      </c>
      <c r="AD19">
        <v>62500</v>
      </c>
      <c r="AE19">
        <v>62500</v>
      </c>
    </row>
    <row r="20" spans="1:31">
      <c r="A20" s="29" t="s">
        <v>74</v>
      </c>
      <c r="B20" s="17" t="s">
        <v>128</v>
      </c>
      <c r="C20" s="30" t="s">
        <v>129</v>
      </c>
      <c r="D20" s="1" t="s">
        <v>75</v>
      </c>
      <c r="E20" s="35">
        <v>32260</v>
      </c>
      <c r="F20" s="17" t="s">
        <v>101</v>
      </c>
      <c r="G20" s="17" t="s">
        <v>102</v>
      </c>
      <c r="H20" s="31">
        <v>17600</v>
      </c>
      <c r="I20" s="31">
        <v>0</v>
      </c>
      <c r="J20" s="1" t="str" cm="1">
        <f t="array" ref="J20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20" s="28">
        <v>31</v>
      </c>
      <c r="L20" s="1" t="str" cm="1">
        <f t="array" ref="L20">_xlfn.IFS(Tabela6[[#This Row],[qtde_batalhas]]&lt;=15,"Baixo",Tabela6[[#This Row],[qtde_batalhas]]&gt;=30,"Alto",Tabela6[[#This Row],[qtde_batalhas]]&lt;30,"Médio")</f>
        <v>Alto</v>
      </c>
      <c r="M20" s="31">
        <v>47500</v>
      </c>
      <c r="O20" t="s">
        <v>130</v>
      </c>
      <c r="P20" t="str">
        <f t="shared" si="0"/>
        <v>Ilhas De Ferro</v>
      </c>
      <c r="U20">
        <v>11600</v>
      </c>
      <c r="V20" t="str">
        <f>TEXT(U20,"000\.000\.000\-00")</f>
        <v>000.000.116-00</v>
      </c>
      <c r="Z20" s="26" t="s">
        <v>131</v>
      </c>
      <c r="AA20">
        <v>17600</v>
      </c>
      <c r="AC20" s="25">
        <v>0</v>
      </c>
      <c r="AD20">
        <v>0</v>
      </c>
      <c r="AE20">
        <v>0</v>
      </c>
    </row>
    <row r="21" spans="1:31">
      <c r="A21" s="29" t="s">
        <v>74</v>
      </c>
      <c r="B21" s="17" t="s">
        <v>132</v>
      </c>
      <c r="C21" s="30" t="s">
        <v>133</v>
      </c>
      <c r="D21" s="1">
        <v>37</v>
      </c>
      <c r="E21" s="35">
        <v>32680</v>
      </c>
      <c r="F21" s="30" t="s">
        <v>91</v>
      </c>
      <c r="G21" s="17" t="s">
        <v>91</v>
      </c>
      <c r="H21" s="31">
        <v>28900</v>
      </c>
      <c r="I21" s="31">
        <v>71000</v>
      </c>
      <c r="J21" s="1" t="str" cm="1">
        <f t="array" ref="J21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21" s="28">
        <v>28</v>
      </c>
      <c r="L21" s="1" t="str" cm="1">
        <f t="array" ref="L21">_xlfn.IFS(Tabela6[[#This Row],[qtde_batalhas]]&lt;=15,"Baixo",Tabela6[[#This Row],[qtde_batalhas]]&gt;=30,"Alto",Tabela6[[#This Row],[qtde_batalhas]]&lt;30,"Médio")</f>
        <v>Médio</v>
      </c>
      <c r="M21" s="31">
        <v>36500</v>
      </c>
      <c r="O21" t="s">
        <v>75</v>
      </c>
      <c r="P21" t="str">
        <f t="shared" si="0"/>
        <v>Null</v>
      </c>
      <c r="U21">
        <v>11700</v>
      </c>
      <c r="V21" t="str">
        <f>TEXT(U21,"000\.000\.000\-00")</f>
        <v>000.000.117-00</v>
      </c>
      <c r="Z21" s="26">
        <v>28900</v>
      </c>
      <c r="AA21">
        <v>28900</v>
      </c>
      <c r="AC21" s="24">
        <v>71000</v>
      </c>
      <c r="AD21">
        <v>71000</v>
      </c>
      <c r="AE21">
        <v>71000</v>
      </c>
    </row>
    <row r="22" spans="1:31">
      <c r="A22" s="29" t="s">
        <v>74</v>
      </c>
      <c r="B22" s="17" t="s">
        <v>134</v>
      </c>
      <c r="C22" s="32" t="s">
        <v>75</v>
      </c>
      <c r="D22" s="1">
        <v>73</v>
      </c>
      <c r="E22" s="35">
        <v>19538</v>
      </c>
      <c r="F22" s="17" t="s">
        <v>135</v>
      </c>
      <c r="G22" s="17" t="s">
        <v>136</v>
      </c>
      <c r="H22" s="31">
        <v>12700</v>
      </c>
      <c r="I22" s="31">
        <v>79500</v>
      </c>
      <c r="J22" s="1" t="str" cm="1">
        <f t="array" ref="J22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22" s="28">
        <v>35</v>
      </c>
      <c r="L22" s="1" t="str" cm="1">
        <f t="array" ref="L22">_xlfn.IFS(Tabela6[[#This Row],[qtde_batalhas]]&lt;=15,"Baixo",Tabela6[[#This Row],[qtde_batalhas]]&gt;=30,"Alto",Tabela6[[#This Row],[qtde_batalhas]]&lt;30,"Médio")</f>
        <v>Alto</v>
      </c>
      <c r="M22" s="31">
        <v>39000</v>
      </c>
      <c r="O22" t="s">
        <v>137</v>
      </c>
      <c r="P22" t="str">
        <f t="shared" si="0"/>
        <v>Terras Da Coroa</v>
      </c>
      <c r="U22">
        <v>12700</v>
      </c>
      <c r="V22" t="str">
        <f>TEXT(U22,"000\.000\.000\-00")</f>
        <v>000.000.127-00</v>
      </c>
      <c r="Z22" s="26">
        <v>12700</v>
      </c>
      <c r="AA22">
        <v>12700</v>
      </c>
      <c r="AC22" s="25">
        <v>79500</v>
      </c>
      <c r="AD22">
        <v>79500</v>
      </c>
      <c r="AE22">
        <v>79500</v>
      </c>
    </row>
    <row r="23" spans="1:31">
      <c r="A23" s="29" t="s">
        <v>74</v>
      </c>
      <c r="B23" s="17" t="s">
        <v>138</v>
      </c>
      <c r="C23" s="30" t="s">
        <v>139</v>
      </c>
      <c r="D23" s="1">
        <v>55</v>
      </c>
      <c r="E23" s="35">
        <v>26104</v>
      </c>
      <c r="F23" s="30" t="s">
        <v>91</v>
      </c>
      <c r="G23" s="17" t="s">
        <v>91</v>
      </c>
      <c r="H23" s="31">
        <v>22100</v>
      </c>
      <c r="I23" s="31">
        <v>41500</v>
      </c>
      <c r="J23" s="1" t="str" cm="1">
        <f t="array" ref="J23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23" s="28">
        <v>18</v>
      </c>
      <c r="L23" s="1" t="str" cm="1">
        <f t="array" ref="L23">_xlfn.IFS(Tabela6[[#This Row],[qtde_batalhas]]&lt;=15,"Baixo",Tabela6[[#This Row],[qtde_batalhas]]&gt;=30,"Alto",Tabela6[[#This Row],[qtde_batalhas]]&lt;30,"Médio")</f>
        <v>Médio</v>
      </c>
      <c r="M23" s="31">
        <v>65000</v>
      </c>
      <c r="O23" t="s">
        <v>75</v>
      </c>
      <c r="P23" t="str">
        <f t="shared" si="0"/>
        <v>Null</v>
      </c>
      <c r="U23">
        <v>13200</v>
      </c>
      <c r="V23" t="str">
        <f>TEXT(U23,"000\.000\.000\-00")</f>
        <v>000.000.132-00</v>
      </c>
      <c r="Z23" s="26">
        <v>22100</v>
      </c>
      <c r="AA23">
        <v>22100</v>
      </c>
      <c r="AC23" s="24">
        <v>41500</v>
      </c>
      <c r="AD23">
        <v>41500</v>
      </c>
      <c r="AE23">
        <v>41500</v>
      </c>
    </row>
    <row r="24" spans="1:31">
      <c r="A24" s="29" t="s">
        <v>78</v>
      </c>
      <c r="B24" s="17" t="s">
        <v>140</v>
      </c>
      <c r="C24" s="30" t="s">
        <v>141</v>
      </c>
      <c r="D24" s="1">
        <v>25</v>
      </c>
      <c r="E24" s="35">
        <v>37131</v>
      </c>
      <c r="F24" s="30" t="s">
        <v>91</v>
      </c>
      <c r="G24" s="17" t="s">
        <v>91</v>
      </c>
      <c r="H24" s="31">
        <v>24500</v>
      </c>
      <c r="I24" s="31" t="s">
        <v>75</v>
      </c>
      <c r="J24" s="1" t="str" cm="1">
        <f t="array" ref="J24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null</v>
      </c>
      <c r="K24" s="28">
        <v>0</v>
      </c>
      <c r="L24" s="1" t="str" cm="1">
        <f t="array" ref="L24">_xlfn.IFS(Tabela6[[#This Row],[qtde_batalhas]]&lt;=15,"Baixo",Tabela6[[#This Row],[qtde_batalhas]]&gt;=30,"Alto",Tabela6[[#This Row],[qtde_batalhas]]&lt;30,"Médio")</f>
        <v>Baixo</v>
      </c>
      <c r="M24" s="31">
        <v>55000</v>
      </c>
      <c r="O24" t="s">
        <v>75</v>
      </c>
      <c r="P24" t="str">
        <f t="shared" si="0"/>
        <v>Null</v>
      </c>
      <c r="U24">
        <v>13700</v>
      </c>
      <c r="V24" t="str">
        <f>TEXT(U24,"000\.000\.000\-00")</f>
        <v>000.000.137-00</v>
      </c>
      <c r="Z24" s="26">
        <v>24500</v>
      </c>
      <c r="AA24">
        <v>24500</v>
      </c>
      <c r="AC24" s="25" t="s">
        <v>83</v>
      </c>
      <c r="AD24" t="s">
        <v>75</v>
      </c>
      <c r="AE24" t="s">
        <v>75</v>
      </c>
    </row>
    <row r="25" spans="1:31">
      <c r="A25" s="29" t="s">
        <v>74</v>
      </c>
      <c r="B25" s="17" t="s">
        <v>142</v>
      </c>
      <c r="C25" s="30" t="s">
        <v>143</v>
      </c>
      <c r="D25" s="1">
        <v>72</v>
      </c>
      <c r="E25" s="35">
        <v>19800</v>
      </c>
      <c r="F25" s="17" t="s">
        <v>86</v>
      </c>
      <c r="G25" s="17" t="s">
        <v>87</v>
      </c>
      <c r="H25" s="31">
        <v>24300</v>
      </c>
      <c r="I25" s="31">
        <v>13500</v>
      </c>
      <c r="J25" s="1" t="str" cm="1">
        <f t="array" ref="J25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25" s="28">
        <v>33</v>
      </c>
      <c r="L25" s="1" t="str" cm="1">
        <f t="array" ref="L25">_xlfn.IFS(Tabela6[[#This Row],[qtde_batalhas]]&lt;=15,"Baixo",Tabela6[[#This Row],[qtde_batalhas]]&gt;=30,"Alto",Tabela6[[#This Row],[qtde_batalhas]]&lt;30,"Médio")</f>
        <v>Alto</v>
      </c>
      <c r="M25" s="31">
        <v>14500</v>
      </c>
      <c r="O25" t="s">
        <v>87</v>
      </c>
      <c r="P25" t="str">
        <f t="shared" si="0"/>
        <v>Terras Fluviais</v>
      </c>
      <c r="U25">
        <v>14200</v>
      </c>
      <c r="V25" t="str">
        <f>TEXT(U25,"000\.000\.000\-00")</f>
        <v>000.000.142-00</v>
      </c>
      <c r="Z25" s="26">
        <v>24300</v>
      </c>
      <c r="AA25">
        <v>24300</v>
      </c>
      <c r="AC25" s="24">
        <v>13500</v>
      </c>
      <c r="AD25">
        <v>13500</v>
      </c>
      <c r="AE25">
        <v>13500</v>
      </c>
    </row>
    <row r="26" spans="1:31">
      <c r="A26" s="29" t="s">
        <v>78</v>
      </c>
      <c r="B26" s="17" t="s">
        <v>144</v>
      </c>
      <c r="C26" s="30" t="s">
        <v>145</v>
      </c>
      <c r="D26" s="1">
        <v>44</v>
      </c>
      <c r="E26" s="35">
        <v>29948</v>
      </c>
      <c r="F26" s="30" t="s">
        <v>91</v>
      </c>
      <c r="G26" s="17" t="s">
        <v>91</v>
      </c>
      <c r="H26" s="31" t="s">
        <v>75</v>
      </c>
      <c r="I26" s="31">
        <v>0</v>
      </c>
      <c r="J26" s="1" t="str" cm="1">
        <f t="array" ref="J26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null</v>
      </c>
      <c r="K26" s="28">
        <v>4</v>
      </c>
      <c r="L26" s="1" t="str" cm="1">
        <f t="array" ref="L26">_xlfn.IFS(Tabela6[[#This Row],[qtde_batalhas]]&lt;=15,"Baixo",Tabela6[[#This Row],[qtde_batalhas]]&gt;=30,"Alto",Tabela6[[#This Row],[qtde_batalhas]]&lt;30,"Médio")</f>
        <v>Baixo</v>
      </c>
      <c r="M26" s="31">
        <v>80000</v>
      </c>
      <c r="O26" t="s">
        <v>75</v>
      </c>
      <c r="P26" t="str">
        <f t="shared" si="0"/>
        <v>Null</v>
      </c>
      <c r="U26">
        <v>15000</v>
      </c>
      <c r="V26" t="str">
        <f>TEXT(U26,"000\.000\.000\-00")</f>
        <v>000.000.150-00</v>
      </c>
      <c r="AC26" s="25">
        <v>0</v>
      </c>
      <c r="AD26">
        <v>0</v>
      </c>
      <c r="AE26">
        <v>0</v>
      </c>
    </row>
    <row r="27" spans="1:31">
      <c r="A27" s="29" t="s">
        <v>74</v>
      </c>
      <c r="B27" s="17" t="s">
        <v>146</v>
      </c>
      <c r="C27" s="30" t="s">
        <v>147</v>
      </c>
      <c r="D27" s="1">
        <v>66</v>
      </c>
      <c r="E27" s="35">
        <v>22151</v>
      </c>
      <c r="F27" s="30" t="s">
        <v>91</v>
      </c>
      <c r="G27" s="17" t="s">
        <v>91</v>
      </c>
      <c r="H27" s="31">
        <v>11800</v>
      </c>
      <c r="I27" s="31">
        <v>2000</v>
      </c>
      <c r="J27" s="1" t="str" cm="1">
        <f t="array" ref="J27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27" s="28">
        <v>23</v>
      </c>
      <c r="L27" s="1" t="str" cm="1">
        <f t="array" ref="L27">_xlfn.IFS(Tabela6[[#This Row],[qtde_batalhas]]&lt;=15,"Baixo",Tabela6[[#This Row],[qtde_batalhas]]&gt;=30,"Alto",Tabela6[[#This Row],[qtde_batalhas]]&lt;30,"Médio")</f>
        <v>Médio</v>
      </c>
      <c r="M27" s="31">
        <v>72500</v>
      </c>
      <c r="O27" t="s">
        <v>75</v>
      </c>
      <c r="P27" t="str">
        <f t="shared" si="0"/>
        <v>Null</v>
      </c>
      <c r="U27">
        <v>15100</v>
      </c>
      <c r="V27" t="str">
        <f>TEXT(U27,"000\.000\.000\-00")</f>
        <v>000.000.151-00</v>
      </c>
      <c r="Z27" s="26">
        <v>11800</v>
      </c>
      <c r="AA27">
        <v>11800</v>
      </c>
      <c r="AC27" s="24">
        <v>2000</v>
      </c>
      <c r="AD27">
        <v>2000</v>
      </c>
      <c r="AE27">
        <v>2000</v>
      </c>
    </row>
    <row r="28" spans="1:31">
      <c r="A28" s="29" t="s">
        <v>74</v>
      </c>
      <c r="B28" s="17" t="s">
        <v>148</v>
      </c>
      <c r="C28" s="30" t="s">
        <v>149</v>
      </c>
      <c r="D28" s="1">
        <v>23</v>
      </c>
      <c r="E28" s="35">
        <v>37785</v>
      </c>
      <c r="F28" s="17" t="s">
        <v>150</v>
      </c>
      <c r="G28" s="17" t="s">
        <v>136</v>
      </c>
      <c r="H28" s="31">
        <v>17900</v>
      </c>
      <c r="I28" s="31">
        <v>28000</v>
      </c>
      <c r="J28" s="1" t="str" cm="1">
        <f t="array" ref="J28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28" s="28">
        <v>41</v>
      </c>
      <c r="L28" s="1" t="str" cm="1">
        <f t="array" ref="L28">_xlfn.IFS(Tabela6[[#This Row],[qtde_batalhas]]&lt;=15,"Baixo",Tabela6[[#This Row],[qtde_batalhas]]&gt;=30,"Alto",Tabela6[[#This Row],[qtde_batalhas]]&lt;30,"Médio")</f>
        <v>Alto</v>
      </c>
      <c r="M28" s="31">
        <v>52500</v>
      </c>
      <c r="O28" t="s">
        <v>136</v>
      </c>
      <c r="P28" t="str">
        <f t="shared" si="0"/>
        <v>Terras Da Coroa</v>
      </c>
      <c r="U28">
        <v>15400</v>
      </c>
      <c r="V28" t="str">
        <f>TEXT(U28,"000\.000\.000\-00")</f>
        <v>000.000.154-00</v>
      </c>
      <c r="Z28" s="26">
        <v>17900</v>
      </c>
      <c r="AA28">
        <v>17900</v>
      </c>
      <c r="AC28" s="25">
        <v>28000</v>
      </c>
      <c r="AD28">
        <v>28000</v>
      </c>
      <c r="AE28">
        <v>28000</v>
      </c>
    </row>
    <row r="29" spans="1:31">
      <c r="A29" s="29" t="s">
        <v>74</v>
      </c>
      <c r="B29" s="17" t="s">
        <v>151</v>
      </c>
      <c r="C29" s="30" t="s">
        <v>152</v>
      </c>
      <c r="D29" s="1">
        <v>48</v>
      </c>
      <c r="E29" s="35">
        <v>28430</v>
      </c>
      <c r="F29" s="30" t="s">
        <v>91</v>
      </c>
      <c r="G29" s="17" t="s">
        <v>91</v>
      </c>
      <c r="H29" s="31">
        <v>4500</v>
      </c>
      <c r="I29" s="31">
        <v>0</v>
      </c>
      <c r="J29" s="1" t="str" cm="1">
        <f t="array" ref="J29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29" s="28">
        <v>3</v>
      </c>
      <c r="L29" s="1" t="str" cm="1">
        <f t="array" ref="L29">_xlfn.IFS(Tabela6[[#This Row],[qtde_batalhas]]&lt;=15,"Baixo",Tabela6[[#This Row],[qtde_batalhas]]&gt;=30,"Alto",Tabela6[[#This Row],[qtde_batalhas]]&lt;30,"Médio")</f>
        <v>Baixo</v>
      </c>
      <c r="M29" s="31">
        <v>48500</v>
      </c>
      <c r="O29" t="s">
        <v>75</v>
      </c>
      <c r="P29" t="str">
        <f t="shared" si="0"/>
        <v>Null</v>
      </c>
      <c r="U29">
        <v>15600</v>
      </c>
      <c r="V29" t="str">
        <f>TEXT(U29,"000\.000\.000\-00")</f>
        <v>000.000.156-00</v>
      </c>
      <c r="Z29" s="26" t="s">
        <v>153</v>
      </c>
      <c r="AA29">
        <v>4500</v>
      </c>
      <c r="AC29" s="24">
        <v>0</v>
      </c>
      <c r="AD29">
        <v>0</v>
      </c>
      <c r="AE29">
        <v>0</v>
      </c>
    </row>
    <row r="30" spans="1:31">
      <c r="A30" s="29" t="s">
        <v>74</v>
      </c>
      <c r="B30" s="17" t="s">
        <v>154</v>
      </c>
      <c r="C30" s="30" t="s">
        <v>155</v>
      </c>
      <c r="D30" s="1">
        <v>18</v>
      </c>
      <c r="E30" s="35">
        <v>39369</v>
      </c>
      <c r="F30" s="17" t="s">
        <v>156</v>
      </c>
      <c r="G30" s="17" t="s">
        <v>116</v>
      </c>
      <c r="H30" s="31">
        <v>18500</v>
      </c>
      <c r="I30" s="31">
        <v>74500</v>
      </c>
      <c r="J30" s="1" t="str" cm="1">
        <f t="array" ref="J30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0" s="28">
        <v>20</v>
      </c>
      <c r="L30" s="1" t="str" cm="1">
        <f t="array" ref="L30">_xlfn.IFS(Tabela6[[#This Row],[qtde_batalhas]]&lt;=15,"Baixo",Tabela6[[#This Row],[qtde_batalhas]]&gt;=30,"Alto",Tabela6[[#This Row],[qtde_batalhas]]&lt;30,"Médio")</f>
        <v>Médio</v>
      </c>
      <c r="M30" s="31">
        <v>45500</v>
      </c>
      <c r="O30" t="s">
        <v>157</v>
      </c>
      <c r="P30" t="str">
        <f t="shared" si="0"/>
        <v>Essos</v>
      </c>
      <c r="U30">
        <v>15900</v>
      </c>
      <c r="V30" t="str">
        <f>TEXT(U30,"000\.000\.000\-00")</f>
        <v>000.000.159-00</v>
      </c>
      <c r="Z30" s="26">
        <v>18500</v>
      </c>
      <c r="AA30">
        <v>18500</v>
      </c>
      <c r="AC30" s="25">
        <v>74500</v>
      </c>
      <c r="AD30">
        <v>74500</v>
      </c>
      <c r="AE30">
        <v>74500</v>
      </c>
    </row>
    <row r="31" spans="1:31">
      <c r="A31" s="29" t="s">
        <v>74</v>
      </c>
      <c r="B31" s="17" t="s">
        <v>158</v>
      </c>
      <c r="C31" s="30" t="s">
        <v>159</v>
      </c>
      <c r="D31" s="1">
        <v>62</v>
      </c>
      <c r="E31" s="35">
        <v>23488</v>
      </c>
      <c r="F31" s="30" t="s">
        <v>91</v>
      </c>
      <c r="G31" s="17" t="s">
        <v>91</v>
      </c>
      <c r="H31" s="31">
        <v>0</v>
      </c>
      <c r="I31" s="31" t="s">
        <v>75</v>
      </c>
      <c r="J31" s="1" t="str" cm="1">
        <f t="array" ref="J31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null</v>
      </c>
      <c r="K31" s="28">
        <v>38</v>
      </c>
      <c r="L31" s="1" t="str" cm="1">
        <f t="array" ref="L31">_xlfn.IFS(Tabela6[[#This Row],[qtde_batalhas]]&lt;=15,"Baixo",Tabela6[[#This Row],[qtde_batalhas]]&gt;=30,"Alto",Tabela6[[#This Row],[qtde_batalhas]]&lt;30,"Médio")</f>
        <v>Alto</v>
      </c>
      <c r="M31" s="31">
        <v>72000</v>
      </c>
      <c r="O31" t="s">
        <v>75</v>
      </c>
      <c r="P31" t="str">
        <f t="shared" si="0"/>
        <v>Null</v>
      </c>
      <c r="U31">
        <v>16000</v>
      </c>
      <c r="V31" t="str">
        <f>TEXT(U31,"000\.000\.000\-00")</f>
        <v>000.000.160-00</v>
      </c>
      <c r="Z31" s="26" t="s">
        <v>160</v>
      </c>
      <c r="AA31">
        <v>0</v>
      </c>
      <c r="AC31" s="24" t="s">
        <v>83</v>
      </c>
      <c r="AD31" t="s">
        <v>75</v>
      </c>
      <c r="AE31" t="s">
        <v>75</v>
      </c>
    </row>
    <row r="32" spans="1:31">
      <c r="A32" s="29" t="s">
        <v>74</v>
      </c>
      <c r="B32" s="17" t="s">
        <v>161</v>
      </c>
      <c r="C32" s="30" t="s">
        <v>162</v>
      </c>
      <c r="D32" s="1">
        <v>39</v>
      </c>
      <c r="E32" s="35">
        <v>31968</v>
      </c>
      <c r="F32" s="17" t="s">
        <v>163</v>
      </c>
      <c r="G32" s="17" t="s">
        <v>164</v>
      </c>
      <c r="H32" s="31">
        <v>8000</v>
      </c>
      <c r="I32" s="31">
        <v>69000</v>
      </c>
      <c r="J32" s="1" t="str" cm="1">
        <f t="array" ref="J32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2" s="28">
        <v>15</v>
      </c>
      <c r="L32" s="1" t="str" cm="1">
        <f t="array" ref="L32">_xlfn.IFS(Tabela6[[#This Row],[qtde_batalhas]]&lt;=15,"Baixo",Tabela6[[#This Row],[qtde_batalhas]]&gt;=30,"Alto",Tabela6[[#This Row],[qtde_batalhas]]&lt;30,"Médio")</f>
        <v>Baixo</v>
      </c>
      <c r="M32" s="31">
        <v>39500</v>
      </c>
      <c r="O32" t="s">
        <v>164</v>
      </c>
      <c r="P32" t="str">
        <f t="shared" si="0"/>
        <v>Norte</v>
      </c>
      <c r="U32">
        <v>16100</v>
      </c>
      <c r="V32" t="str">
        <f>TEXT(U32,"000\.000\.000\-00")</f>
        <v>000.000.161-00</v>
      </c>
      <c r="Z32" s="26">
        <v>8000</v>
      </c>
      <c r="AA32">
        <v>8000</v>
      </c>
      <c r="AC32" s="25">
        <v>69000</v>
      </c>
      <c r="AD32">
        <v>69000</v>
      </c>
      <c r="AE32">
        <v>69000</v>
      </c>
    </row>
    <row r="33" spans="1:31">
      <c r="A33" s="29" t="s">
        <v>78</v>
      </c>
      <c r="B33" s="17" t="s">
        <v>165</v>
      </c>
      <c r="C33" s="30" t="s">
        <v>166</v>
      </c>
      <c r="D33" s="1">
        <v>21</v>
      </c>
      <c r="E33" s="35">
        <v>38328</v>
      </c>
      <c r="F33" s="17" t="s">
        <v>101</v>
      </c>
      <c r="G33" s="17" t="s">
        <v>102</v>
      </c>
      <c r="H33" s="31">
        <v>4400</v>
      </c>
      <c r="I33" s="31">
        <v>23500</v>
      </c>
      <c r="J33" s="1" t="str" cm="1">
        <f t="array" ref="J33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3" s="28">
        <v>31</v>
      </c>
      <c r="L33" s="1" t="str" cm="1">
        <f t="array" ref="L33">_xlfn.IFS(Tabela6[[#This Row],[qtde_batalhas]]&lt;=15,"Baixo",Tabela6[[#This Row],[qtde_batalhas]]&gt;=30,"Alto",Tabela6[[#This Row],[qtde_batalhas]]&lt;30,"Médio")</f>
        <v>Alto</v>
      </c>
      <c r="M33" s="31">
        <v>91000</v>
      </c>
      <c r="O33" t="s">
        <v>103</v>
      </c>
      <c r="P33" t="str">
        <f t="shared" si="0"/>
        <v>Ilhas De Ferro</v>
      </c>
      <c r="U33">
        <v>16300</v>
      </c>
      <c r="V33" t="str">
        <f>TEXT(U33,"000\.000\.000\-00")</f>
        <v>000.000.163-00</v>
      </c>
      <c r="Z33" s="26">
        <v>4400</v>
      </c>
      <c r="AA33">
        <v>4400</v>
      </c>
      <c r="AC33" s="24">
        <v>23500</v>
      </c>
      <c r="AD33">
        <v>23500</v>
      </c>
      <c r="AE33">
        <v>23500</v>
      </c>
    </row>
    <row r="34" spans="1:31">
      <c r="A34" s="29" t="s">
        <v>74</v>
      </c>
      <c r="B34" s="17" t="s">
        <v>167</v>
      </c>
      <c r="C34" s="30" t="s">
        <v>168</v>
      </c>
      <c r="D34" s="1">
        <v>53</v>
      </c>
      <c r="E34" s="35">
        <v>26790</v>
      </c>
      <c r="F34" s="30" t="s">
        <v>91</v>
      </c>
      <c r="G34" s="17" t="s">
        <v>91</v>
      </c>
      <c r="H34" s="31">
        <v>0</v>
      </c>
      <c r="I34" s="31">
        <v>21500</v>
      </c>
      <c r="J34" s="1" t="str" cm="1">
        <f t="array" ref="J34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4" s="28">
        <v>44</v>
      </c>
      <c r="L34" s="1" t="str" cm="1">
        <f t="array" ref="L34">_xlfn.IFS(Tabela6[[#This Row],[qtde_batalhas]]&lt;=15,"Baixo",Tabela6[[#This Row],[qtde_batalhas]]&gt;=30,"Alto",Tabela6[[#This Row],[qtde_batalhas]]&lt;30,"Médio")</f>
        <v>Alto</v>
      </c>
      <c r="M34" s="31">
        <v>3500</v>
      </c>
      <c r="O34" t="s">
        <v>75</v>
      </c>
      <c r="P34" t="str">
        <f t="shared" si="0"/>
        <v>Null</v>
      </c>
      <c r="U34">
        <v>16500</v>
      </c>
      <c r="V34" t="str">
        <f>TEXT(U34,"000\.000\.000\-00")</f>
        <v>000.000.165-00</v>
      </c>
      <c r="Z34" s="26" t="s">
        <v>160</v>
      </c>
      <c r="AA34">
        <v>0</v>
      </c>
      <c r="AC34" s="25">
        <v>21500</v>
      </c>
      <c r="AD34">
        <v>21500</v>
      </c>
      <c r="AE34">
        <v>21500</v>
      </c>
    </row>
    <row r="35" spans="1:31">
      <c r="A35" s="29" t="s">
        <v>74</v>
      </c>
      <c r="B35" s="17" t="s">
        <v>169</v>
      </c>
      <c r="C35" s="30" t="s">
        <v>170</v>
      </c>
      <c r="D35" s="1">
        <v>29</v>
      </c>
      <c r="E35" s="35">
        <v>35334</v>
      </c>
      <c r="F35" s="30" t="s">
        <v>91</v>
      </c>
      <c r="G35" s="17" t="s">
        <v>91</v>
      </c>
      <c r="H35" s="31">
        <v>19500</v>
      </c>
      <c r="I35" s="31">
        <v>57000</v>
      </c>
      <c r="J35" s="1" t="str" cm="1">
        <f t="array" ref="J35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5" s="28">
        <v>12</v>
      </c>
      <c r="L35" s="1" t="str" cm="1">
        <f t="array" ref="L35">_xlfn.IFS(Tabela6[[#This Row],[qtde_batalhas]]&lt;=15,"Baixo",Tabela6[[#This Row],[qtde_batalhas]]&gt;=30,"Alto",Tabela6[[#This Row],[qtde_batalhas]]&lt;30,"Médio")</f>
        <v>Baixo</v>
      </c>
      <c r="M35" s="31">
        <v>20500</v>
      </c>
      <c r="O35" t="s">
        <v>75</v>
      </c>
      <c r="P35" t="str">
        <f t="shared" si="0"/>
        <v>Null</v>
      </c>
      <c r="U35">
        <v>16600</v>
      </c>
      <c r="V35" t="str">
        <f>TEXT(U35,"000\.000\.000\-00")</f>
        <v>000.000.166-00</v>
      </c>
      <c r="Z35" s="26">
        <v>19500</v>
      </c>
      <c r="AA35">
        <v>19500</v>
      </c>
      <c r="AC35" s="24">
        <v>57000</v>
      </c>
      <c r="AD35">
        <v>57000</v>
      </c>
      <c r="AE35">
        <v>57000</v>
      </c>
    </row>
    <row r="36" spans="1:31">
      <c r="A36" s="29" t="s">
        <v>74</v>
      </c>
      <c r="B36" s="17" t="s">
        <v>171</v>
      </c>
      <c r="C36" s="30" t="s">
        <v>172</v>
      </c>
      <c r="D36" s="1">
        <v>42</v>
      </c>
      <c r="E36" s="35">
        <v>30878</v>
      </c>
      <c r="F36" s="30" t="s">
        <v>91</v>
      </c>
      <c r="G36" s="17" t="s">
        <v>91</v>
      </c>
      <c r="H36" s="31">
        <v>17500</v>
      </c>
      <c r="I36" s="31">
        <v>3500</v>
      </c>
      <c r="J36" s="1" t="str" cm="1">
        <f t="array" ref="J36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36" s="28">
        <v>25</v>
      </c>
      <c r="L36" s="1" t="str" cm="1">
        <f t="array" ref="L36">_xlfn.IFS(Tabela6[[#This Row],[qtde_batalhas]]&lt;=15,"Baixo",Tabela6[[#This Row],[qtde_batalhas]]&gt;=30,"Alto",Tabela6[[#This Row],[qtde_batalhas]]&lt;30,"Médio")</f>
        <v>Médio</v>
      </c>
      <c r="M36" s="31">
        <v>35000</v>
      </c>
      <c r="O36" t="s">
        <v>75</v>
      </c>
      <c r="P36" t="str">
        <f t="shared" si="0"/>
        <v>Null</v>
      </c>
      <c r="U36">
        <v>17100</v>
      </c>
      <c r="V36" t="str">
        <f>TEXT(U36,"000\.000\.000\-00")</f>
        <v>000.000.171-00</v>
      </c>
      <c r="Z36" s="26">
        <v>17500</v>
      </c>
      <c r="AA36">
        <v>17500</v>
      </c>
      <c r="AC36" s="25">
        <v>3500</v>
      </c>
      <c r="AD36">
        <v>3500</v>
      </c>
      <c r="AE36">
        <v>3500</v>
      </c>
    </row>
    <row r="37" spans="1:31">
      <c r="A37" s="29" t="s">
        <v>74</v>
      </c>
      <c r="B37" s="17" t="s">
        <v>173</v>
      </c>
      <c r="C37" s="30" t="s">
        <v>174</v>
      </c>
      <c r="D37" s="1">
        <v>62</v>
      </c>
      <c r="E37" s="35">
        <v>23337</v>
      </c>
      <c r="F37" s="30" t="s">
        <v>91</v>
      </c>
      <c r="G37" s="17" t="s">
        <v>91</v>
      </c>
      <c r="H37" s="31">
        <v>11900</v>
      </c>
      <c r="I37" s="31">
        <v>58500</v>
      </c>
      <c r="J37" s="1" t="str" cm="1">
        <f t="array" ref="J37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7" s="28">
        <v>37</v>
      </c>
      <c r="L37" s="1" t="str" cm="1">
        <f t="array" ref="L37">_xlfn.IFS(Tabela6[[#This Row],[qtde_batalhas]]&lt;=15,"Baixo",Tabela6[[#This Row],[qtde_batalhas]]&gt;=30,"Alto",Tabela6[[#This Row],[qtde_batalhas]]&lt;30,"Médio")</f>
        <v>Alto</v>
      </c>
      <c r="M37" s="31">
        <v>48000</v>
      </c>
      <c r="O37" t="s">
        <v>75</v>
      </c>
      <c r="P37" t="str">
        <f t="shared" si="0"/>
        <v>Null</v>
      </c>
      <c r="U37">
        <v>17500</v>
      </c>
      <c r="V37" t="str">
        <f>TEXT(U37,"000\.000\.000\-00")</f>
        <v>000.000.175-00</v>
      </c>
      <c r="Z37" s="26">
        <v>11900</v>
      </c>
      <c r="AA37">
        <v>11900</v>
      </c>
      <c r="AC37" s="24">
        <v>58500</v>
      </c>
      <c r="AD37">
        <v>58500</v>
      </c>
      <c r="AE37">
        <v>58500</v>
      </c>
    </row>
    <row r="38" spans="1:31">
      <c r="A38" s="29" t="s">
        <v>74</v>
      </c>
      <c r="B38" s="17" t="s">
        <v>175</v>
      </c>
      <c r="C38" s="30" t="s">
        <v>176</v>
      </c>
      <c r="D38" s="1">
        <v>39</v>
      </c>
      <c r="E38" s="35">
        <v>31814</v>
      </c>
      <c r="F38" s="30" t="s">
        <v>91</v>
      </c>
      <c r="G38" s="17" t="s">
        <v>91</v>
      </c>
      <c r="H38" s="31">
        <v>9300</v>
      </c>
      <c r="I38" s="31">
        <v>36500</v>
      </c>
      <c r="J38" s="1" t="str" cm="1">
        <f t="array" ref="J38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8" s="28" t="s">
        <v>75</v>
      </c>
      <c r="L38" s="1" t="str" cm="1">
        <f t="array" ref="L38">_xlfn.IFS(Tabela6[[#This Row],[qtde_batalhas]]&lt;=15,"Baixo",Tabela6[[#This Row],[qtde_batalhas]]&gt;=30,"Alto",Tabela6[[#This Row],[qtde_batalhas]]&lt;30,"Médio")</f>
        <v>Alto</v>
      </c>
      <c r="M38" s="31">
        <v>3000</v>
      </c>
      <c r="O38" t="s">
        <v>75</v>
      </c>
      <c r="P38" t="str">
        <f t="shared" si="0"/>
        <v>Null</v>
      </c>
      <c r="U38">
        <v>17900</v>
      </c>
      <c r="V38" t="str">
        <f>TEXT(U38,"000\.000\.000\-00")</f>
        <v>000.000.179-00</v>
      </c>
      <c r="Z38" s="26">
        <v>9300</v>
      </c>
      <c r="AA38">
        <v>9300</v>
      </c>
      <c r="AC38" s="25">
        <v>36500</v>
      </c>
      <c r="AD38">
        <v>36500</v>
      </c>
      <c r="AE38">
        <v>36500</v>
      </c>
    </row>
    <row r="39" spans="1:31">
      <c r="A39" s="29" t="s">
        <v>74</v>
      </c>
      <c r="B39" s="17" t="s">
        <v>177</v>
      </c>
      <c r="C39" s="30" t="s">
        <v>178</v>
      </c>
      <c r="D39" s="1">
        <v>67</v>
      </c>
      <c r="E39" s="35">
        <v>21522</v>
      </c>
      <c r="F39" s="17" t="s">
        <v>179</v>
      </c>
      <c r="G39" s="17" t="s">
        <v>180</v>
      </c>
      <c r="H39" s="31">
        <v>11300</v>
      </c>
      <c r="I39" s="31">
        <v>49500</v>
      </c>
      <c r="J39" s="1" t="str" cm="1">
        <f t="array" ref="J39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9" s="28">
        <v>12</v>
      </c>
      <c r="L39" s="1" t="str" cm="1">
        <f t="array" ref="L39">_xlfn.IFS(Tabela6[[#This Row],[qtde_batalhas]]&lt;=15,"Baixo",Tabela6[[#This Row],[qtde_batalhas]]&gt;=30,"Alto",Tabela6[[#This Row],[qtde_batalhas]]&lt;30,"Médio")</f>
        <v>Baixo</v>
      </c>
      <c r="M39" s="31">
        <v>34500</v>
      </c>
      <c r="O39" t="s">
        <v>180</v>
      </c>
      <c r="P39" t="str">
        <f t="shared" si="0"/>
        <v>Terras Da Tempestade</v>
      </c>
      <c r="U39">
        <v>18000</v>
      </c>
      <c r="V39" t="str">
        <f>TEXT(U39,"000\.000\.000\-00")</f>
        <v>000.000.180-00</v>
      </c>
      <c r="Z39" s="26">
        <v>11300</v>
      </c>
      <c r="AA39">
        <v>11300</v>
      </c>
      <c r="AC39" s="24">
        <v>49500</v>
      </c>
      <c r="AD39">
        <v>49500</v>
      </c>
      <c r="AE39">
        <v>49500</v>
      </c>
    </row>
    <row r="40" spans="1:31">
      <c r="A40" s="29" t="s">
        <v>74</v>
      </c>
      <c r="B40" s="17" t="s">
        <v>181</v>
      </c>
      <c r="C40" s="30" t="s">
        <v>182</v>
      </c>
      <c r="D40" s="1">
        <v>23</v>
      </c>
      <c r="E40" s="35">
        <v>37530</v>
      </c>
      <c r="F40" s="17" t="s">
        <v>101</v>
      </c>
      <c r="G40" s="33" t="s">
        <v>102</v>
      </c>
      <c r="H40" s="31">
        <v>10700</v>
      </c>
      <c r="I40" s="31">
        <v>15000</v>
      </c>
      <c r="J40" s="1" t="str" cm="1">
        <f t="array" ref="J40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0" s="28">
        <v>42</v>
      </c>
      <c r="L40" s="1" t="str" cm="1">
        <f t="array" ref="L40">_xlfn.IFS(Tabela6[[#This Row],[qtde_batalhas]]&lt;=15,"Baixo",Tabela6[[#This Row],[qtde_batalhas]]&gt;=30,"Alto",Tabela6[[#This Row],[qtde_batalhas]]&lt;30,"Médio")</f>
        <v>Alto</v>
      </c>
      <c r="M40" s="31">
        <v>81500</v>
      </c>
      <c r="O40" s="18" t="s">
        <v>130</v>
      </c>
      <c r="P40" t="str">
        <f t="shared" si="0"/>
        <v>Ilhas De Ferro</v>
      </c>
      <c r="U40">
        <v>18800</v>
      </c>
      <c r="V40" t="str">
        <f>TEXT(U40,"000\.000\.000\-00")</f>
        <v>000.000.188-00</v>
      </c>
      <c r="Z40" s="26">
        <v>10700</v>
      </c>
      <c r="AA40">
        <v>10700</v>
      </c>
      <c r="AC40" s="25">
        <v>15000</v>
      </c>
      <c r="AD40">
        <v>15000</v>
      </c>
      <c r="AE40">
        <v>15000</v>
      </c>
    </row>
    <row r="41" spans="1:31">
      <c r="A41" s="29" t="s">
        <v>74</v>
      </c>
      <c r="B41" s="17" t="s">
        <v>183</v>
      </c>
      <c r="C41" s="30" t="s">
        <v>184</v>
      </c>
      <c r="D41" s="1">
        <v>53</v>
      </c>
      <c r="E41" s="35">
        <v>26840</v>
      </c>
      <c r="F41" s="17" t="s">
        <v>163</v>
      </c>
      <c r="G41" s="17" t="s">
        <v>164</v>
      </c>
      <c r="H41" s="31">
        <v>9500</v>
      </c>
      <c r="I41" s="31">
        <v>66500</v>
      </c>
      <c r="J41" s="1" t="str" cm="1">
        <f t="array" ref="J41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1" s="28">
        <v>38</v>
      </c>
      <c r="L41" s="1" t="str" cm="1">
        <f t="array" ref="L41">_xlfn.IFS(Tabela6[[#This Row],[qtde_batalhas]]&lt;=15,"Baixo",Tabela6[[#This Row],[qtde_batalhas]]&gt;=30,"Alto",Tabela6[[#This Row],[qtde_batalhas]]&lt;30,"Médio")</f>
        <v>Alto</v>
      </c>
      <c r="M41" s="31">
        <v>42500</v>
      </c>
      <c r="O41" t="s">
        <v>164</v>
      </c>
      <c r="P41" t="str">
        <f t="shared" si="0"/>
        <v>Norte</v>
      </c>
      <c r="U41">
        <v>19000</v>
      </c>
      <c r="V41" t="str">
        <f>TEXT(U41,"000\.000\.000\-00")</f>
        <v>000.000.190-00</v>
      </c>
      <c r="Z41" s="26">
        <v>9500</v>
      </c>
      <c r="AA41">
        <v>9500</v>
      </c>
      <c r="AC41" s="24">
        <v>66500</v>
      </c>
      <c r="AD41">
        <v>66500</v>
      </c>
      <c r="AE41">
        <v>66500</v>
      </c>
    </row>
    <row r="42" spans="1:31">
      <c r="A42" s="29" t="s">
        <v>74</v>
      </c>
      <c r="B42" s="17" t="s">
        <v>185</v>
      </c>
      <c r="C42" s="30" t="s">
        <v>186</v>
      </c>
      <c r="D42" s="1">
        <v>28</v>
      </c>
      <c r="E42" s="35">
        <v>35830</v>
      </c>
      <c r="F42" s="30" t="s">
        <v>91</v>
      </c>
      <c r="G42" s="17" t="s">
        <v>91</v>
      </c>
      <c r="H42" s="31">
        <v>8600</v>
      </c>
      <c r="I42" s="31">
        <v>19000</v>
      </c>
      <c r="J42" s="1" t="str" cm="1">
        <f t="array" ref="J42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2" s="28">
        <v>4</v>
      </c>
      <c r="L42" s="1" t="str" cm="1">
        <f t="array" ref="L42">_xlfn.IFS(Tabela6[[#This Row],[qtde_batalhas]]&lt;=15,"Baixo",Tabela6[[#This Row],[qtde_batalhas]]&gt;=30,"Alto",Tabela6[[#This Row],[qtde_batalhas]]&lt;30,"Médio")</f>
        <v>Baixo</v>
      </c>
      <c r="M42" s="31">
        <v>32500</v>
      </c>
      <c r="O42" t="s">
        <v>75</v>
      </c>
      <c r="P42" t="str">
        <f t="shared" si="0"/>
        <v>Null</v>
      </c>
      <c r="U42">
        <v>19200</v>
      </c>
      <c r="V42" t="str">
        <f>TEXT(U42,"000\.000\.000\-00")</f>
        <v>000.000.192-00</v>
      </c>
      <c r="Z42" s="26" t="s">
        <v>187</v>
      </c>
      <c r="AA42">
        <v>8600</v>
      </c>
      <c r="AC42" s="25">
        <v>19000</v>
      </c>
      <c r="AD42">
        <v>19000</v>
      </c>
      <c r="AE42">
        <v>19000</v>
      </c>
    </row>
    <row r="43" spans="1:31">
      <c r="A43" s="29" t="s">
        <v>78</v>
      </c>
      <c r="B43" s="17" t="s">
        <v>188</v>
      </c>
      <c r="C43" s="30" t="s">
        <v>189</v>
      </c>
      <c r="D43" s="1">
        <v>68</v>
      </c>
      <c r="E43" s="35">
        <v>21293</v>
      </c>
      <c r="F43" s="17" t="s">
        <v>101</v>
      </c>
      <c r="G43" s="17" t="s">
        <v>102</v>
      </c>
      <c r="H43" s="31">
        <v>3800</v>
      </c>
      <c r="I43" s="31">
        <v>70000</v>
      </c>
      <c r="J43" s="1" t="str" cm="1">
        <f t="array" ref="J43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3" s="28">
        <v>34</v>
      </c>
      <c r="L43" s="1" t="str" cm="1">
        <f t="array" ref="L43">_xlfn.IFS(Tabela6[[#This Row],[qtde_batalhas]]&lt;=15,"Baixo",Tabela6[[#This Row],[qtde_batalhas]]&gt;=30,"Alto",Tabela6[[#This Row],[qtde_batalhas]]&lt;30,"Médio")</f>
        <v>Alto</v>
      </c>
      <c r="M43" s="31">
        <v>7500</v>
      </c>
      <c r="O43" t="s">
        <v>130</v>
      </c>
      <c r="P43" t="str">
        <f t="shared" si="0"/>
        <v>Ilhas De Ferro</v>
      </c>
      <c r="U43">
        <v>19300</v>
      </c>
      <c r="V43" t="str">
        <f>TEXT(U43,"000\.000\.000\-00")</f>
        <v>000.000.193-00</v>
      </c>
      <c r="Z43" s="26">
        <v>3800</v>
      </c>
      <c r="AA43">
        <v>3800</v>
      </c>
      <c r="AC43" s="24">
        <v>70000</v>
      </c>
      <c r="AD43">
        <v>70000</v>
      </c>
      <c r="AE43">
        <v>70000</v>
      </c>
    </row>
    <row r="44" spans="1:31">
      <c r="A44" s="29" t="s">
        <v>74</v>
      </c>
      <c r="B44" s="17" t="s">
        <v>190</v>
      </c>
      <c r="C44" s="30" t="s">
        <v>191</v>
      </c>
      <c r="D44" s="1">
        <v>39</v>
      </c>
      <c r="E44" s="35">
        <v>31766</v>
      </c>
      <c r="F44" s="30" t="s">
        <v>91</v>
      </c>
      <c r="G44" s="17" t="s">
        <v>91</v>
      </c>
      <c r="H44" s="31">
        <v>24700</v>
      </c>
      <c r="I44" s="31">
        <v>23500</v>
      </c>
      <c r="J44" s="1" t="str" cm="1">
        <f t="array" ref="J44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44" s="28">
        <v>43</v>
      </c>
      <c r="L44" s="1" t="str" cm="1">
        <f t="array" ref="L44">_xlfn.IFS(Tabela6[[#This Row],[qtde_batalhas]]&lt;=15,"Baixo",Tabela6[[#This Row],[qtde_batalhas]]&gt;=30,"Alto",Tabela6[[#This Row],[qtde_batalhas]]&lt;30,"Médio")</f>
        <v>Alto</v>
      </c>
      <c r="M44" s="31">
        <v>57000</v>
      </c>
      <c r="O44" t="s">
        <v>75</v>
      </c>
      <c r="P44" t="str">
        <f t="shared" si="0"/>
        <v>Null</v>
      </c>
      <c r="U44">
        <v>20700</v>
      </c>
      <c r="V44" t="str">
        <f>TEXT(U44,"000\.000\.000\-00")</f>
        <v>000.000.207-00</v>
      </c>
      <c r="Z44" s="26">
        <v>24700</v>
      </c>
      <c r="AA44">
        <v>24700</v>
      </c>
      <c r="AC44" s="25" t="s">
        <v>192</v>
      </c>
      <c r="AD44">
        <v>23500</v>
      </c>
      <c r="AE44">
        <v>23500</v>
      </c>
    </row>
    <row r="45" spans="1:31">
      <c r="A45" s="29" t="s">
        <v>74</v>
      </c>
      <c r="B45" s="17" t="s">
        <v>193</v>
      </c>
      <c r="C45" s="30" t="s">
        <v>194</v>
      </c>
      <c r="D45" s="1">
        <v>59</v>
      </c>
      <c r="E45" s="35">
        <v>24578</v>
      </c>
      <c r="F45" s="30" t="s">
        <v>91</v>
      </c>
      <c r="G45" s="17" t="s">
        <v>91</v>
      </c>
      <c r="H45" s="31">
        <v>6600</v>
      </c>
      <c r="I45" s="31">
        <v>50000</v>
      </c>
      <c r="J45" s="1" t="str" cm="1">
        <f t="array" ref="J45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5" s="28">
        <v>9</v>
      </c>
      <c r="L45" s="1" t="str" cm="1">
        <f t="array" ref="L45">_xlfn.IFS(Tabela6[[#This Row],[qtde_batalhas]]&lt;=15,"Baixo",Tabela6[[#This Row],[qtde_batalhas]]&gt;=30,"Alto",Tabela6[[#This Row],[qtde_batalhas]]&lt;30,"Médio")</f>
        <v>Baixo</v>
      </c>
      <c r="M45" s="31">
        <v>25000</v>
      </c>
      <c r="O45" t="s">
        <v>75</v>
      </c>
      <c r="P45" t="str">
        <f t="shared" si="0"/>
        <v>Null</v>
      </c>
      <c r="U45">
        <v>20900</v>
      </c>
      <c r="V45" t="str">
        <f>TEXT(U45,"000\.000\.000\-00")</f>
        <v>000.000.209-00</v>
      </c>
      <c r="Z45" s="26">
        <v>6600</v>
      </c>
      <c r="AA45">
        <v>6600</v>
      </c>
      <c r="AC45" s="24">
        <v>50000</v>
      </c>
      <c r="AD45">
        <v>50000</v>
      </c>
      <c r="AE45">
        <v>50000</v>
      </c>
    </row>
    <row r="46" spans="1:31">
      <c r="A46" s="29" t="s">
        <v>74</v>
      </c>
      <c r="B46" s="17" t="s">
        <v>195</v>
      </c>
      <c r="C46" s="30" t="s">
        <v>196</v>
      </c>
      <c r="D46" s="1">
        <v>44</v>
      </c>
      <c r="E46" s="35">
        <v>29975</v>
      </c>
      <c r="F46" s="30" t="s">
        <v>91</v>
      </c>
      <c r="G46" s="17" t="s">
        <v>91</v>
      </c>
      <c r="H46" s="31">
        <v>5300</v>
      </c>
      <c r="I46" s="31">
        <v>6000</v>
      </c>
      <c r="J46" s="1" t="str" cm="1">
        <f t="array" ref="J46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6" s="28">
        <v>1</v>
      </c>
      <c r="L46" s="1" t="str" cm="1">
        <f t="array" ref="L46">_xlfn.IFS(Tabela6[[#This Row],[qtde_batalhas]]&lt;=15,"Baixo",Tabela6[[#This Row],[qtde_batalhas]]&gt;=30,"Alto",Tabela6[[#This Row],[qtde_batalhas]]&lt;30,"Médio")</f>
        <v>Baixo</v>
      </c>
      <c r="M46" s="31">
        <v>4500</v>
      </c>
      <c r="O46" t="s">
        <v>75</v>
      </c>
      <c r="P46" t="str">
        <f t="shared" si="0"/>
        <v>Null</v>
      </c>
      <c r="U46">
        <v>21400</v>
      </c>
      <c r="V46" t="str">
        <f>TEXT(U46,"000\.000\.000\-00")</f>
        <v>000.000.214-00</v>
      </c>
      <c r="Z46" s="26">
        <v>5300</v>
      </c>
      <c r="AA46">
        <v>5300</v>
      </c>
      <c r="AC46" s="25">
        <v>6000</v>
      </c>
      <c r="AD46">
        <v>6000</v>
      </c>
      <c r="AE46">
        <v>6000</v>
      </c>
    </row>
    <row r="47" spans="1:31">
      <c r="A47" s="29" t="s">
        <v>78</v>
      </c>
      <c r="B47" s="17" t="s">
        <v>197</v>
      </c>
      <c r="C47" s="30" t="s">
        <v>198</v>
      </c>
      <c r="D47" s="1">
        <v>48</v>
      </c>
      <c r="E47" s="35">
        <v>28446</v>
      </c>
      <c r="F47" s="30" t="s">
        <v>91</v>
      </c>
      <c r="G47" s="17" t="s">
        <v>91</v>
      </c>
      <c r="H47" s="31">
        <v>6900</v>
      </c>
      <c r="I47" s="31">
        <v>52500</v>
      </c>
      <c r="J47" s="1" t="str" cm="1">
        <f t="array" ref="J47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7" s="28">
        <v>0</v>
      </c>
      <c r="L47" s="1" t="str" cm="1">
        <f t="array" ref="L47">_xlfn.IFS(Tabela6[[#This Row],[qtde_batalhas]]&lt;=15,"Baixo",Tabela6[[#This Row],[qtde_batalhas]]&gt;=30,"Alto",Tabela6[[#This Row],[qtde_batalhas]]&lt;30,"Médio")</f>
        <v>Baixo</v>
      </c>
      <c r="M47" s="31">
        <v>66000</v>
      </c>
      <c r="O47" t="s">
        <v>75</v>
      </c>
      <c r="P47" t="str">
        <f t="shared" si="0"/>
        <v>Null</v>
      </c>
      <c r="U47">
        <v>21900</v>
      </c>
      <c r="V47" t="str">
        <f>TEXT(U47,"000\.000\.000\-00")</f>
        <v>000.000.219-00</v>
      </c>
      <c r="Z47" s="26">
        <v>6900</v>
      </c>
      <c r="AA47">
        <v>6900</v>
      </c>
      <c r="AC47" s="24">
        <v>52500</v>
      </c>
      <c r="AD47">
        <v>52500</v>
      </c>
      <c r="AE47">
        <v>52500</v>
      </c>
    </row>
    <row r="48" spans="1:31">
      <c r="A48" s="29" t="s">
        <v>74</v>
      </c>
      <c r="B48" s="17" t="s">
        <v>199</v>
      </c>
      <c r="C48" s="30" t="s">
        <v>200</v>
      </c>
      <c r="D48" s="1">
        <v>43</v>
      </c>
      <c r="E48" s="35">
        <v>30309</v>
      </c>
      <c r="F48" s="30" t="s">
        <v>91</v>
      </c>
      <c r="G48" s="17" t="s">
        <v>91</v>
      </c>
      <c r="H48" s="31">
        <v>18400</v>
      </c>
      <c r="I48" s="31">
        <v>62000</v>
      </c>
      <c r="J48" s="1" t="str" cm="1">
        <f t="array" ref="J48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8" s="28">
        <v>33</v>
      </c>
      <c r="L48" s="1" t="str" cm="1">
        <f t="array" ref="L48">_xlfn.IFS(Tabela6[[#This Row],[qtde_batalhas]]&lt;=15,"Baixo",Tabela6[[#This Row],[qtde_batalhas]]&gt;=30,"Alto",Tabela6[[#This Row],[qtde_batalhas]]&lt;30,"Médio")</f>
        <v>Alto</v>
      </c>
      <c r="M48" s="31">
        <v>31000</v>
      </c>
      <c r="O48" t="s">
        <v>75</v>
      </c>
      <c r="P48" t="str">
        <f t="shared" si="0"/>
        <v>Null</v>
      </c>
      <c r="U48">
        <v>22300</v>
      </c>
      <c r="V48" t="str">
        <f>TEXT(U48,"000\.000\.000\-00")</f>
        <v>000.000.223-00</v>
      </c>
      <c r="Z48" s="26">
        <v>18400</v>
      </c>
      <c r="AA48">
        <v>18400</v>
      </c>
      <c r="AC48" s="25">
        <v>62000</v>
      </c>
      <c r="AD48">
        <v>62000</v>
      </c>
      <c r="AE48">
        <v>62000</v>
      </c>
    </row>
    <row r="49" spans="1:31">
      <c r="A49" s="29" t="s">
        <v>74</v>
      </c>
      <c r="B49" s="17" t="s">
        <v>201</v>
      </c>
      <c r="C49" s="30" t="s">
        <v>202</v>
      </c>
      <c r="D49" s="1">
        <v>26</v>
      </c>
      <c r="E49" s="35">
        <v>36619</v>
      </c>
      <c r="F49" s="30" t="s">
        <v>91</v>
      </c>
      <c r="G49" s="17" t="s">
        <v>91</v>
      </c>
      <c r="H49" s="31">
        <v>26800</v>
      </c>
      <c r="I49" s="31">
        <v>42500</v>
      </c>
      <c r="J49" s="1" t="str" cm="1">
        <f t="array" ref="J49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9" s="28">
        <v>29</v>
      </c>
      <c r="L49" s="1" t="str" cm="1">
        <f t="array" ref="L49">_xlfn.IFS(Tabela6[[#This Row],[qtde_batalhas]]&lt;=15,"Baixo",Tabela6[[#This Row],[qtde_batalhas]]&gt;=30,"Alto",Tabela6[[#This Row],[qtde_batalhas]]&lt;30,"Médio")</f>
        <v>Médio</v>
      </c>
      <c r="M49" s="31">
        <v>66000</v>
      </c>
      <c r="O49" t="s">
        <v>75</v>
      </c>
      <c r="P49" t="str">
        <f t="shared" si="0"/>
        <v>Null</v>
      </c>
      <c r="U49">
        <v>23000</v>
      </c>
      <c r="V49" t="str">
        <f>TEXT(U49,"000\.000\.000\-00")</f>
        <v>000.000.230-00</v>
      </c>
      <c r="Z49" s="26" t="s">
        <v>203</v>
      </c>
      <c r="AA49">
        <v>26800</v>
      </c>
      <c r="AC49" s="24">
        <v>42500</v>
      </c>
      <c r="AD49">
        <v>42500</v>
      </c>
      <c r="AE49">
        <v>42500</v>
      </c>
    </row>
    <row r="50" spans="1:31">
      <c r="A50" s="29" t="s">
        <v>74</v>
      </c>
      <c r="B50" s="17" t="s">
        <v>204</v>
      </c>
      <c r="C50" s="30" t="s">
        <v>205</v>
      </c>
      <c r="D50" s="1">
        <v>68</v>
      </c>
      <c r="E50" s="35">
        <v>21079</v>
      </c>
      <c r="F50" s="17" t="s">
        <v>206</v>
      </c>
      <c r="G50" s="17" t="s">
        <v>207</v>
      </c>
      <c r="H50" s="31">
        <v>3600</v>
      </c>
      <c r="I50" s="31">
        <v>64500</v>
      </c>
      <c r="J50" s="1" t="str" cm="1">
        <f t="array" ref="J50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50" s="28">
        <v>32</v>
      </c>
      <c r="L50" s="1" t="str" cm="1">
        <f t="array" ref="L50">_xlfn.IFS(Tabela6[[#This Row],[qtde_batalhas]]&lt;=15,"Baixo",Tabela6[[#This Row],[qtde_batalhas]]&gt;=30,"Alto",Tabela6[[#This Row],[qtde_batalhas]]&lt;30,"Médio")</f>
        <v>Alto</v>
      </c>
      <c r="M50" s="31">
        <v>35500</v>
      </c>
      <c r="O50" t="s">
        <v>208</v>
      </c>
      <c r="P50" t="str">
        <f t="shared" si="0"/>
        <v>Gargalo</v>
      </c>
      <c r="U50">
        <v>23300</v>
      </c>
      <c r="V50" t="str">
        <f>TEXT(U50,"000\.000\.000\-00")</f>
        <v>000.000.233-00</v>
      </c>
      <c r="Z50" s="26" t="s">
        <v>209</v>
      </c>
      <c r="AA50">
        <v>3600</v>
      </c>
      <c r="AC50" s="25">
        <v>64500</v>
      </c>
      <c r="AD50">
        <v>64500</v>
      </c>
      <c r="AE50">
        <v>64500</v>
      </c>
    </row>
    <row r="51" spans="1:31">
      <c r="A51" s="29" t="s">
        <v>74</v>
      </c>
      <c r="B51" s="17" t="s">
        <v>210</v>
      </c>
      <c r="C51" s="30" t="s">
        <v>211</v>
      </c>
      <c r="D51" s="1">
        <v>49</v>
      </c>
      <c r="E51" s="35">
        <v>28136</v>
      </c>
      <c r="F51" s="30" t="s">
        <v>91</v>
      </c>
      <c r="G51" s="17" t="s">
        <v>91</v>
      </c>
      <c r="H51" s="31">
        <v>20300</v>
      </c>
      <c r="I51" s="31">
        <v>12000</v>
      </c>
      <c r="J51" s="1" t="str" cm="1">
        <f t="array" ref="J51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51" s="28">
        <v>27</v>
      </c>
      <c r="L51" s="1" t="str" cm="1">
        <f t="array" ref="L51">_xlfn.IFS(Tabela6[[#This Row],[qtde_batalhas]]&lt;=15,"Baixo",Tabela6[[#This Row],[qtde_batalhas]]&gt;=30,"Alto",Tabela6[[#This Row],[qtde_batalhas]]&lt;30,"Médio")</f>
        <v>Médio</v>
      </c>
      <c r="M51" s="31">
        <v>67500</v>
      </c>
      <c r="O51" t="s">
        <v>75</v>
      </c>
      <c r="P51" t="str">
        <f t="shared" si="0"/>
        <v>Null</v>
      </c>
      <c r="U51">
        <v>23700</v>
      </c>
      <c r="V51" t="str">
        <f>TEXT(U51,"000\.000\.000\-00")</f>
        <v>000.000.237-00</v>
      </c>
      <c r="X51" s="14" t="s">
        <v>212</v>
      </c>
      <c r="Y51" t="e" cm="1" vm="1">
        <f t="array" aca="1" ref="Y51" ca="1">_xlfn.TEXTSPLIT(X51," | ")</f>
        <v>#VALUE!</v>
      </c>
      <c r="Z51" s="26">
        <v>20300</v>
      </c>
      <c r="AA51">
        <v>20300</v>
      </c>
      <c r="AC51" s="24">
        <v>12000</v>
      </c>
      <c r="AD51">
        <v>12000</v>
      </c>
      <c r="AE51">
        <v>12000</v>
      </c>
    </row>
    <row r="52" spans="1:31">
      <c r="A52" s="29" t="s">
        <v>74</v>
      </c>
      <c r="B52" s="17" t="s">
        <v>213</v>
      </c>
      <c r="C52" s="30" t="s">
        <v>214</v>
      </c>
      <c r="D52" s="1">
        <v>35</v>
      </c>
      <c r="E52" s="35" t="s">
        <v>75</v>
      </c>
      <c r="F52" s="30" t="s">
        <v>91</v>
      </c>
      <c r="G52" s="17" t="s">
        <v>91</v>
      </c>
      <c r="H52" s="31">
        <v>28000</v>
      </c>
      <c r="I52" s="31">
        <v>76500</v>
      </c>
      <c r="J52" s="1" t="str" cm="1">
        <f t="array" ref="J52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52" s="28">
        <v>39</v>
      </c>
      <c r="L52" s="1" t="str" cm="1">
        <f t="array" ref="L52">_xlfn.IFS(Tabela6[[#This Row],[qtde_batalhas]]&lt;=15,"Baixo",Tabela6[[#This Row],[qtde_batalhas]]&gt;=30,"Alto",Tabela6[[#This Row],[qtde_batalhas]]&lt;30,"Médio")</f>
        <v>Alto</v>
      </c>
      <c r="M52" s="31">
        <v>32000</v>
      </c>
      <c r="O52" t="s">
        <v>75</v>
      </c>
      <c r="P52" t="str">
        <f t="shared" si="0"/>
        <v>Null</v>
      </c>
      <c r="U52">
        <v>23900</v>
      </c>
      <c r="V52" t="str">
        <f>TEXT(U52,"000\.000\.000\-00")</f>
        <v>000.000.239-00</v>
      </c>
      <c r="X52" s="15" t="s">
        <v>215</v>
      </c>
      <c r="Z52" s="26">
        <v>28000</v>
      </c>
      <c r="AA52">
        <v>28000</v>
      </c>
      <c r="AC52" s="25" t="s">
        <v>216</v>
      </c>
      <c r="AD52">
        <v>76500</v>
      </c>
      <c r="AE52">
        <v>76500</v>
      </c>
    </row>
    <row r="53" spans="1:31">
      <c r="A53" s="29" t="s">
        <v>78</v>
      </c>
      <c r="B53" s="17" t="s">
        <v>217</v>
      </c>
      <c r="C53" s="30" t="s">
        <v>218</v>
      </c>
      <c r="D53" s="1">
        <v>69</v>
      </c>
      <c r="E53" s="35">
        <v>20785</v>
      </c>
      <c r="F53" s="17" t="s">
        <v>219</v>
      </c>
      <c r="G53" s="17" t="s">
        <v>164</v>
      </c>
      <c r="H53" s="31">
        <v>16000</v>
      </c>
      <c r="I53" s="31">
        <v>48000</v>
      </c>
      <c r="J53" s="1" t="str" cm="1">
        <f t="array" ref="J53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53" s="28">
        <v>29</v>
      </c>
      <c r="L53" s="1" t="str" cm="1">
        <f t="array" ref="L53">_xlfn.IFS(Tabela6[[#This Row],[qtde_batalhas]]&lt;=15,"Baixo",Tabela6[[#This Row],[qtde_batalhas]]&gt;=30,"Alto",Tabela6[[#This Row],[qtde_batalhas]]&lt;30,"Médio")</f>
        <v>Médio</v>
      </c>
      <c r="M53" s="31">
        <v>74500</v>
      </c>
      <c r="O53" t="s">
        <v>220</v>
      </c>
      <c r="P53" t="str">
        <f t="shared" si="0"/>
        <v>Norte</v>
      </c>
      <c r="U53">
        <v>24000</v>
      </c>
      <c r="V53" t="str">
        <f>TEXT(U53,"000\.000\.000\-00")</f>
        <v>000.000.240-00</v>
      </c>
      <c r="X53" s="15" t="s">
        <v>150</v>
      </c>
      <c r="Z53" s="26">
        <v>16000</v>
      </c>
      <c r="AA53">
        <v>16000</v>
      </c>
      <c r="AC53" s="24">
        <v>48000</v>
      </c>
      <c r="AD53">
        <v>48000</v>
      </c>
      <c r="AE53">
        <v>48000</v>
      </c>
    </row>
    <row r="54" spans="1:31">
      <c r="A54" s="29" t="s">
        <v>74</v>
      </c>
      <c r="B54" s="17" t="s">
        <v>221</v>
      </c>
      <c r="C54" s="30" t="s">
        <v>222</v>
      </c>
      <c r="D54" s="1">
        <v>61</v>
      </c>
      <c r="E54" s="35">
        <v>23928</v>
      </c>
      <c r="F54" s="30" t="s">
        <v>91</v>
      </c>
      <c r="G54" s="17" t="s">
        <v>91</v>
      </c>
      <c r="H54" s="31">
        <v>22900</v>
      </c>
      <c r="I54" s="31">
        <v>7500</v>
      </c>
      <c r="J54" s="1" t="str" cm="1">
        <f t="array" ref="J54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54" s="28">
        <v>12</v>
      </c>
      <c r="L54" s="1" t="str" cm="1">
        <f t="array" ref="L54">_xlfn.IFS(Tabela6[[#This Row],[qtde_batalhas]]&lt;=15,"Baixo",Tabela6[[#This Row],[qtde_batalhas]]&gt;=30,"Alto",Tabela6[[#This Row],[qtde_batalhas]]&lt;30,"Médio")</f>
        <v>Baixo</v>
      </c>
      <c r="M54" s="31">
        <v>73000</v>
      </c>
      <c r="O54" t="s">
        <v>75</v>
      </c>
      <c r="P54" t="str">
        <f t="shared" si="0"/>
        <v>Null</v>
      </c>
      <c r="U54">
        <v>24300</v>
      </c>
      <c r="V54" t="str">
        <f>TEXT(U54,"000\.000\.000\-00")</f>
        <v>000.000.243-00</v>
      </c>
      <c r="X54" s="15" t="s">
        <v>223</v>
      </c>
      <c r="Z54" s="26">
        <v>22900</v>
      </c>
      <c r="AA54">
        <v>22900</v>
      </c>
      <c r="AC54" s="25">
        <v>7500</v>
      </c>
      <c r="AD54">
        <v>7500</v>
      </c>
      <c r="AE54">
        <v>7500</v>
      </c>
    </row>
    <row r="55" spans="1:31">
      <c r="A55" s="29" t="s">
        <v>74</v>
      </c>
      <c r="B55" s="17" t="s">
        <v>224</v>
      </c>
      <c r="C55" s="30" t="s">
        <v>225</v>
      </c>
      <c r="D55" s="1">
        <v>30</v>
      </c>
      <c r="E55" s="35">
        <v>35180</v>
      </c>
      <c r="F55" s="30" t="s">
        <v>91</v>
      </c>
      <c r="G55" s="17" t="s">
        <v>91</v>
      </c>
      <c r="H55" s="31">
        <v>13800</v>
      </c>
      <c r="I55" s="31">
        <v>42000</v>
      </c>
      <c r="K55" s="28">
        <v>29</v>
      </c>
      <c r="L55" s="1" t="str" cm="1">
        <f t="array" ref="L55">_xlfn.IFS(Tabela6[[#This Row],[qtde_batalhas]]&lt;=15,"Baixo",Tabela6[[#This Row],[qtde_batalhas]]&gt;=30,"Alto",Tabela6[[#This Row],[qtde_batalhas]]&lt;30,"Médio")</f>
        <v>Médio</v>
      </c>
      <c r="M55" s="31">
        <v>7000</v>
      </c>
      <c r="O55" t="s">
        <v>75</v>
      </c>
      <c r="P55" t="str">
        <f t="shared" si="0"/>
        <v>Null</v>
      </c>
      <c r="U55">
        <v>25200</v>
      </c>
      <c r="V55" t="str">
        <f>TEXT(U55,"000\.000\.000\-00")</f>
        <v>000.000.252-00</v>
      </c>
      <c r="X55" s="15" t="s">
        <v>226</v>
      </c>
      <c r="Z55" s="26">
        <v>13800</v>
      </c>
      <c r="AA55">
        <v>13800</v>
      </c>
      <c r="AC55" s="24">
        <v>42000</v>
      </c>
      <c r="AD55">
        <v>42000</v>
      </c>
      <c r="AE55">
        <v>42000</v>
      </c>
    </row>
    <row r="56" spans="1:31">
      <c r="A56" s="34" t="s">
        <v>75</v>
      </c>
      <c r="B56" s="17" t="s">
        <v>227</v>
      </c>
      <c r="C56" s="30" t="s">
        <v>228</v>
      </c>
      <c r="D56" s="1">
        <v>56</v>
      </c>
      <c r="E56" s="35">
        <v>25705</v>
      </c>
      <c r="F56" s="30" t="s">
        <v>91</v>
      </c>
      <c r="G56" s="17" t="s">
        <v>91</v>
      </c>
      <c r="H56" s="31">
        <v>11100</v>
      </c>
      <c r="I56" s="31">
        <v>13000</v>
      </c>
      <c r="J56" s="1" t="s">
        <v>50</v>
      </c>
      <c r="K56" s="28">
        <v>38</v>
      </c>
      <c r="L56" s="1" t="str" cm="1">
        <f t="array" ref="L56">_xlfn.IFS(Tabela6[[#This Row],[qtde_batalhas]]&lt;=15,"Baixo",Tabela6[[#This Row],[qtde_batalhas]]&gt;=30,"Alto",Tabela6[[#This Row],[qtde_batalhas]]&lt;30,"Médio")</f>
        <v>Alto</v>
      </c>
      <c r="M56" s="31">
        <v>88000</v>
      </c>
      <c r="O56" t="s">
        <v>75</v>
      </c>
      <c r="P56" t="str">
        <f t="shared" si="0"/>
        <v>Null</v>
      </c>
      <c r="U56">
        <v>25700</v>
      </c>
      <c r="V56" t="str">
        <f>TEXT(U56,"000\.000\.000\-00")</f>
        <v>000.000.257-00</v>
      </c>
      <c r="X56" s="15" t="s">
        <v>156</v>
      </c>
      <c r="Z56" s="26">
        <v>11100</v>
      </c>
      <c r="AA56">
        <v>11100</v>
      </c>
      <c r="AC56" s="25">
        <v>13000</v>
      </c>
      <c r="AD56">
        <v>13000</v>
      </c>
      <c r="AE56">
        <v>13000</v>
      </c>
    </row>
    <row r="57" spans="1:31">
      <c r="A57" s="29" t="s">
        <v>74</v>
      </c>
      <c r="B57" s="17" t="s">
        <v>229</v>
      </c>
      <c r="C57" s="30" t="s">
        <v>230</v>
      </c>
      <c r="D57" s="1">
        <v>68</v>
      </c>
      <c r="E57" s="35">
        <v>21145</v>
      </c>
      <c r="F57" s="17" t="s">
        <v>231</v>
      </c>
      <c r="G57" s="17" t="s">
        <v>180</v>
      </c>
      <c r="H57" s="31">
        <v>24500</v>
      </c>
      <c r="I57" s="31">
        <v>16500</v>
      </c>
      <c r="J57" s="1" t="s">
        <v>50</v>
      </c>
      <c r="K57" s="28">
        <v>22</v>
      </c>
      <c r="L57" s="1" t="str" cm="1">
        <f t="array" ref="L57">_xlfn.IFS(Tabela6[[#This Row],[qtde_batalhas]]&lt;=15,"Baixo",Tabela6[[#This Row],[qtde_batalhas]]&gt;=30,"Alto",Tabela6[[#This Row],[qtde_batalhas]]&lt;30,"Médio")</f>
        <v>Médio</v>
      </c>
      <c r="M57" s="31">
        <v>34500</v>
      </c>
      <c r="O57" t="s">
        <v>232</v>
      </c>
      <c r="P57" t="str">
        <f t="shared" si="0"/>
        <v>Terras Da Tempestade</v>
      </c>
      <c r="U57">
        <v>26400</v>
      </c>
      <c r="V57" t="str">
        <f>TEXT(U57,"000\.000\.000\-00")</f>
        <v>000.000.264-00</v>
      </c>
      <c r="X57" s="15" t="s">
        <v>219</v>
      </c>
      <c r="Z57" s="26">
        <v>24500</v>
      </c>
      <c r="AA57">
        <v>24500</v>
      </c>
      <c r="AC57" s="24">
        <v>16500</v>
      </c>
      <c r="AD57">
        <v>16500</v>
      </c>
      <c r="AE57">
        <v>16500</v>
      </c>
    </row>
    <row r="58" spans="1:31">
      <c r="A58" s="29" t="s">
        <v>74</v>
      </c>
      <c r="B58" s="17" t="s">
        <v>233</v>
      </c>
      <c r="C58" s="30" t="s">
        <v>234</v>
      </c>
      <c r="D58" s="1">
        <v>60</v>
      </c>
      <c r="E58" s="35">
        <v>24082</v>
      </c>
      <c r="F58" s="30" t="s">
        <v>91</v>
      </c>
      <c r="G58" s="17" t="s">
        <v>91</v>
      </c>
      <c r="H58" s="31">
        <v>13800</v>
      </c>
      <c r="I58" s="31">
        <v>45500</v>
      </c>
      <c r="J58" s="1" t="s">
        <v>50</v>
      </c>
      <c r="K58" s="28">
        <v>30</v>
      </c>
      <c r="L58" s="1" t="str" cm="1">
        <f t="array" ref="L58">_xlfn.IFS(Tabela6[[#This Row],[qtde_batalhas]]&lt;=15,"Baixo",Tabela6[[#This Row],[qtde_batalhas]]&gt;=30,"Alto",Tabela6[[#This Row],[qtde_batalhas]]&lt;30,"Médio")</f>
        <v>Alto</v>
      </c>
      <c r="M58" s="31">
        <v>17500</v>
      </c>
      <c r="O58" t="s">
        <v>75</v>
      </c>
      <c r="P58" t="str">
        <f t="shared" si="0"/>
        <v>Null</v>
      </c>
      <c r="U58">
        <v>26700</v>
      </c>
      <c r="V58" t="str">
        <f>TEXT(U58,"000\.000\.000\-00")</f>
        <v>000.000.267-00</v>
      </c>
      <c r="X58" s="15" t="s">
        <v>101</v>
      </c>
      <c r="Z58" s="26">
        <v>13800</v>
      </c>
      <c r="AA58">
        <v>13800</v>
      </c>
      <c r="AC58" s="25">
        <v>45500</v>
      </c>
      <c r="AD58">
        <v>45500</v>
      </c>
      <c r="AE58">
        <v>45500</v>
      </c>
    </row>
    <row r="59" spans="1:31">
      <c r="A59" s="29" t="s">
        <v>74</v>
      </c>
      <c r="B59" s="17" t="s">
        <v>235</v>
      </c>
      <c r="C59" s="30" t="s">
        <v>236</v>
      </c>
      <c r="D59" s="1">
        <v>33</v>
      </c>
      <c r="E59" s="35">
        <v>34070</v>
      </c>
      <c r="F59" s="30" t="s">
        <v>91</v>
      </c>
      <c r="G59" s="17" t="s">
        <v>91</v>
      </c>
      <c r="H59" s="31">
        <v>29300</v>
      </c>
      <c r="I59" s="31">
        <v>69000</v>
      </c>
      <c r="J59" s="1" t="s">
        <v>51</v>
      </c>
      <c r="K59" s="28">
        <v>0</v>
      </c>
      <c r="L59" s="1" t="str" cm="1">
        <f t="array" ref="L59">_xlfn.IFS(Tabela6[[#This Row],[qtde_batalhas]]&lt;=15,"Baixo",Tabela6[[#This Row],[qtde_batalhas]]&gt;=30,"Alto",Tabela6[[#This Row],[qtde_batalhas]]&lt;30,"Médio")</f>
        <v>Baixo</v>
      </c>
      <c r="M59" s="31">
        <v>4500</v>
      </c>
      <c r="O59" t="s">
        <v>75</v>
      </c>
      <c r="P59" t="str">
        <f t="shared" si="0"/>
        <v>Null</v>
      </c>
      <c r="U59">
        <v>27100</v>
      </c>
      <c r="V59" t="str">
        <f>TEXT(U59,"000\.000\.000\-00")</f>
        <v>000.000.271-00</v>
      </c>
      <c r="X59" s="15" t="s">
        <v>231</v>
      </c>
      <c r="Z59" s="26">
        <v>29300</v>
      </c>
      <c r="AA59">
        <v>29300</v>
      </c>
      <c r="AC59" s="24">
        <v>69000</v>
      </c>
      <c r="AD59">
        <v>69000</v>
      </c>
      <c r="AE59">
        <v>69000</v>
      </c>
    </row>
    <row r="60" spans="1:31">
      <c r="A60" s="29" t="s">
        <v>74</v>
      </c>
      <c r="B60" s="17" t="s">
        <v>237</v>
      </c>
      <c r="C60" s="30" t="s">
        <v>238</v>
      </c>
      <c r="D60" s="1">
        <v>63</v>
      </c>
      <c r="E60" s="35">
        <v>23006</v>
      </c>
      <c r="F60" s="17" t="s">
        <v>219</v>
      </c>
      <c r="G60" s="17" t="s">
        <v>164</v>
      </c>
      <c r="H60" s="31">
        <v>11200</v>
      </c>
      <c r="I60" s="31" t="s">
        <v>75</v>
      </c>
      <c r="K60" s="28">
        <v>41</v>
      </c>
      <c r="L60" s="1" t="str" cm="1">
        <f t="array" ref="L60">_xlfn.IFS(Tabela6[[#This Row],[qtde_batalhas]]&lt;=15,"Baixo",Tabela6[[#This Row],[qtde_batalhas]]&gt;=30,"Alto",Tabela6[[#This Row],[qtde_batalhas]]&lt;30,"Médio")</f>
        <v>Alto</v>
      </c>
      <c r="M60" s="31">
        <v>83500</v>
      </c>
      <c r="O60" t="s">
        <v>164</v>
      </c>
      <c r="P60" t="str">
        <f t="shared" si="0"/>
        <v>Norte</v>
      </c>
      <c r="U60">
        <v>27200</v>
      </c>
      <c r="V60" t="str">
        <f>TEXT(U60,"000\.000\.000\-00")</f>
        <v>000.000.272-00</v>
      </c>
      <c r="X60" s="15" t="s">
        <v>239</v>
      </c>
      <c r="Z60" s="26">
        <v>11200</v>
      </c>
      <c r="AA60">
        <v>11200</v>
      </c>
      <c r="AC60" s="25"/>
      <c r="AD60" t="s">
        <v>75</v>
      </c>
      <c r="AE60" t="s">
        <v>75</v>
      </c>
    </row>
    <row r="61" spans="1:31">
      <c r="A61" s="29" t="s">
        <v>74</v>
      </c>
      <c r="B61" s="17" t="s">
        <v>240</v>
      </c>
      <c r="C61" s="30" t="s">
        <v>241</v>
      </c>
      <c r="D61" s="1" t="s">
        <v>242</v>
      </c>
      <c r="E61" s="35">
        <v>36255</v>
      </c>
      <c r="F61" s="17" t="s">
        <v>219</v>
      </c>
      <c r="G61" s="17" t="s">
        <v>164</v>
      </c>
      <c r="H61" s="31">
        <v>14000</v>
      </c>
      <c r="I61" s="31">
        <v>63500</v>
      </c>
      <c r="J61" s="1" t="s">
        <v>50</v>
      </c>
      <c r="K61" s="28">
        <v>24</v>
      </c>
      <c r="L61" s="1" t="str" cm="1">
        <f t="array" ref="L61">_xlfn.IFS(Tabela6[[#This Row],[qtde_batalhas]]&lt;=15,"Baixo",Tabela6[[#This Row],[qtde_batalhas]]&gt;=30,"Alto",Tabela6[[#This Row],[qtde_batalhas]]&lt;30,"Médio")</f>
        <v>Médio</v>
      </c>
      <c r="M61" s="31">
        <v>87000</v>
      </c>
      <c r="O61" t="s">
        <v>164</v>
      </c>
      <c r="P61" t="str">
        <f t="shared" si="0"/>
        <v>Norte</v>
      </c>
      <c r="U61">
        <v>27300</v>
      </c>
      <c r="V61" t="str">
        <f>TEXT(U61,"000\.000\.000\-00")</f>
        <v>000.000.273-00</v>
      </c>
      <c r="X61" s="15" t="s">
        <v>243</v>
      </c>
      <c r="Z61" s="26">
        <v>14000</v>
      </c>
      <c r="AA61">
        <v>14000</v>
      </c>
      <c r="AC61" s="24">
        <v>63500</v>
      </c>
      <c r="AD61">
        <v>63500</v>
      </c>
      <c r="AE61">
        <v>63500</v>
      </c>
    </row>
    <row r="62" spans="1:31">
      <c r="A62" s="29" t="s">
        <v>74</v>
      </c>
      <c r="B62" s="17" t="s">
        <v>244</v>
      </c>
      <c r="C62" s="30" t="s">
        <v>245</v>
      </c>
      <c r="D62" s="1">
        <v>64</v>
      </c>
      <c r="E62" s="35">
        <v>22828</v>
      </c>
      <c r="F62" s="30" t="s">
        <v>91</v>
      </c>
      <c r="G62" s="17" t="s">
        <v>91</v>
      </c>
      <c r="H62" s="31">
        <v>2900</v>
      </c>
      <c r="I62" s="31">
        <v>76000</v>
      </c>
      <c r="J62" s="1" t="s">
        <v>50</v>
      </c>
      <c r="K62" s="28">
        <v>32</v>
      </c>
      <c r="L62" s="1" t="str" cm="1">
        <f t="array" ref="L62">_xlfn.IFS(Tabela6[[#This Row],[qtde_batalhas]]&lt;=15,"Baixo",Tabela6[[#This Row],[qtde_batalhas]]&gt;=30,"Alto",Tabela6[[#This Row],[qtde_batalhas]]&lt;30,"Médio")</f>
        <v>Alto</v>
      </c>
      <c r="M62" s="31">
        <v>72500</v>
      </c>
      <c r="O62" t="s">
        <v>75</v>
      </c>
      <c r="P62" t="str">
        <f t="shared" si="0"/>
        <v>Null</v>
      </c>
      <c r="U62">
        <v>27800</v>
      </c>
      <c r="V62" t="str">
        <f>TEXT(U62,"000\.000\.000\-00")</f>
        <v>000.000.278-00</v>
      </c>
      <c r="X62" s="15" t="s">
        <v>246</v>
      </c>
      <c r="Z62" s="26">
        <v>2900</v>
      </c>
      <c r="AA62">
        <v>2900</v>
      </c>
      <c r="AC62" s="25">
        <v>76000</v>
      </c>
      <c r="AD62">
        <v>76000</v>
      </c>
      <c r="AE62">
        <v>76000</v>
      </c>
    </row>
    <row r="63" spans="1:31">
      <c r="A63" s="29" t="s">
        <v>74</v>
      </c>
      <c r="B63" s="17" t="s">
        <v>247</v>
      </c>
      <c r="C63" s="30" t="s">
        <v>248</v>
      </c>
      <c r="D63" s="1">
        <v>70</v>
      </c>
      <c r="E63" s="35">
        <v>20515</v>
      </c>
      <c r="F63" s="17" t="s">
        <v>115</v>
      </c>
      <c r="G63" s="17" t="s">
        <v>116</v>
      </c>
      <c r="H63" s="31">
        <v>19500</v>
      </c>
      <c r="I63" s="31">
        <v>62000</v>
      </c>
      <c r="J63" s="1" t="s">
        <v>51</v>
      </c>
      <c r="K63" s="28">
        <v>45</v>
      </c>
      <c r="L63" s="1" t="str" cm="1">
        <f t="array" ref="L63">_xlfn.IFS(Tabela6[[#This Row],[qtde_batalhas]]&lt;=15,"Baixo",Tabela6[[#This Row],[qtde_batalhas]]&gt;=30,"Alto",Tabela6[[#This Row],[qtde_batalhas]]&lt;30,"Médio")</f>
        <v>Alto</v>
      </c>
      <c r="M63" s="31">
        <v>35500</v>
      </c>
      <c r="O63" t="s">
        <v>116</v>
      </c>
      <c r="P63" t="str">
        <f t="shared" si="0"/>
        <v>Essos</v>
      </c>
      <c r="U63">
        <v>27900</v>
      </c>
      <c r="V63" t="str">
        <f>TEXT(U63,"000\.000\.000\-00")</f>
        <v>000.000.279-00</v>
      </c>
      <c r="X63" s="15" t="s">
        <v>219</v>
      </c>
      <c r="Z63" s="26" t="s">
        <v>249</v>
      </c>
      <c r="AA63">
        <v>19500</v>
      </c>
      <c r="AC63" s="24">
        <v>62000</v>
      </c>
      <c r="AD63">
        <v>62000</v>
      </c>
      <c r="AE63">
        <v>62000</v>
      </c>
    </row>
    <row r="64" spans="1:31">
      <c r="A64" s="29" t="s">
        <v>74</v>
      </c>
      <c r="B64" s="17" t="s">
        <v>250</v>
      </c>
      <c r="C64" s="30" t="s">
        <v>251</v>
      </c>
      <c r="D64" s="1">
        <v>38</v>
      </c>
      <c r="E64" s="35">
        <v>32166</v>
      </c>
      <c r="F64" s="30" t="s">
        <v>91</v>
      </c>
      <c r="G64" s="17" t="s">
        <v>91</v>
      </c>
      <c r="H64" s="31">
        <v>19500</v>
      </c>
      <c r="I64" s="31">
        <v>39000</v>
      </c>
      <c r="J64" s="1" t="s">
        <v>50</v>
      </c>
      <c r="K64" s="28">
        <v>25</v>
      </c>
      <c r="L64" s="1" t="str" cm="1">
        <f t="array" ref="L64">_xlfn.IFS(Tabela6[[#This Row],[qtde_batalhas]]&lt;=15,"Baixo",Tabela6[[#This Row],[qtde_batalhas]]&gt;=30,"Alto",Tabela6[[#This Row],[qtde_batalhas]]&lt;30,"Médio")</f>
        <v>Médio</v>
      </c>
      <c r="M64" s="31">
        <v>88500</v>
      </c>
      <c r="O64" t="s">
        <v>75</v>
      </c>
      <c r="P64" t="str">
        <f t="shared" si="0"/>
        <v>Null</v>
      </c>
      <c r="U64">
        <v>29500</v>
      </c>
      <c r="V64" t="str">
        <f>TEXT(U64,"000\.000\.000\-00")</f>
        <v>000.000.295-00</v>
      </c>
      <c r="X64" s="15" t="s">
        <v>252</v>
      </c>
      <c r="Z64" s="26" t="s">
        <v>249</v>
      </c>
      <c r="AA64">
        <v>19500</v>
      </c>
      <c r="AC64" s="25">
        <v>39000</v>
      </c>
      <c r="AD64">
        <v>39000</v>
      </c>
      <c r="AE64">
        <v>39000</v>
      </c>
    </row>
    <row r="65" spans="1:31">
      <c r="A65" s="29" t="s">
        <v>78</v>
      </c>
      <c r="B65" s="17" t="s">
        <v>253</v>
      </c>
      <c r="C65" s="30" t="s">
        <v>254</v>
      </c>
      <c r="D65" s="1">
        <v>57</v>
      </c>
      <c r="E65" s="35">
        <v>25324</v>
      </c>
      <c r="F65" s="30" t="s">
        <v>91</v>
      </c>
      <c r="G65" s="17" t="s">
        <v>91</v>
      </c>
      <c r="H65" s="31">
        <v>9500</v>
      </c>
      <c r="I65" s="31">
        <v>58000</v>
      </c>
      <c r="J65" s="1" t="s">
        <v>255</v>
      </c>
      <c r="K65" s="28">
        <v>23</v>
      </c>
      <c r="L65" s="1" t="str" cm="1">
        <f t="array" ref="L65">_xlfn.IFS(Tabela6[[#This Row],[qtde_batalhas]]&lt;=15,"Baixo",Tabela6[[#This Row],[qtde_batalhas]]&gt;=30,"Alto",Tabela6[[#This Row],[qtde_batalhas]]&lt;30,"Médio")</f>
        <v>Médio</v>
      </c>
      <c r="M65" s="31">
        <v>81500</v>
      </c>
      <c r="O65" t="s">
        <v>75</v>
      </c>
      <c r="P65" t="str">
        <f t="shared" si="0"/>
        <v>Null</v>
      </c>
      <c r="U65">
        <v>29900</v>
      </c>
      <c r="V65" t="str">
        <f>TEXT(U65,"000\.000\.000\-00")</f>
        <v>000.000.299-00</v>
      </c>
      <c r="X65" s="15" t="s">
        <v>256</v>
      </c>
      <c r="Z65" s="26">
        <v>9500</v>
      </c>
      <c r="AA65">
        <v>9500</v>
      </c>
      <c r="AC65" s="24">
        <v>58000</v>
      </c>
      <c r="AD65">
        <v>58000</v>
      </c>
      <c r="AE65">
        <v>58000</v>
      </c>
    </row>
    <row r="66" spans="1:31">
      <c r="A66" s="29" t="s">
        <v>74</v>
      </c>
      <c r="B66" s="17" t="s">
        <v>257</v>
      </c>
      <c r="C66" s="30" t="s">
        <v>258</v>
      </c>
      <c r="D66" s="1">
        <v>24</v>
      </c>
      <c r="E66" s="35">
        <v>37259</v>
      </c>
      <c r="F66" s="17" t="s">
        <v>226</v>
      </c>
      <c r="G66" s="17" t="s">
        <v>226</v>
      </c>
      <c r="H66" s="31">
        <v>25200</v>
      </c>
      <c r="I66" s="31">
        <v>0</v>
      </c>
      <c r="J66" s="1" t="s">
        <v>50</v>
      </c>
      <c r="K66" s="28">
        <v>10</v>
      </c>
      <c r="L66" s="1" t="str" cm="1">
        <f t="array" ref="L66">_xlfn.IFS(Tabela6[[#This Row],[qtde_batalhas]]&lt;=15,"Baixo",Tabela6[[#This Row],[qtde_batalhas]]&gt;=30,"Alto",Tabela6[[#This Row],[qtde_batalhas]]&lt;30,"Médio")</f>
        <v>Baixo</v>
      </c>
      <c r="M66" s="31">
        <v>69500</v>
      </c>
      <c r="O66" t="s">
        <v>226</v>
      </c>
      <c r="P66" t="str">
        <f t="shared" si="0"/>
        <v>Dorne</v>
      </c>
      <c r="U66">
        <v>30000</v>
      </c>
      <c r="V66" t="str">
        <f>TEXT(U66,"000\.000\.000\-00")</f>
        <v>000.000.300-00</v>
      </c>
      <c r="X66" s="15" t="s">
        <v>215</v>
      </c>
      <c r="Z66" s="26">
        <v>25200</v>
      </c>
      <c r="AA66">
        <v>25200</v>
      </c>
      <c r="AC66" s="25">
        <v>0</v>
      </c>
      <c r="AD66">
        <v>0</v>
      </c>
      <c r="AE66">
        <v>0</v>
      </c>
    </row>
    <row r="67" spans="1:31">
      <c r="A67" s="29" t="s">
        <v>78</v>
      </c>
      <c r="B67" s="17" t="s">
        <v>259</v>
      </c>
      <c r="C67" s="30" t="s">
        <v>260</v>
      </c>
      <c r="D67" s="1">
        <v>49</v>
      </c>
      <c r="E67" s="35">
        <v>28286</v>
      </c>
      <c r="F67" s="30" t="s">
        <v>91</v>
      </c>
      <c r="G67" s="17" t="s">
        <v>91</v>
      </c>
      <c r="H67" s="31">
        <v>21900</v>
      </c>
      <c r="I67" s="31">
        <v>69000</v>
      </c>
      <c r="J67" s="1" t="s">
        <v>50</v>
      </c>
      <c r="K67" s="28">
        <v>4</v>
      </c>
      <c r="L67" s="1" t="str" cm="1">
        <f t="array" ref="L67">_xlfn.IFS(Tabela6[[#This Row],[qtde_batalhas]]&lt;=15,"Baixo",Tabela6[[#This Row],[qtde_batalhas]]&gt;=30,"Alto",Tabela6[[#This Row],[qtde_batalhas]]&lt;30,"Médio")</f>
        <v>Baixo</v>
      </c>
      <c r="M67" s="31">
        <v>80500</v>
      </c>
      <c r="O67" t="s">
        <v>75</v>
      </c>
      <c r="P67" t="str">
        <f t="shared" si="0"/>
        <v>Null</v>
      </c>
      <c r="U67">
        <v>30500</v>
      </c>
      <c r="V67" t="str">
        <f>TEXT(U67,"000\.000\.000\-00")</f>
        <v>000.000.305-00</v>
      </c>
      <c r="X67" s="15" t="s">
        <v>101</v>
      </c>
      <c r="Z67" s="26">
        <v>21900</v>
      </c>
      <c r="AA67">
        <v>21900</v>
      </c>
      <c r="AC67" s="24">
        <v>69000</v>
      </c>
      <c r="AD67">
        <v>69000</v>
      </c>
      <c r="AE67">
        <v>69000</v>
      </c>
    </row>
    <row r="68" spans="1:31">
      <c r="A68" s="29" t="s">
        <v>74</v>
      </c>
      <c r="B68" s="17" t="s">
        <v>261</v>
      </c>
      <c r="C68" s="30" t="s">
        <v>262</v>
      </c>
      <c r="D68" s="1">
        <v>47</v>
      </c>
      <c r="E68" s="35">
        <v>28841</v>
      </c>
      <c r="F68" s="30" t="s">
        <v>91</v>
      </c>
      <c r="G68" s="17" t="s">
        <v>91</v>
      </c>
      <c r="H68" s="31">
        <v>21300</v>
      </c>
      <c r="I68" s="31">
        <v>62000</v>
      </c>
      <c r="J68" s="1" t="s">
        <v>51</v>
      </c>
      <c r="K68" s="28">
        <v>37</v>
      </c>
      <c r="L68" s="1" t="str" cm="1">
        <f t="array" ref="L68">_xlfn.IFS(Tabela6[[#This Row],[qtde_batalhas]]&lt;=15,"Baixo",Tabela6[[#This Row],[qtde_batalhas]]&gt;=30,"Alto",Tabela6[[#This Row],[qtde_batalhas]]&lt;30,"Médio")</f>
        <v>Alto</v>
      </c>
      <c r="M68" s="31">
        <v>92500</v>
      </c>
      <c r="O68" t="s">
        <v>75</v>
      </c>
      <c r="P68" t="str">
        <f t="shared" ref="P68:P131" si="1">PROPER(O68)</f>
        <v>Null</v>
      </c>
      <c r="U68">
        <v>31800</v>
      </c>
      <c r="V68" t="str">
        <f>TEXT(U68,"000\.000\.000\-00")</f>
        <v>000.000.318-00</v>
      </c>
      <c r="X68" s="15" t="s">
        <v>263</v>
      </c>
      <c r="Y68" t="e" cm="1" vm="1">
        <f t="array" aca="1" ref="Y68" ca="1">_xlfn.TEXTSPLIT(X68," | ")</f>
        <v>#VALUE!</v>
      </c>
      <c r="Z68" s="26" t="s">
        <v>264</v>
      </c>
      <c r="AA68">
        <v>21300</v>
      </c>
      <c r="AB68" t="s">
        <v>164</v>
      </c>
      <c r="AC68" s="25">
        <v>62000</v>
      </c>
      <c r="AD68">
        <v>62000</v>
      </c>
      <c r="AE68">
        <v>62000</v>
      </c>
    </row>
    <row r="69" spans="1:31">
      <c r="A69" s="29" t="s">
        <v>74</v>
      </c>
      <c r="B69" s="17" t="s">
        <v>265</v>
      </c>
      <c r="C69" s="30" t="s">
        <v>266</v>
      </c>
      <c r="D69" s="1">
        <v>25</v>
      </c>
      <c r="E69" s="35">
        <v>37091</v>
      </c>
      <c r="F69" s="30" t="s">
        <v>91</v>
      </c>
      <c r="G69" s="17" t="s">
        <v>91</v>
      </c>
      <c r="H69" s="31">
        <v>28800</v>
      </c>
      <c r="I69" s="31" t="s">
        <v>75</v>
      </c>
      <c r="J69" s="1" t="s">
        <v>50</v>
      </c>
      <c r="K69" s="28">
        <v>12</v>
      </c>
      <c r="L69" s="1" t="str" cm="1">
        <f t="array" ref="L69">_xlfn.IFS(Tabela6[[#This Row],[qtde_batalhas]]&lt;=15,"Baixo",Tabela6[[#This Row],[qtde_batalhas]]&gt;=30,"Alto",Tabela6[[#This Row],[qtde_batalhas]]&lt;30,"Médio")</f>
        <v>Baixo</v>
      </c>
      <c r="M69" s="31">
        <v>46500</v>
      </c>
      <c r="O69" t="s">
        <v>75</v>
      </c>
      <c r="P69" t="str">
        <f t="shared" si="1"/>
        <v>Null</v>
      </c>
      <c r="U69">
        <v>31900</v>
      </c>
      <c r="V69" t="str">
        <f>TEXT(U69,"000\.000\.000\-00")</f>
        <v>000.000.319-00</v>
      </c>
      <c r="X69" s="15" t="s">
        <v>115</v>
      </c>
      <c r="Z69" s="26">
        <v>28800</v>
      </c>
      <c r="AA69">
        <v>28800</v>
      </c>
      <c r="AC69" s="24"/>
      <c r="AD69" t="s">
        <v>75</v>
      </c>
      <c r="AE69" t="s">
        <v>75</v>
      </c>
    </row>
    <row r="70" spans="1:31">
      <c r="A70" s="29" t="s">
        <v>74</v>
      </c>
      <c r="B70" s="17" t="s">
        <v>267</v>
      </c>
      <c r="C70" s="30" t="s">
        <v>268</v>
      </c>
      <c r="D70" s="1">
        <v>52</v>
      </c>
      <c r="E70" s="35">
        <v>26921</v>
      </c>
      <c r="F70" s="30" t="s">
        <v>91</v>
      </c>
      <c r="G70" s="17" t="s">
        <v>91</v>
      </c>
      <c r="H70" s="31">
        <v>7300</v>
      </c>
      <c r="I70" s="31" t="s">
        <v>75</v>
      </c>
      <c r="J70" s="1" t="s">
        <v>50</v>
      </c>
      <c r="K70" s="28">
        <v>40</v>
      </c>
      <c r="L70" s="1" t="str" cm="1">
        <f t="array" ref="L70">_xlfn.IFS(Tabela6[[#This Row],[qtde_batalhas]]&lt;=15,"Baixo",Tabela6[[#This Row],[qtde_batalhas]]&gt;=30,"Alto",Tabela6[[#This Row],[qtde_batalhas]]&lt;30,"Médio")</f>
        <v>Alto</v>
      </c>
      <c r="M70" s="31">
        <v>34500</v>
      </c>
      <c r="O70" t="s">
        <v>75</v>
      </c>
      <c r="P70" t="str">
        <f t="shared" si="1"/>
        <v>Null</v>
      </c>
      <c r="U70">
        <v>32000</v>
      </c>
      <c r="V70" t="str">
        <f>TEXT(U70,"000\.000\.000\-00")</f>
        <v>000.000.320-00</v>
      </c>
      <c r="X70" s="15" t="s">
        <v>101</v>
      </c>
      <c r="Z70" s="26">
        <v>7300</v>
      </c>
      <c r="AA70">
        <v>7300</v>
      </c>
      <c r="AC70" s="25" t="s">
        <v>269</v>
      </c>
      <c r="AD70" t="s">
        <v>75</v>
      </c>
      <c r="AE70" t="s">
        <v>75</v>
      </c>
    </row>
    <row r="71" spans="1:31">
      <c r="A71" s="29" t="s">
        <v>74</v>
      </c>
      <c r="B71" s="17" t="s">
        <v>270</v>
      </c>
      <c r="C71" s="30" t="s">
        <v>271</v>
      </c>
      <c r="D71" s="1">
        <v>62</v>
      </c>
      <c r="E71" s="35" t="s">
        <v>75</v>
      </c>
      <c r="F71" s="30" t="s">
        <v>91</v>
      </c>
      <c r="G71" s="17" t="s">
        <v>91</v>
      </c>
      <c r="H71" s="31">
        <v>1900</v>
      </c>
      <c r="I71" s="31">
        <v>3500</v>
      </c>
      <c r="J71" s="1" t="s">
        <v>50</v>
      </c>
      <c r="K71" s="28">
        <v>19</v>
      </c>
      <c r="L71" s="1" t="str" cm="1">
        <f t="array" ref="L71">_xlfn.IFS(Tabela6[[#This Row],[qtde_batalhas]]&lt;=15,"Baixo",Tabela6[[#This Row],[qtde_batalhas]]&gt;=30,"Alto",Tabela6[[#This Row],[qtde_batalhas]]&lt;30,"Médio")</f>
        <v>Médio</v>
      </c>
      <c r="M71" s="31">
        <v>62000</v>
      </c>
      <c r="O71" t="s">
        <v>75</v>
      </c>
      <c r="P71" t="str">
        <f t="shared" si="1"/>
        <v>Null</v>
      </c>
      <c r="U71">
        <v>32500</v>
      </c>
      <c r="V71" t="str">
        <f>TEXT(U71,"000\.000\.000\-00")</f>
        <v>000.000.325-00</v>
      </c>
      <c r="X71" s="15" t="s">
        <v>226</v>
      </c>
      <c r="Z71" s="26">
        <v>1900</v>
      </c>
      <c r="AA71">
        <v>1900</v>
      </c>
      <c r="AC71" s="24">
        <v>3500</v>
      </c>
      <c r="AD71">
        <v>3500</v>
      </c>
      <c r="AE71">
        <v>3500</v>
      </c>
    </row>
    <row r="72" spans="1:31">
      <c r="A72" s="29" t="s">
        <v>74</v>
      </c>
      <c r="B72" s="17" t="s">
        <v>272</v>
      </c>
      <c r="C72" s="30" t="s">
        <v>273</v>
      </c>
      <c r="D72" s="1">
        <v>25</v>
      </c>
      <c r="E72" s="35">
        <v>37026</v>
      </c>
      <c r="F72" s="30" t="s">
        <v>91</v>
      </c>
      <c r="G72" s="17" t="s">
        <v>91</v>
      </c>
      <c r="H72" s="31">
        <v>28200</v>
      </c>
      <c r="I72" s="31">
        <v>0</v>
      </c>
      <c r="J72" s="1" t="s">
        <v>50</v>
      </c>
      <c r="K72" s="28">
        <v>29</v>
      </c>
      <c r="L72" s="1" t="str" cm="1">
        <f t="array" ref="L72">_xlfn.IFS(Tabela6[[#This Row],[qtde_batalhas]]&lt;=15,"Baixo",Tabela6[[#This Row],[qtde_batalhas]]&gt;=30,"Alto",Tabela6[[#This Row],[qtde_batalhas]]&lt;30,"Médio")</f>
        <v>Médio</v>
      </c>
      <c r="M72" s="31">
        <v>92500</v>
      </c>
      <c r="O72" t="s">
        <v>75</v>
      </c>
      <c r="P72" t="str">
        <f t="shared" si="1"/>
        <v>Null</v>
      </c>
      <c r="U72">
        <v>33100</v>
      </c>
      <c r="V72" t="str">
        <f>TEXT(U72,"000\.000\.000\-00")</f>
        <v>000.000.331-00</v>
      </c>
      <c r="X72" s="15" t="s">
        <v>274</v>
      </c>
      <c r="Z72" s="26">
        <v>28200</v>
      </c>
      <c r="AA72">
        <v>28200</v>
      </c>
      <c r="AC72" s="25">
        <v>0</v>
      </c>
      <c r="AD72">
        <v>0</v>
      </c>
      <c r="AE72">
        <v>0</v>
      </c>
    </row>
    <row r="73" spans="1:31">
      <c r="A73" s="29" t="s">
        <v>78</v>
      </c>
      <c r="B73" s="17" t="s">
        <v>275</v>
      </c>
      <c r="C73" s="30" t="s">
        <v>276</v>
      </c>
      <c r="D73" s="1">
        <v>63</v>
      </c>
      <c r="E73" s="35">
        <v>23119</v>
      </c>
      <c r="F73" s="30" t="s">
        <v>91</v>
      </c>
      <c r="G73" s="17" t="s">
        <v>91</v>
      </c>
      <c r="H73" s="31">
        <v>9300</v>
      </c>
      <c r="I73" s="31">
        <v>48500</v>
      </c>
      <c r="J73" s="1" t="s">
        <v>50</v>
      </c>
      <c r="K73" s="28">
        <v>28</v>
      </c>
      <c r="L73" s="1" t="str" cm="1">
        <f t="array" ref="L73">_xlfn.IFS(Tabela6[[#This Row],[qtde_batalhas]]&lt;=15,"Baixo",Tabela6[[#This Row],[qtde_batalhas]]&gt;=30,"Alto",Tabela6[[#This Row],[qtde_batalhas]]&lt;30,"Médio")</f>
        <v>Médio</v>
      </c>
      <c r="M73" s="31">
        <v>20000</v>
      </c>
      <c r="O73" t="s">
        <v>75</v>
      </c>
      <c r="P73" t="str">
        <f t="shared" si="1"/>
        <v>Null</v>
      </c>
      <c r="U73">
        <v>33700</v>
      </c>
      <c r="V73" t="str">
        <f>TEXT(U73,"000\.000\.000\-00")</f>
        <v>000.000.337-00</v>
      </c>
      <c r="X73" s="15" t="s">
        <v>277</v>
      </c>
      <c r="Z73" s="26">
        <v>9300</v>
      </c>
      <c r="AA73">
        <v>9300</v>
      </c>
      <c r="AC73" s="24">
        <v>48500</v>
      </c>
      <c r="AD73">
        <v>48500</v>
      </c>
      <c r="AE73">
        <v>48500</v>
      </c>
    </row>
    <row r="74" spans="1:31">
      <c r="A74" s="29" t="s">
        <v>78</v>
      </c>
      <c r="B74" s="17" t="s">
        <v>278</v>
      </c>
      <c r="C74" s="30" t="s">
        <v>279</v>
      </c>
      <c r="D74" s="1">
        <v>60</v>
      </c>
      <c r="E74" s="35">
        <v>24091</v>
      </c>
      <c r="F74" s="30" t="s">
        <v>91</v>
      </c>
      <c r="G74" s="17" t="s">
        <v>91</v>
      </c>
      <c r="H74" s="31">
        <v>10100</v>
      </c>
      <c r="I74" s="31">
        <v>55000</v>
      </c>
      <c r="J74" s="1" t="s">
        <v>50</v>
      </c>
      <c r="K74" s="28">
        <v>26</v>
      </c>
      <c r="L74" s="1" t="str" cm="1">
        <f t="array" ref="L74">_xlfn.IFS(Tabela6[[#This Row],[qtde_batalhas]]&lt;=15,"Baixo",Tabela6[[#This Row],[qtde_batalhas]]&gt;=30,"Alto",Tabela6[[#This Row],[qtde_batalhas]]&lt;30,"Médio")</f>
        <v>Médio</v>
      </c>
      <c r="M74" s="31">
        <v>54000</v>
      </c>
      <c r="O74" t="s">
        <v>75</v>
      </c>
      <c r="P74" t="str">
        <f t="shared" si="1"/>
        <v>Null</v>
      </c>
      <c r="U74">
        <v>34400</v>
      </c>
      <c r="V74" t="str">
        <f>TEXT(U74,"000\.000\.000\-00")</f>
        <v>000.000.344-00</v>
      </c>
      <c r="X74" s="15" t="s">
        <v>280</v>
      </c>
      <c r="Z74" s="26">
        <v>10100</v>
      </c>
      <c r="AA74">
        <v>10100</v>
      </c>
      <c r="AC74" s="25">
        <v>55000</v>
      </c>
      <c r="AD74">
        <v>55000</v>
      </c>
      <c r="AE74">
        <v>55000</v>
      </c>
    </row>
    <row r="75" spans="1:31">
      <c r="A75" s="29" t="s">
        <v>74</v>
      </c>
      <c r="B75" s="17" t="s">
        <v>281</v>
      </c>
      <c r="C75" s="30" t="s">
        <v>282</v>
      </c>
      <c r="D75" s="1">
        <v>33</v>
      </c>
      <c r="E75" s="35">
        <v>33881</v>
      </c>
      <c r="F75" s="30" t="s">
        <v>91</v>
      </c>
      <c r="G75" s="17" t="s">
        <v>91</v>
      </c>
      <c r="H75" s="31">
        <v>29700</v>
      </c>
      <c r="I75" s="31">
        <v>22000</v>
      </c>
      <c r="J75" s="1" t="s">
        <v>50</v>
      </c>
      <c r="K75" s="28">
        <v>38</v>
      </c>
      <c r="L75" s="1" t="str" cm="1">
        <f t="array" ref="L75">_xlfn.IFS(Tabela6[[#This Row],[qtde_batalhas]]&lt;=15,"Baixo",Tabela6[[#This Row],[qtde_batalhas]]&gt;=30,"Alto",Tabela6[[#This Row],[qtde_batalhas]]&lt;30,"Médio")</f>
        <v>Alto</v>
      </c>
      <c r="M75" s="31">
        <v>81000</v>
      </c>
      <c r="O75" t="s">
        <v>75</v>
      </c>
      <c r="P75" t="str">
        <f t="shared" si="1"/>
        <v>Null</v>
      </c>
      <c r="U75">
        <v>34800</v>
      </c>
      <c r="V75" t="str">
        <f>TEXT(U75,"000\.000\.000\-00")</f>
        <v>000.000.348-00</v>
      </c>
      <c r="X75" s="15" t="s">
        <v>219</v>
      </c>
      <c r="Z75" s="26">
        <v>29700</v>
      </c>
      <c r="AA75">
        <v>29700</v>
      </c>
      <c r="AC75" s="24">
        <v>22000</v>
      </c>
      <c r="AD75">
        <v>22000</v>
      </c>
      <c r="AE75">
        <v>22000</v>
      </c>
    </row>
    <row r="76" spans="1:31">
      <c r="A76" s="29" t="s">
        <v>78</v>
      </c>
      <c r="B76" s="17" t="s">
        <v>283</v>
      </c>
      <c r="C76" s="30" t="s">
        <v>284</v>
      </c>
      <c r="D76" s="1" t="s">
        <v>285</v>
      </c>
      <c r="E76" s="35">
        <v>29113</v>
      </c>
      <c r="F76" s="17" t="s">
        <v>215</v>
      </c>
      <c r="G76" s="17" t="s">
        <v>164</v>
      </c>
      <c r="H76" s="31">
        <v>15000</v>
      </c>
      <c r="I76" s="31">
        <v>32500</v>
      </c>
      <c r="J76" s="1" t="s">
        <v>50</v>
      </c>
      <c r="K76" s="28">
        <v>40</v>
      </c>
      <c r="L76" s="1" t="str" cm="1">
        <f t="array" ref="L76">_xlfn.IFS(Tabela6[[#This Row],[qtde_batalhas]]&lt;=15,"Baixo",Tabela6[[#This Row],[qtde_batalhas]]&gt;=30,"Alto",Tabela6[[#This Row],[qtde_batalhas]]&lt;30,"Médio")</f>
        <v>Alto</v>
      </c>
      <c r="M76" s="31">
        <v>4500</v>
      </c>
      <c r="O76" t="s">
        <v>164</v>
      </c>
      <c r="P76" t="str">
        <f t="shared" si="1"/>
        <v>Norte</v>
      </c>
      <c r="U76">
        <v>34900</v>
      </c>
      <c r="V76" t="str">
        <f>TEXT(U76,"000\.000\.000\-00")</f>
        <v>000.000.349-00</v>
      </c>
      <c r="X76" s="15" t="s">
        <v>243</v>
      </c>
      <c r="Z76" s="26">
        <v>15000</v>
      </c>
      <c r="AA76">
        <v>15000</v>
      </c>
      <c r="AC76" s="25">
        <v>32500</v>
      </c>
      <c r="AD76">
        <v>32500</v>
      </c>
      <c r="AE76">
        <v>32500</v>
      </c>
    </row>
    <row r="77" spans="1:31">
      <c r="A77" s="29" t="s">
        <v>74</v>
      </c>
      <c r="B77" s="17" t="s">
        <v>286</v>
      </c>
      <c r="C77" s="30" t="s">
        <v>287</v>
      </c>
      <c r="D77" s="1">
        <v>32</v>
      </c>
      <c r="E77" s="35">
        <v>34508</v>
      </c>
      <c r="F77" s="30" t="s">
        <v>91</v>
      </c>
      <c r="G77" s="17" t="s">
        <v>91</v>
      </c>
      <c r="H77" s="31">
        <v>9800</v>
      </c>
      <c r="I77" s="31">
        <v>0</v>
      </c>
      <c r="J77" s="1" t="s">
        <v>50</v>
      </c>
      <c r="K77" s="28">
        <v>23</v>
      </c>
      <c r="L77" s="1" t="str" cm="1">
        <f t="array" ref="L77">_xlfn.IFS(Tabela6[[#This Row],[qtde_batalhas]]&lt;=15,"Baixo",Tabela6[[#This Row],[qtde_batalhas]]&gt;=30,"Alto",Tabela6[[#This Row],[qtde_batalhas]]&lt;30,"Médio")</f>
        <v>Médio</v>
      </c>
      <c r="M77" s="31">
        <v>68000</v>
      </c>
      <c r="O77" t="s">
        <v>75</v>
      </c>
      <c r="P77" t="str">
        <f t="shared" si="1"/>
        <v>Null</v>
      </c>
      <c r="U77">
        <v>35000</v>
      </c>
      <c r="V77" t="str">
        <f>TEXT(U77,"000\.000\.000\-00")</f>
        <v>000.000.350-00</v>
      </c>
      <c r="X77" s="15" t="s">
        <v>288</v>
      </c>
      <c r="Z77" s="26">
        <v>9800</v>
      </c>
      <c r="AA77">
        <v>9800</v>
      </c>
      <c r="AC77" s="24">
        <v>0</v>
      </c>
      <c r="AD77">
        <v>0</v>
      </c>
      <c r="AE77">
        <v>0</v>
      </c>
    </row>
    <row r="78" spans="1:31">
      <c r="A78" s="29" t="s">
        <v>74</v>
      </c>
      <c r="B78" s="17" t="s">
        <v>289</v>
      </c>
      <c r="C78" s="30" t="s">
        <v>290</v>
      </c>
      <c r="D78" s="1">
        <v>51</v>
      </c>
      <c r="E78" s="35">
        <v>27377</v>
      </c>
      <c r="F78" s="30" t="s">
        <v>91</v>
      </c>
      <c r="G78" s="17" t="s">
        <v>91</v>
      </c>
      <c r="H78" s="31">
        <v>16300</v>
      </c>
      <c r="I78" s="31" t="s">
        <v>75</v>
      </c>
      <c r="J78" s="1" t="s">
        <v>255</v>
      </c>
      <c r="K78" s="28">
        <v>8</v>
      </c>
      <c r="L78" s="1" t="str" cm="1">
        <f t="array" ref="L78">_xlfn.IFS(Tabela6[[#This Row],[qtde_batalhas]]&lt;=15,"Baixo",Tabela6[[#This Row],[qtde_batalhas]]&gt;=30,"Alto",Tabela6[[#This Row],[qtde_batalhas]]&lt;30,"Médio")</f>
        <v>Baixo</v>
      </c>
      <c r="M78" s="31">
        <v>33000</v>
      </c>
      <c r="O78" t="s">
        <v>75</v>
      </c>
      <c r="P78" t="str">
        <f t="shared" si="1"/>
        <v>Null</v>
      </c>
      <c r="U78">
        <v>35200</v>
      </c>
      <c r="V78" t="str">
        <f>TEXT(U78,"000\.000\.000\-00")</f>
        <v>000.000.352-00</v>
      </c>
      <c r="X78" s="15" t="s">
        <v>280</v>
      </c>
      <c r="Z78" s="26">
        <v>16300</v>
      </c>
      <c r="AA78">
        <v>16300</v>
      </c>
      <c r="AC78" s="25"/>
      <c r="AD78" t="s">
        <v>75</v>
      </c>
      <c r="AE78" t="s">
        <v>75</v>
      </c>
    </row>
    <row r="79" spans="1:31">
      <c r="A79" s="34" t="s">
        <v>75</v>
      </c>
      <c r="B79" s="17" t="s">
        <v>291</v>
      </c>
      <c r="C79" s="30" t="s">
        <v>292</v>
      </c>
      <c r="D79" s="1">
        <v>54</v>
      </c>
      <c r="E79" s="35">
        <v>26213</v>
      </c>
      <c r="F79" s="30" t="s">
        <v>91</v>
      </c>
      <c r="G79" s="17" t="s">
        <v>91</v>
      </c>
      <c r="H79" s="31">
        <v>29700</v>
      </c>
      <c r="I79" s="31">
        <v>34000</v>
      </c>
      <c r="J79" s="1" t="s">
        <v>50</v>
      </c>
      <c r="K79" s="28">
        <v>35</v>
      </c>
      <c r="L79" s="1" t="str" cm="1">
        <f t="array" ref="L79">_xlfn.IFS(Tabela6[[#This Row],[qtde_batalhas]]&lt;=15,"Baixo",Tabela6[[#This Row],[qtde_batalhas]]&gt;=30,"Alto",Tabela6[[#This Row],[qtde_batalhas]]&lt;30,"Médio")</f>
        <v>Alto</v>
      </c>
      <c r="M79" s="31">
        <v>35000</v>
      </c>
      <c r="O79" t="s">
        <v>75</v>
      </c>
      <c r="P79" t="str">
        <f t="shared" si="1"/>
        <v>Null</v>
      </c>
      <c r="U79">
        <v>35800</v>
      </c>
      <c r="V79" t="str">
        <f>TEXT(U79,"000\.000\.000\-00")</f>
        <v>000.000.358-00</v>
      </c>
      <c r="X79" s="15" t="s">
        <v>274</v>
      </c>
      <c r="Z79" s="26">
        <v>29700</v>
      </c>
      <c r="AA79">
        <v>29700</v>
      </c>
      <c r="AC79" s="24">
        <v>34000</v>
      </c>
      <c r="AD79">
        <v>34000</v>
      </c>
      <c r="AE79">
        <v>34000</v>
      </c>
    </row>
    <row r="80" spans="1:31">
      <c r="A80" s="29" t="s">
        <v>74</v>
      </c>
      <c r="B80" s="17" t="s">
        <v>293</v>
      </c>
      <c r="C80" s="30" t="s">
        <v>294</v>
      </c>
      <c r="D80" s="1">
        <v>48</v>
      </c>
      <c r="E80" s="35">
        <v>28681</v>
      </c>
      <c r="F80" s="17" t="s">
        <v>226</v>
      </c>
      <c r="G80" s="17" t="s">
        <v>226</v>
      </c>
      <c r="H80" s="31">
        <v>15800</v>
      </c>
      <c r="I80" s="31" t="s">
        <v>75</v>
      </c>
      <c r="J80" s="1" t="s">
        <v>50</v>
      </c>
      <c r="K80" s="28">
        <v>12</v>
      </c>
      <c r="L80" s="1" t="str" cm="1">
        <f t="array" ref="L80">_xlfn.IFS(Tabela6[[#This Row],[qtde_batalhas]]&lt;=15,"Baixo",Tabela6[[#This Row],[qtde_batalhas]]&gt;=30,"Alto",Tabela6[[#This Row],[qtde_batalhas]]&lt;30,"Médio")</f>
        <v>Baixo</v>
      </c>
      <c r="M80" s="31">
        <v>69500</v>
      </c>
      <c r="O80" t="s">
        <v>226</v>
      </c>
      <c r="P80" t="str">
        <f t="shared" si="1"/>
        <v>Dorne</v>
      </c>
      <c r="U80">
        <v>36100</v>
      </c>
      <c r="V80" t="str">
        <f>TEXT(U80,"000\.000\.000\-00")</f>
        <v>000.000.361-00</v>
      </c>
      <c r="X80" s="15" t="s">
        <v>288</v>
      </c>
      <c r="Z80" s="26">
        <v>15800</v>
      </c>
      <c r="AA80">
        <v>15800</v>
      </c>
      <c r="AC80" s="25" t="s">
        <v>83</v>
      </c>
      <c r="AD80" t="s">
        <v>75</v>
      </c>
      <c r="AE80" t="s">
        <v>75</v>
      </c>
    </row>
    <row r="81" spans="1:31">
      <c r="A81" s="29" t="s">
        <v>74</v>
      </c>
      <c r="B81" s="17" t="s">
        <v>295</v>
      </c>
      <c r="C81" s="30" t="s">
        <v>296</v>
      </c>
      <c r="D81" s="1">
        <v>37</v>
      </c>
      <c r="E81" s="35">
        <v>32543</v>
      </c>
      <c r="F81" s="30" t="s">
        <v>91</v>
      </c>
      <c r="G81" s="17" t="s">
        <v>91</v>
      </c>
      <c r="H81" s="31">
        <v>29200</v>
      </c>
      <c r="I81" s="31">
        <v>45000</v>
      </c>
      <c r="J81" s="1" t="s">
        <v>50</v>
      </c>
      <c r="K81" s="28">
        <v>26</v>
      </c>
      <c r="L81" s="1" t="str" cm="1">
        <f t="array" ref="L81">_xlfn.IFS(Tabela6[[#This Row],[qtde_batalhas]]&lt;=15,"Baixo",Tabela6[[#This Row],[qtde_batalhas]]&gt;=30,"Alto",Tabela6[[#This Row],[qtde_batalhas]]&lt;30,"Médio")</f>
        <v>Médio</v>
      </c>
      <c r="M81" s="31">
        <v>23500</v>
      </c>
      <c r="O81" t="s">
        <v>75</v>
      </c>
      <c r="P81" t="str">
        <f t="shared" si="1"/>
        <v>Null</v>
      </c>
      <c r="U81">
        <v>36900</v>
      </c>
      <c r="V81" t="str">
        <f>TEXT(U81,"000\.000\.000\-00")</f>
        <v>000.000.369-00</v>
      </c>
      <c r="X81" s="15" t="s">
        <v>256</v>
      </c>
      <c r="Z81" s="26">
        <v>29200</v>
      </c>
      <c r="AA81">
        <v>29200</v>
      </c>
      <c r="AC81" s="24">
        <v>45000</v>
      </c>
      <c r="AD81">
        <v>45000</v>
      </c>
      <c r="AE81">
        <v>45000</v>
      </c>
    </row>
    <row r="82" spans="1:31">
      <c r="A82" s="29" t="s">
        <v>74</v>
      </c>
      <c r="B82" s="17" t="s">
        <v>297</v>
      </c>
      <c r="C82" s="30" t="s">
        <v>298</v>
      </c>
      <c r="D82" s="1" t="s">
        <v>75</v>
      </c>
      <c r="E82" s="35">
        <v>36337</v>
      </c>
      <c r="F82" s="17" t="s">
        <v>280</v>
      </c>
      <c r="G82" s="17" t="s">
        <v>164</v>
      </c>
      <c r="H82" s="31">
        <v>22500</v>
      </c>
      <c r="I82" s="31">
        <v>55500</v>
      </c>
      <c r="J82" s="1" t="s">
        <v>50</v>
      </c>
      <c r="K82" s="28">
        <v>32</v>
      </c>
      <c r="L82" s="1" t="str" cm="1">
        <f t="array" ref="L82">_xlfn.IFS(Tabela6[[#This Row],[qtde_batalhas]]&lt;=15,"Baixo",Tabela6[[#This Row],[qtde_batalhas]]&gt;=30,"Alto",Tabela6[[#This Row],[qtde_batalhas]]&lt;30,"Médio")</f>
        <v>Alto</v>
      </c>
      <c r="M82" s="31">
        <v>91500</v>
      </c>
      <c r="O82" t="s">
        <v>164</v>
      </c>
      <c r="P82" t="str">
        <f t="shared" si="1"/>
        <v>Norte</v>
      </c>
      <c r="U82">
        <v>37000</v>
      </c>
      <c r="V82" t="str">
        <f>TEXT(U82,"000\.000\.000\-00")</f>
        <v>000.000.370-00</v>
      </c>
      <c r="X82" s="15" t="s">
        <v>156</v>
      </c>
      <c r="Z82" s="26">
        <v>22500</v>
      </c>
      <c r="AA82">
        <v>22500</v>
      </c>
      <c r="AC82" s="25">
        <v>55500</v>
      </c>
      <c r="AD82">
        <v>55500</v>
      </c>
      <c r="AE82">
        <v>55500</v>
      </c>
    </row>
    <row r="83" spans="1:31">
      <c r="A83" s="29" t="s">
        <v>74</v>
      </c>
      <c r="B83" s="17" t="s">
        <v>299</v>
      </c>
      <c r="C83" s="30" t="s">
        <v>300</v>
      </c>
      <c r="D83" s="1">
        <v>57</v>
      </c>
      <c r="E83" s="35" t="s">
        <v>75</v>
      </c>
      <c r="F83" s="30" t="s">
        <v>91</v>
      </c>
      <c r="G83" s="17" t="s">
        <v>91</v>
      </c>
      <c r="H83" s="31">
        <v>0</v>
      </c>
      <c r="I83" s="31" t="s">
        <v>75</v>
      </c>
      <c r="J83" s="1" t="s">
        <v>51</v>
      </c>
      <c r="K83" s="28">
        <v>28</v>
      </c>
      <c r="L83" s="1" t="str" cm="1">
        <f t="array" ref="L83">_xlfn.IFS(Tabela6[[#This Row],[qtde_batalhas]]&lt;=15,"Baixo",Tabela6[[#This Row],[qtde_batalhas]]&gt;=30,"Alto",Tabela6[[#This Row],[qtde_batalhas]]&lt;30,"Médio")</f>
        <v>Médio</v>
      </c>
      <c r="M83" s="31">
        <v>13000</v>
      </c>
      <c r="O83" t="s">
        <v>75</v>
      </c>
      <c r="P83" t="str">
        <f t="shared" si="1"/>
        <v>Null</v>
      </c>
      <c r="U83">
        <v>37700</v>
      </c>
      <c r="V83" t="str">
        <f>TEXT(U83,"000\.000\.000\-00")</f>
        <v>000.000.377-00</v>
      </c>
      <c r="X83" s="15" t="s">
        <v>246</v>
      </c>
      <c r="Z83" s="26" t="s">
        <v>160</v>
      </c>
      <c r="AA83">
        <v>0</v>
      </c>
      <c r="AC83" s="24"/>
      <c r="AD83" t="s">
        <v>75</v>
      </c>
      <c r="AE83" t="s">
        <v>75</v>
      </c>
    </row>
    <row r="84" spans="1:31">
      <c r="A84" s="29" t="s">
        <v>78</v>
      </c>
      <c r="B84" s="17" t="s">
        <v>301</v>
      </c>
      <c r="C84" s="30" t="s">
        <v>302</v>
      </c>
      <c r="D84" s="1">
        <v>74</v>
      </c>
      <c r="E84" s="35">
        <v>19047</v>
      </c>
      <c r="F84" s="17" t="s">
        <v>239</v>
      </c>
      <c r="G84" s="17" t="s">
        <v>303</v>
      </c>
      <c r="H84" s="31">
        <v>24000</v>
      </c>
      <c r="I84" s="31">
        <v>35000</v>
      </c>
      <c r="J84" s="1" t="s">
        <v>50</v>
      </c>
      <c r="K84" s="28">
        <v>6</v>
      </c>
      <c r="L84" s="1" t="str" cm="1">
        <f t="array" ref="L84">_xlfn.IFS(Tabela6[[#This Row],[qtde_batalhas]]&lt;=15,"Baixo",Tabela6[[#This Row],[qtde_batalhas]]&gt;=30,"Alto",Tabela6[[#This Row],[qtde_batalhas]]&lt;30,"Médio")</f>
        <v>Baixo</v>
      </c>
      <c r="M84" s="31">
        <v>29500</v>
      </c>
      <c r="O84" t="s">
        <v>303</v>
      </c>
      <c r="P84" t="str">
        <f t="shared" si="1"/>
        <v>Oeste</v>
      </c>
      <c r="U84" t="s">
        <v>304</v>
      </c>
      <c r="V84" t="str">
        <f>TEXT(U84,"000\.000\.000\-00")</f>
        <v>000.000.001-00</v>
      </c>
      <c r="X84" s="15" t="s">
        <v>115</v>
      </c>
      <c r="Z84" s="26">
        <v>24000</v>
      </c>
      <c r="AA84">
        <v>24000</v>
      </c>
      <c r="AC84" s="25">
        <v>35000</v>
      </c>
      <c r="AD84">
        <v>35000</v>
      </c>
      <c r="AE84">
        <v>35000</v>
      </c>
    </row>
    <row r="85" spans="1:31">
      <c r="A85" s="29" t="s">
        <v>78</v>
      </c>
      <c r="B85" s="17" t="s">
        <v>305</v>
      </c>
      <c r="C85" s="30" t="s">
        <v>306</v>
      </c>
      <c r="D85" s="1">
        <v>43</v>
      </c>
      <c r="E85" s="35">
        <v>30391</v>
      </c>
      <c r="F85" s="30" t="s">
        <v>91</v>
      </c>
      <c r="G85" s="17" t="s">
        <v>91</v>
      </c>
      <c r="H85" s="31">
        <v>7100</v>
      </c>
      <c r="I85" s="31" t="s">
        <v>75</v>
      </c>
      <c r="J85" s="1" t="s">
        <v>50</v>
      </c>
      <c r="K85" s="28">
        <v>23</v>
      </c>
      <c r="L85" s="1" t="str" cm="1">
        <f t="array" ref="L85">_xlfn.IFS(Tabela6[[#This Row],[qtde_batalhas]]&lt;=15,"Baixo",Tabela6[[#This Row],[qtde_batalhas]]&gt;=30,"Alto",Tabela6[[#This Row],[qtde_batalhas]]&lt;30,"Médio")</f>
        <v>Médio</v>
      </c>
      <c r="M85" s="31">
        <v>67000</v>
      </c>
      <c r="O85" t="s">
        <v>75</v>
      </c>
      <c r="P85" t="str">
        <f t="shared" si="1"/>
        <v>Null</v>
      </c>
      <c r="U85" t="s">
        <v>149</v>
      </c>
      <c r="V85" t="str">
        <f>TEXT(U85,"000\.000\.000\-00")</f>
        <v>000.000.003-00</v>
      </c>
      <c r="X85" s="15" t="s">
        <v>86</v>
      </c>
      <c r="Z85" s="26">
        <v>7100</v>
      </c>
      <c r="AA85">
        <v>7100</v>
      </c>
      <c r="AC85" s="24" t="s">
        <v>307</v>
      </c>
      <c r="AD85" t="s">
        <v>75</v>
      </c>
      <c r="AE85" t="s">
        <v>75</v>
      </c>
    </row>
    <row r="86" spans="1:31">
      <c r="A86" s="29" t="s">
        <v>78</v>
      </c>
      <c r="B86" s="17" t="s">
        <v>308</v>
      </c>
      <c r="C86" s="30" t="s">
        <v>309</v>
      </c>
      <c r="D86" s="1">
        <v>31</v>
      </c>
      <c r="E86" s="35">
        <v>34746</v>
      </c>
      <c r="F86" s="30" t="s">
        <v>91</v>
      </c>
      <c r="G86" s="17" t="s">
        <v>91</v>
      </c>
      <c r="H86" s="31">
        <v>18200</v>
      </c>
      <c r="I86" s="31">
        <v>78500</v>
      </c>
      <c r="J86" s="1" t="s">
        <v>50</v>
      </c>
      <c r="K86" s="28">
        <v>9</v>
      </c>
      <c r="L86" s="1" t="str" cm="1">
        <f t="array" ref="L86">_xlfn.IFS(Tabela6[[#This Row],[qtde_batalhas]]&lt;=15,"Baixo",Tabela6[[#This Row],[qtde_batalhas]]&gt;=30,"Alto",Tabela6[[#This Row],[qtde_batalhas]]&lt;30,"Médio")</f>
        <v>Baixo</v>
      </c>
      <c r="M86" s="31">
        <v>73000</v>
      </c>
      <c r="O86" t="s">
        <v>75</v>
      </c>
      <c r="P86" t="str">
        <f t="shared" si="1"/>
        <v>Null</v>
      </c>
      <c r="U86" t="s">
        <v>310</v>
      </c>
      <c r="V86" t="str">
        <f>TEXT(U86,"000\.000\.000\-00")</f>
        <v>000.000.005-00</v>
      </c>
      <c r="X86" s="15" t="s">
        <v>239</v>
      </c>
      <c r="Z86" s="26">
        <v>18200</v>
      </c>
      <c r="AA86">
        <v>18200</v>
      </c>
      <c r="AC86" s="25">
        <v>78500</v>
      </c>
      <c r="AD86">
        <v>78500</v>
      </c>
      <c r="AE86">
        <v>78500</v>
      </c>
    </row>
    <row r="87" spans="1:31">
      <c r="A87" s="29" t="s">
        <v>78</v>
      </c>
      <c r="B87" s="17" t="s">
        <v>311</v>
      </c>
      <c r="C87" s="30" t="s">
        <v>312</v>
      </c>
      <c r="D87" s="1">
        <v>55</v>
      </c>
      <c r="E87" s="35">
        <v>25848</v>
      </c>
      <c r="F87" s="30" t="s">
        <v>91</v>
      </c>
      <c r="G87" s="17" t="s">
        <v>91</v>
      </c>
      <c r="H87" s="31" t="s">
        <v>75</v>
      </c>
      <c r="I87" s="31">
        <v>5000</v>
      </c>
      <c r="J87" s="1" t="s">
        <v>50</v>
      </c>
      <c r="K87" s="28">
        <v>8</v>
      </c>
      <c r="L87" s="1" t="str" cm="1">
        <f t="array" ref="L87">_xlfn.IFS(Tabela6[[#This Row],[qtde_batalhas]]&lt;=15,"Baixo",Tabela6[[#This Row],[qtde_batalhas]]&gt;=30,"Alto",Tabela6[[#This Row],[qtde_batalhas]]&lt;30,"Médio")</f>
        <v>Baixo</v>
      </c>
      <c r="M87" s="31">
        <v>11000</v>
      </c>
      <c r="O87" t="s">
        <v>75</v>
      </c>
      <c r="P87" t="str">
        <f t="shared" si="1"/>
        <v>Null</v>
      </c>
      <c r="U87" t="s">
        <v>313</v>
      </c>
      <c r="V87" t="str">
        <f>TEXT(U87,"000\.000\.000\-00")</f>
        <v>000.000.009-00</v>
      </c>
      <c r="X87" s="15" t="s">
        <v>256</v>
      </c>
      <c r="AA87" t="s">
        <v>75</v>
      </c>
      <c r="AC87" s="24">
        <v>5000</v>
      </c>
      <c r="AD87">
        <v>5000</v>
      </c>
      <c r="AE87">
        <v>5000</v>
      </c>
    </row>
    <row r="88" spans="1:31">
      <c r="A88" s="29" t="s">
        <v>74</v>
      </c>
      <c r="B88" s="17" t="s">
        <v>314</v>
      </c>
      <c r="C88" s="30" t="s">
        <v>315</v>
      </c>
      <c r="D88" s="1">
        <v>47</v>
      </c>
      <c r="E88" s="35">
        <v>28802</v>
      </c>
      <c r="F88" s="30" t="s">
        <v>91</v>
      </c>
      <c r="G88" s="17" t="s">
        <v>91</v>
      </c>
      <c r="H88" s="31">
        <v>22700</v>
      </c>
      <c r="I88" s="31">
        <v>8500</v>
      </c>
      <c r="K88" s="28">
        <v>35</v>
      </c>
      <c r="L88" s="1" t="str" cm="1">
        <f t="array" ref="L88">_xlfn.IFS(Tabela6[[#This Row],[qtde_batalhas]]&lt;=15,"Baixo",Tabela6[[#This Row],[qtde_batalhas]]&gt;=30,"Alto",Tabela6[[#This Row],[qtde_batalhas]]&lt;30,"Médio")</f>
        <v>Alto</v>
      </c>
      <c r="M88" s="31">
        <v>23500</v>
      </c>
      <c r="O88" t="s">
        <v>75</v>
      </c>
      <c r="P88" t="str">
        <f t="shared" si="1"/>
        <v>Null</v>
      </c>
      <c r="U88" t="s">
        <v>316</v>
      </c>
      <c r="V88" t="str">
        <f>TEXT(U88,"000\.000\.000\-00")</f>
        <v>000.000.011-00</v>
      </c>
      <c r="X88" s="15" t="s">
        <v>317</v>
      </c>
      <c r="Z88" s="26">
        <v>22700</v>
      </c>
      <c r="AA88">
        <v>22700</v>
      </c>
      <c r="AC88" s="25">
        <v>8500</v>
      </c>
      <c r="AD88">
        <v>8500</v>
      </c>
      <c r="AE88">
        <v>8500</v>
      </c>
    </row>
    <row r="89" spans="1:31">
      <c r="A89" s="29" t="s">
        <v>74</v>
      </c>
      <c r="B89" s="17" t="s">
        <v>318</v>
      </c>
      <c r="C89" s="30" t="s">
        <v>319</v>
      </c>
      <c r="D89" s="1">
        <v>26</v>
      </c>
      <c r="E89" s="35">
        <v>36411</v>
      </c>
      <c r="F89" s="30" t="s">
        <v>91</v>
      </c>
      <c r="G89" s="17" t="s">
        <v>91</v>
      </c>
      <c r="H89" s="31">
        <v>9200</v>
      </c>
      <c r="I89" s="31">
        <v>68500</v>
      </c>
      <c r="J89" s="1" t="s">
        <v>50</v>
      </c>
      <c r="K89" s="28">
        <v>27</v>
      </c>
      <c r="L89" s="1" t="str" cm="1">
        <f t="array" ref="L89">_xlfn.IFS(Tabela6[[#This Row],[qtde_batalhas]]&lt;=15,"Baixo",Tabela6[[#This Row],[qtde_batalhas]]&gt;=30,"Alto",Tabela6[[#This Row],[qtde_batalhas]]&lt;30,"Médio")</f>
        <v>Médio</v>
      </c>
      <c r="M89" s="31">
        <v>7000</v>
      </c>
      <c r="O89" t="s">
        <v>75</v>
      </c>
      <c r="P89" t="str">
        <f t="shared" si="1"/>
        <v>Null</v>
      </c>
      <c r="U89" t="s">
        <v>320</v>
      </c>
      <c r="V89" t="str">
        <f>TEXT(U89,"000\.000\.000\-00")</f>
        <v>000.000.012-00</v>
      </c>
      <c r="X89" s="15" t="s">
        <v>321</v>
      </c>
      <c r="Z89" s="26" t="s">
        <v>322</v>
      </c>
      <c r="AA89">
        <v>9200</v>
      </c>
      <c r="AC89" s="24">
        <v>68500</v>
      </c>
      <c r="AD89">
        <v>68500</v>
      </c>
      <c r="AE89">
        <v>68500</v>
      </c>
    </row>
    <row r="90" spans="1:31">
      <c r="A90" s="29" t="s">
        <v>74</v>
      </c>
      <c r="B90" s="17" t="s">
        <v>323</v>
      </c>
      <c r="C90" s="30" t="s">
        <v>324</v>
      </c>
      <c r="D90" s="1">
        <v>73</v>
      </c>
      <c r="E90" s="35">
        <v>19314</v>
      </c>
      <c r="F90" s="17" t="s">
        <v>135</v>
      </c>
      <c r="G90" s="17" t="s">
        <v>136</v>
      </c>
      <c r="H90" s="31">
        <v>6100</v>
      </c>
      <c r="I90" s="31" t="s">
        <v>75</v>
      </c>
      <c r="J90" s="1" t="s">
        <v>50</v>
      </c>
      <c r="K90" s="28">
        <v>9</v>
      </c>
      <c r="L90" s="1" t="str" cm="1">
        <f t="array" ref="L90">_xlfn.IFS(Tabela6[[#This Row],[qtde_batalhas]]&lt;=15,"Baixo",Tabela6[[#This Row],[qtde_batalhas]]&gt;=30,"Alto",Tabela6[[#This Row],[qtde_batalhas]]&lt;30,"Médio")</f>
        <v>Baixo</v>
      </c>
      <c r="M90" s="31">
        <v>24500</v>
      </c>
      <c r="O90" t="s">
        <v>136</v>
      </c>
      <c r="P90" t="str">
        <f t="shared" si="1"/>
        <v>Terras Da Coroa</v>
      </c>
      <c r="U90" t="s">
        <v>325</v>
      </c>
      <c r="V90" t="str">
        <f>TEXT(U90,"000\.000\.000\-00")</f>
        <v>000.000.013-00</v>
      </c>
      <c r="X90" s="15" t="s">
        <v>280</v>
      </c>
      <c r="Z90" s="26">
        <v>6100</v>
      </c>
      <c r="AA90">
        <v>6100</v>
      </c>
      <c r="AC90" s="25" t="s">
        <v>326</v>
      </c>
      <c r="AD90" t="s">
        <v>75</v>
      </c>
      <c r="AE90" t="s">
        <v>75</v>
      </c>
    </row>
    <row r="91" spans="1:31">
      <c r="A91" s="29" t="s">
        <v>78</v>
      </c>
      <c r="B91" s="17" t="s">
        <v>327</v>
      </c>
      <c r="C91" s="30" t="s">
        <v>328</v>
      </c>
      <c r="D91" s="1">
        <v>55</v>
      </c>
      <c r="E91" s="35">
        <v>26142</v>
      </c>
      <c r="F91" s="30" t="s">
        <v>91</v>
      </c>
      <c r="G91" s="17" t="s">
        <v>91</v>
      </c>
      <c r="H91" s="31">
        <v>29700</v>
      </c>
      <c r="I91" s="31" t="s">
        <v>75</v>
      </c>
      <c r="J91" s="1" t="s">
        <v>51</v>
      </c>
      <c r="K91" s="28">
        <v>14</v>
      </c>
      <c r="L91" s="1" t="str" cm="1">
        <f t="array" ref="L91">_xlfn.IFS(Tabela6[[#This Row],[qtde_batalhas]]&lt;=15,"Baixo",Tabela6[[#This Row],[qtde_batalhas]]&gt;=30,"Alto",Tabela6[[#This Row],[qtde_batalhas]]&lt;30,"Médio")</f>
        <v>Baixo</v>
      </c>
      <c r="M91" s="31">
        <v>27000</v>
      </c>
      <c r="O91" t="s">
        <v>75</v>
      </c>
      <c r="P91" t="str">
        <f t="shared" si="1"/>
        <v>Null</v>
      </c>
      <c r="U91" t="s">
        <v>284</v>
      </c>
      <c r="V91" t="str">
        <f>TEXT(U91,"000\.000\.000\-00")</f>
        <v>000.000.014-00</v>
      </c>
      <c r="X91" s="15" t="s">
        <v>280</v>
      </c>
      <c r="Z91" s="26" t="s">
        <v>329</v>
      </c>
      <c r="AA91">
        <v>29700</v>
      </c>
      <c r="AC91" s="24" t="s">
        <v>330</v>
      </c>
      <c r="AD91" t="s">
        <v>75</v>
      </c>
      <c r="AE91" t="s">
        <v>75</v>
      </c>
    </row>
    <row r="92" spans="1:31">
      <c r="A92" s="29" t="s">
        <v>78</v>
      </c>
      <c r="B92" s="17" t="s">
        <v>331</v>
      </c>
      <c r="C92" s="30" t="s">
        <v>332</v>
      </c>
      <c r="D92" s="1">
        <v>52</v>
      </c>
      <c r="E92" s="35">
        <v>27186</v>
      </c>
      <c r="F92" s="30" t="s">
        <v>91</v>
      </c>
      <c r="G92" s="17" t="s">
        <v>91</v>
      </c>
      <c r="H92" s="31">
        <v>6400</v>
      </c>
      <c r="I92" s="31">
        <v>37000</v>
      </c>
      <c r="J92" s="1" t="s">
        <v>50</v>
      </c>
      <c r="K92" s="28">
        <v>1</v>
      </c>
      <c r="L92" s="1" t="str" cm="1">
        <f t="array" ref="L92">_xlfn.IFS(Tabela6[[#This Row],[qtde_batalhas]]&lt;=15,"Baixo",Tabela6[[#This Row],[qtde_batalhas]]&gt;=30,"Alto",Tabela6[[#This Row],[qtde_batalhas]]&lt;30,"Médio")</f>
        <v>Baixo</v>
      </c>
      <c r="M92" s="31">
        <v>87000</v>
      </c>
      <c r="O92" t="s">
        <v>75</v>
      </c>
      <c r="P92" t="str">
        <f t="shared" si="1"/>
        <v>Null</v>
      </c>
      <c r="U92" t="s">
        <v>328</v>
      </c>
      <c r="V92" t="str">
        <f>TEXT(U92,"000\.000\.000\-00")</f>
        <v>000.000.015-00</v>
      </c>
      <c r="X92" s="15" t="s">
        <v>156</v>
      </c>
      <c r="Z92" s="26">
        <v>6400</v>
      </c>
      <c r="AA92">
        <v>6400</v>
      </c>
      <c r="AC92" s="25">
        <v>37000</v>
      </c>
      <c r="AD92">
        <v>37000</v>
      </c>
      <c r="AE92">
        <v>37000</v>
      </c>
    </row>
    <row r="93" spans="1:31">
      <c r="A93" s="29" t="s">
        <v>78</v>
      </c>
      <c r="B93" s="17" t="s">
        <v>333</v>
      </c>
      <c r="C93" s="30" t="s">
        <v>334</v>
      </c>
      <c r="D93" s="1">
        <v>70</v>
      </c>
      <c r="E93" s="35">
        <v>20502</v>
      </c>
      <c r="F93" s="17" t="s">
        <v>239</v>
      </c>
      <c r="G93" s="17" t="s">
        <v>303</v>
      </c>
      <c r="H93" s="31">
        <v>2500</v>
      </c>
      <c r="I93" s="31">
        <v>0</v>
      </c>
      <c r="J93" s="1" t="s">
        <v>50</v>
      </c>
      <c r="K93" s="28">
        <v>38</v>
      </c>
      <c r="L93" s="1" t="str" cm="1">
        <f t="array" ref="L93">_xlfn.IFS(Tabela6[[#This Row],[qtde_batalhas]]&lt;=15,"Baixo",Tabela6[[#This Row],[qtde_batalhas]]&gt;=30,"Alto",Tabela6[[#This Row],[qtde_batalhas]]&lt;30,"Médio")</f>
        <v>Alto</v>
      </c>
      <c r="M93" s="31">
        <v>44500</v>
      </c>
      <c r="O93" t="s">
        <v>303</v>
      </c>
      <c r="P93" t="str">
        <f t="shared" si="1"/>
        <v>Oeste</v>
      </c>
      <c r="U93" t="s">
        <v>196</v>
      </c>
      <c r="V93" t="str">
        <f>TEXT(U93,"000\.000\.000\-00")</f>
        <v>000.000.016-00</v>
      </c>
      <c r="X93" s="15" t="s">
        <v>317</v>
      </c>
      <c r="Z93" s="26">
        <v>2500</v>
      </c>
      <c r="AA93">
        <v>2500</v>
      </c>
      <c r="AC93" s="24">
        <v>0</v>
      </c>
      <c r="AD93">
        <v>0</v>
      </c>
      <c r="AE93">
        <v>0</v>
      </c>
    </row>
    <row r="94" spans="1:31">
      <c r="A94" s="29" t="s">
        <v>74</v>
      </c>
      <c r="B94" s="17" t="s">
        <v>335</v>
      </c>
      <c r="C94" s="30" t="s">
        <v>336</v>
      </c>
      <c r="D94" s="1">
        <v>32</v>
      </c>
      <c r="E94" s="35">
        <v>34347</v>
      </c>
      <c r="F94" s="30" t="s">
        <v>91</v>
      </c>
      <c r="G94" s="17" t="s">
        <v>91</v>
      </c>
      <c r="H94" s="31">
        <v>15600</v>
      </c>
      <c r="I94" s="31">
        <v>0</v>
      </c>
      <c r="J94" s="1" t="s">
        <v>51</v>
      </c>
      <c r="K94" s="28">
        <v>34</v>
      </c>
      <c r="L94" s="1" t="str" cm="1">
        <f t="array" ref="L94">_xlfn.IFS(Tabela6[[#This Row],[qtde_batalhas]]&lt;=15,"Baixo",Tabela6[[#This Row],[qtde_batalhas]]&gt;=30,"Alto",Tabela6[[#This Row],[qtde_batalhas]]&lt;30,"Médio")</f>
        <v>Alto</v>
      </c>
      <c r="M94" s="31">
        <v>16000</v>
      </c>
      <c r="O94" t="s">
        <v>75</v>
      </c>
      <c r="P94" t="str">
        <f t="shared" si="1"/>
        <v>Null</v>
      </c>
      <c r="U94" t="s">
        <v>337</v>
      </c>
      <c r="V94" t="str">
        <f>TEXT(U94,"000\.000\.000\-00")</f>
        <v>000.000.017-00</v>
      </c>
      <c r="X94" s="15" t="s">
        <v>321</v>
      </c>
      <c r="Z94" s="26">
        <v>15600</v>
      </c>
      <c r="AA94">
        <v>15600</v>
      </c>
      <c r="AC94" s="25">
        <v>0</v>
      </c>
      <c r="AD94">
        <v>0</v>
      </c>
      <c r="AE94">
        <v>0</v>
      </c>
    </row>
    <row r="95" spans="1:31">
      <c r="A95" s="29" t="s">
        <v>78</v>
      </c>
      <c r="B95" s="17" t="s">
        <v>338</v>
      </c>
      <c r="C95" s="30" t="s">
        <v>339</v>
      </c>
      <c r="D95" s="1">
        <v>59</v>
      </c>
      <c r="E95" s="35">
        <v>24512</v>
      </c>
      <c r="F95" s="30" t="s">
        <v>91</v>
      </c>
      <c r="G95" s="17" t="s">
        <v>91</v>
      </c>
      <c r="H95" s="31">
        <v>6300</v>
      </c>
      <c r="I95" s="31">
        <v>15000</v>
      </c>
      <c r="J95" s="1" t="s">
        <v>50</v>
      </c>
      <c r="K95" s="28">
        <v>42</v>
      </c>
      <c r="L95" s="1" t="str" cm="1">
        <f t="array" ref="L95">_xlfn.IFS(Tabela6[[#This Row],[qtde_batalhas]]&lt;=15,"Baixo",Tabela6[[#This Row],[qtde_batalhas]]&gt;=30,"Alto",Tabela6[[#This Row],[qtde_batalhas]]&lt;30,"Médio")</f>
        <v>Alto</v>
      </c>
      <c r="M95" s="31">
        <v>8500</v>
      </c>
      <c r="O95" t="s">
        <v>75</v>
      </c>
      <c r="P95" t="str">
        <f t="shared" si="1"/>
        <v>Null</v>
      </c>
      <c r="U95" t="s">
        <v>340</v>
      </c>
      <c r="V95" t="str">
        <f>TEXT(U95,"000\.000\.000\-00")</f>
        <v>000.000.019-00</v>
      </c>
      <c r="X95" s="15" t="s">
        <v>321</v>
      </c>
      <c r="Z95" s="26">
        <v>6300</v>
      </c>
      <c r="AA95">
        <v>6300</v>
      </c>
      <c r="AC95" s="24">
        <v>15000</v>
      </c>
      <c r="AD95">
        <v>15000</v>
      </c>
      <c r="AE95">
        <v>15000</v>
      </c>
    </row>
    <row r="96" spans="1:31">
      <c r="A96" s="29" t="s">
        <v>74</v>
      </c>
      <c r="B96" s="17" t="s">
        <v>341</v>
      </c>
      <c r="C96" s="30" t="s">
        <v>340</v>
      </c>
      <c r="D96" s="1" t="s">
        <v>342</v>
      </c>
      <c r="E96" s="35">
        <v>27378</v>
      </c>
      <c r="F96" s="17" t="s">
        <v>226</v>
      </c>
      <c r="G96" s="17" t="s">
        <v>226</v>
      </c>
      <c r="H96" s="31">
        <v>11600</v>
      </c>
      <c r="I96" s="31">
        <v>41000</v>
      </c>
      <c r="J96" s="1" t="s">
        <v>50</v>
      </c>
      <c r="K96" s="28">
        <v>7</v>
      </c>
      <c r="L96" s="1" t="str" cm="1">
        <f t="array" ref="L96">_xlfn.IFS(Tabela6[[#This Row],[qtde_batalhas]]&lt;=15,"Baixo",Tabela6[[#This Row],[qtde_batalhas]]&gt;=30,"Alto",Tabela6[[#This Row],[qtde_batalhas]]&lt;30,"Médio")</f>
        <v>Baixo</v>
      </c>
      <c r="M96" s="31">
        <v>67000</v>
      </c>
      <c r="O96" t="s">
        <v>226</v>
      </c>
      <c r="P96" t="str">
        <f t="shared" si="1"/>
        <v>Dorne</v>
      </c>
      <c r="U96" t="s">
        <v>343</v>
      </c>
      <c r="V96" t="str">
        <f>TEXT(U96,"000\.000\.000\-00")</f>
        <v>000.000.023-00</v>
      </c>
      <c r="X96" s="15" t="s">
        <v>101</v>
      </c>
      <c r="Z96" s="26">
        <v>11600</v>
      </c>
      <c r="AA96">
        <v>11600</v>
      </c>
      <c r="AC96" s="25">
        <v>41000</v>
      </c>
      <c r="AD96">
        <v>41000</v>
      </c>
      <c r="AE96">
        <v>41000</v>
      </c>
    </row>
    <row r="97" spans="1:31">
      <c r="A97" s="29" t="s">
        <v>78</v>
      </c>
      <c r="B97" s="17" t="s">
        <v>344</v>
      </c>
      <c r="C97" s="30" t="s">
        <v>345</v>
      </c>
      <c r="D97" s="1">
        <v>38</v>
      </c>
      <c r="E97" s="35">
        <v>32102</v>
      </c>
      <c r="F97" s="30" t="s">
        <v>91</v>
      </c>
      <c r="G97" s="17" t="s">
        <v>91</v>
      </c>
      <c r="H97" s="31">
        <v>13500</v>
      </c>
      <c r="I97" s="31">
        <v>24000</v>
      </c>
      <c r="J97" s="1" t="s">
        <v>50</v>
      </c>
      <c r="K97" s="28">
        <v>2</v>
      </c>
      <c r="L97" s="1" t="str" cm="1">
        <f t="array" ref="L97">_xlfn.IFS(Tabela6[[#This Row],[qtde_batalhas]]&lt;=15,"Baixo",Tabela6[[#This Row],[qtde_batalhas]]&gt;=30,"Alto",Tabela6[[#This Row],[qtde_batalhas]]&lt;30,"Médio")</f>
        <v>Baixo</v>
      </c>
      <c r="M97" s="31">
        <v>17500</v>
      </c>
      <c r="O97" t="s">
        <v>75</v>
      </c>
      <c r="P97" t="str">
        <f t="shared" si="1"/>
        <v>Null</v>
      </c>
      <c r="U97" t="s">
        <v>346</v>
      </c>
      <c r="V97" t="str">
        <f>TEXT(U97,"000\.000\.000\-00")</f>
        <v>000.000.024-00</v>
      </c>
      <c r="X97" s="15" t="s">
        <v>156</v>
      </c>
      <c r="Z97" s="26">
        <v>13500</v>
      </c>
      <c r="AA97">
        <v>13500</v>
      </c>
      <c r="AC97" s="24">
        <v>24000</v>
      </c>
      <c r="AD97">
        <v>24000</v>
      </c>
      <c r="AE97">
        <v>24000</v>
      </c>
    </row>
    <row r="98" spans="1:31">
      <c r="A98" s="29" t="s">
        <v>74</v>
      </c>
      <c r="B98" s="17" t="s">
        <v>347</v>
      </c>
      <c r="C98" s="30" t="s">
        <v>348</v>
      </c>
      <c r="D98" s="1">
        <v>48</v>
      </c>
      <c r="E98" s="35">
        <v>28673</v>
      </c>
      <c r="F98" s="30" t="s">
        <v>91</v>
      </c>
      <c r="G98" s="17" t="s">
        <v>91</v>
      </c>
      <c r="H98" s="31">
        <v>2300</v>
      </c>
      <c r="I98" s="31">
        <v>26500</v>
      </c>
      <c r="J98" s="1" t="s">
        <v>349</v>
      </c>
      <c r="K98" s="28">
        <v>44</v>
      </c>
      <c r="L98" s="1" t="str" cm="1">
        <f t="array" ref="L98">_xlfn.IFS(Tabela6[[#This Row],[qtde_batalhas]]&lt;=15,"Baixo",Tabela6[[#This Row],[qtde_batalhas]]&gt;=30,"Alto",Tabela6[[#This Row],[qtde_batalhas]]&lt;30,"Médio")</f>
        <v>Alto</v>
      </c>
      <c r="M98" s="31">
        <v>81000</v>
      </c>
      <c r="O98" t="s">
        <v>75</v>
      </c>
      <c r="P98" t="str">
        <f t="shared" si="1"/>
        <v>Null</v>
      </c>
      <c r="U98" t="s">
        <v>143</v>
      </c>
      <c r="V98" t="str">
        <f>TEXT(U98,"000\.000\.000\-00")</f>
        <v>000.000.025-00</v>
      </c>
      <c r="X98" s="15" t="s">
        <v>243</v>
      </c>
      <c r="Z98" s="26">
        <v>2300</v>
      </c>
      <c r="AA98">
        <v>2300</v>
      </c>
      <c r="AC98" s="25">
        <v>26500</v>
      </c>
      <c r="AD98">
        <v>26500</v>
      </c>
      <c r="AE98">
        <v>26500</v>
      </c>
    </row>
    <row r="99" spans="1:31">
      <c r="A99" s="29" t="s">
        <v>74</v>
      </c>
      <c r="B99" s="17" t="s">
        <v>350</v>
      </c>
      <c r="C99" s="30" t="s">
        <v>351</v>
      </c>
      <c r="D99" s="1">
        <v>22</v>
      </c>
      <c r="E99" s="35">
        <v>37904</v>
      </c>
      <c r="F99" s="17" t="s">
        <v>231</v>
      </c>
      <c r="G99" s="17" t="s">
        <v>180</v>
      </c>
      <c r="H99" s="31">
        <v>2300</v>
      </c>
      <c r="I99" s="31">
        <v>0</v>
      </c>
      <c r="J99" s="1" t="s">
        <v>51</v>
      </c>
      <c r="K99" s="28">
        <v>29</v>
      </c>
      <c r="L99" s="1" t="str" cm="1">
        <f t="array" ref="L99">_xlfn.IFS(Tabela6[[#This Row],[qtde_batalhas]]&lt;=15,"Baixo",Tabela6[[#This Row],[qtde_batalhas]]&gt;=30,"Alto",Tabela6[[#This Row],[qtde_batalhas]]&lt;30,"Médio")</f>
        <v>Médio</v>
      </c>
      <c r="M99" s="31">
        <v>51500</v>
      </c>
      <c r="O99" t="s">
        <v>232</v>
      </c>
      <c r="P99" t="str">
        <f t="shared" si="1"/>
        <v>Terras Da Tempestade</v>
      </c>
      <c r="U99" t="s">
        <v>352</v>
      </c>
      <c r="V99" t="str">
        <f>TEXT(U99,"000\.000\.000\-00")</f>
        <v>000.000.026-00</v>
      </c>
      <c r="X99" s="15" t="s">
        <v>156</v>
      </c>
      <c r="Z99" s="26">
        <v>2300</v>
      </c>
      <c r="AA99">
        <v>2300</v>
      </c>
      <c r="AC99" s="24">
        <v>0</v>
      </c>
      <c r="AD99">
        <v>0</v>
      </c>
      <c r="AE99">
        <v>0</v>
      </c>
    </row>
    <row r="100" spans="1:31">
      <c r="A100" s="29" t="s">
        <v>74</v>
      </c>
      <c r="B100" s="17" t="s">
        <v>353</v>
      </c>
      <c r="C100" s="30" t="s">
        <v>354</v>
      </c>
      <c r="D100" s="1">
        <v>56</v>
      </c>
      <c r="E100" s="35">
        <v>25551</v>
      </c>
      <c r="F100" s="30" t="s">
        <v>91</v>
      </c>
      <c r="G100" s="17" t="s">
        <v>91</v>
      </c>
      <c r="H100" s="31">
        <v>22600</v>
      </c>
      <c r="I100" s="31">
        <v>63000</v>
      </c>
      <c r="J100" s="1" t="s">
        <v>50</v>
      </c>
      <c r="K100" s="28">
        <v>33</v>
      </c>
      <c r="L100" s="1" t="str" cm="1">
        <f t="array" ref="L100">_xlfn.IFS(Tabela6[[#This Row],[qtde_batalhas]]&lt;=15,"Baixo",Tabela6[[#This Row],[qtde_batalhas]]&gt;=30,"Alto",Tabela6[[#This Row],[qtde_batalhas]]&lt;30,"Médio")</f>
        <v>Alto</v>
      </c>
      <c r="M100" s="31">
        <v>53000</v>
      </c>
      <c r="O100" t="s">
        <v>75</v>
      </c>
      <c r="P100" t="str">
        <f t="shared" si="1"/>
        <v>Null</v>
      </c>
      <c r="U100" t="s">
        <v>355</v>
      </c>
      <c r="V100" t="str">
        <f>TEXT(U100,"000\.000\.000\-00")</f>
        <v>000.000.027-00</v>
      </c>
      <c r="X100" s="15" t="s">
        <v>252</v>
      </c>
      <c r="Z100" s="26">
        <v>22600</v>
      </c>
      <c r="AA100">
        <v>22600</v>
      </c>
      <c r="AC100" s="25">
        <v>63000</v>
      </c>
      <c r="AD100">
        <v>63000</v>
      </c>
      <c r="AE100">
        <v>63000</v>
      </c>
    </row>
    <row r="101" spans="1:31">
      <c r="A101" s="29" t="s">
        <v>74</v>
      </c>
      <c r="B101" s="17" t="s">
        <v>356</v>
      </c>
      <c r="C101" s="30" t="s">
        <v>357</v>
      </c>
      <c r="D101" s="1">
        <v>23</v>
      </c>
      <c r="E101" s="35">
        <v>37627</v>
      </c>
      <c r="F101" s="17" t="s">
        <v>86</v>
      </c>
      <c r="G101" s="17" t="s">
        <v>87</v>
      </c>
      <c r="H101" s="31" t="s">
        <v>75</v>
      </c>
      <c r="I101" s="31">
        <v>69000</v>
      </c>
      <c r="J101" s="1" t="s">
        <v>50</v>
      </c>
      <c r="K101" s="28">
        <v>20</v>
      </c>
      <c r="L101" s="1" t="str" cm="1">
        <f t="array" ref="L101">_xlfn.IFS(Tabela6[[#This Row],[qtde_batalhas]]&lt;=15,"Baixo",Tabela6[[#This Row],[qtde_batalhas]]&gt;=30,"Alto",Tabela6[[#This Row],[qtde_batalhas]]&lt;30,"Médio")</f>
        <v>Médio</v>
      </c>
      <c r="M101" s="31">
        <v>69000</v>
      </c>
      <c r="O101" t="s">
        <v>358</v>
      </c>
      <c r="P101" t="str">
        <f t="shared" si="1"/>
        <v>Terras Fluviais</v>
      </c>
      <c r="U101" t="s">
        <v>359</v>
      </c>
      <c r="V101" t="str">
        <f>TEXT(U101,"000\.000\.000\-00")</f>
        <v>000.000.030-00</v>
      </c>
      <c r="X101" s="15" t="s">
        <v>86</v>
      </c>
      <c r="AC101" s="24">
        <v>69000</v>
      </c>
      <c r="AD101">
        <v>69000</v>
      </c>
      <c r="AE101">
        <v>69000</v>
      </c>
    </row>
    <row r="102" spans="1:31">
      <c r="A102" s="29" t="s">
        <v>74</v>
      </c>
      <c r="B102" s="17" t="s">
        <v>360</v>
      </c>
      <c r="C102" s="30" t="s">
        <v>361</v>
      </c>
      <c r="D102" s="1">
        <v>72</v>
      </c>
      <c r="E102" s="35">
        <v>19839</v>
      </c>
      <c r="F102" s="17" t="s">
        <v>362</v>
      </c>
      <c r="G102" s="17" t="s">
        <v>363</v>
      </c>
      <c r="H102" s="31">
        <v>3900</v>
      </c>
      <c r="I102" s="31">
        <v>27000</v>
      </c>
      <c r="J102" s="1" t="s">
        <v>50</v>
      </c>
      <c r="K102" s="28">
        <v>33</v>
      </c>
      <c r="L102" s="1" t="str" cm="1">
        <f t="array" ref="L102">_xlfn.IFS(Tabela6[[#This Row],[qtde_batalhas]]&lt;=15,"Baixo",Tabela6[[#This Row],[qtde_batalhas]]&gt;=30,"Alto",Tabela6[[#This Row],[qtde_batalhas]]&lt;30,"Médio")</f>
        <v>Alto</v>
      </c>
      <c r="M102" s="31">
        <v>2000</v>
      </c>
      <c r="O102" t="s">
        <v>364</v>
      </c>
      <c r="P102" t="str">
        <f t="shared" si="1"/>
        <v>Vale</v>
      </c>
      <c r="U102" t="s">
        <v>182</v>
      </c>
      <c r="V102" t="str">
        <f>TEXT(U102,"000\.000\.000\-00")</f>
        <v>000.000.031-00</v>
      </c>
      <c r="X102" s="15" t="s">
        <v>239</v>
      </c>
      <c r="Z102" s="26">
        <v>3900</v>
      </c>
      <c r="AA102">
        <v>3900</v>
      </c>
      <c r="AC102" s="25">
        <v>27000</v>
      </c>
      <c r="AD102">
        <v>27000</v>
      </c>
      <c r="AE102">
        <v>27000</v>
      </c>
    </row>
    <row r="103" spans="1:31">
      <c r="A103" s="29" t="s">
        <v>74</v>
      </c>
      <c r="B103" s="17" t="s">
        <v>365</v>
      </c>
      <c r="C103" s="30" t="s">
        <v>366</v>
      </c>
      <c r="D103" s="1">
        <v>54</v>
      </c>
      <c r="E103" s="35">
        <v>26230</v>
      </c>
      <c r="F103" s="30" t="s">
        <v>91</v>
      </c>
      <c r="G103" s="17" t="s">
        <v>91</v>
      </c>
      <c r="H103" s="31">
        <v>18700</v>
      </c>
      <c r="I103" s="31">
        <v>46000</v>
      </c>
      <c r="J103" s="1" t="s">
        <v>51</v>
      </c>
      <c r="K103" s="28">
        <v>4</v>
      </c>
      <c r="L103" s="1" t="str" cm="1">
        <f t="array" ref="L103">_xlfn.IFS(Tabela6[[#This Row],[qtde_batalhas]]&lt;=15,"Baixo",Tabela6[[#This Row],[qtde_batalhas]]&gt;=30,"Alto",Tabela6[[#This Row],[qtde_batalhas]]&lt;30,"Médio")</f>
        <v>Baixo</v>
      </c>
      <c r="M103" s="31">
        <v>27500</v>
      </c>
      <c r="O103" t="s">
        <v>75</v>
      </c>
      <c r="P103" t="str">
        <f t="shared" si="1"/>
        <v>Null</v>
      </c>
      <c r="U103" t="s">
        <v>211</v>
      </c>
      <c r="V103" t="str">
        <f>TEXT(U103,"000\.000\.000\-00")</f>
        <v>000.000.036-00</v>
      </c>
      <c r="X103" s="14" t="s">
        <v>367</v>
      </c>
      <c r="Y103" t="e" cm="1" vm="1">
        <f t="array" aca="1" ref="Y103" ca="1">_xlfn.TEXTSPLIT(X103," | ")</f>
        <v>#VALUE!</v>
      </c>
      <c r="Z103" s="26">
        <v>18700</v>
      </c>
      <c r="AA103">
        <v>18700</v>
      </c>
      <c r="AB103" t="s">
        <v>87</v>
      </c>
      <c r="AC103" s="24">
        <v>46000</v>
      </c>
      <c r="AD103">
        <v>46000</v>
      </c>
      <c r="AE103">
        <v>46000</v>
      </c>
    </row>
    <row r="104" spans="1:31">
      <c r="A104" s="29" t="s">
        <v>78</v>
      </c>
      <c r="B104" s="17" t="s">
        <v>368</v>
      </c>
      <c r="C104" s="30" t="s">
        <v>352</v>
      </c>
      <c r="D104" s="1">
        <v>67</v>
      </c>
      <c r="E104" s="35">
        <v>21512</v>
      </c>
      <c r="F104" s="17" t="s">
        <v>115</v>
      </c>
      <c r="G104" s="17" t="s">
        <v>116</v>
      </c>
      <c r="H104" s="31">
        <v>3200</v>
      </c>
      <c r="I104" s="31">
        <v>6500</v>
      </c>
      <c r="J104" s="1" t="s">
        <v>50</v>
      </c>
      <c r="K104" s="28">
        <v>20</v>
      </c>
      <c r="L104" s="1" t="str" cm="1">
        <f t="array" ref="L104">_xlfn.IFS(Tabela6[[#This Row],[qtde_batalhas]]&lt;=15,"Baixo",Tabela6[[#This Row],[qtde_batalhas]]&gt;=30,"Alto",Tabela6[[#This Row],[qtde_batalhas]]&lt;30,"Médio")</f>
        <v>Médio</v>
      </c>
      <c r="M104" s="31">
        <v>52500</v>
      </c>
      <c r="O104" t="s">
        <v>369</v>
      </c>
      <c r="P104" t="str">
        <f t="shared" si="1"/>
        <v>Essos</v>
      </c>
      <c r="U104" t="s">
        <v>370</v>
      </c>
      <c r="V104" t="str">
        <f>TEXT(U104,"000\.000\.000\-00")</f>
        <v>000.000.037-00</v>
      </c>
      <c r="X104" s="15" t="s">
        <v>246</v>
      </c>
      <c r="Z104" s="26">
        <v>3200</v>
      </c>
      <c r="AA104">
        <v>3200</v>
      </c>
      <c r="AC104" s="25">
        <v>6500</v>
      </c>
      <c r="AD104">
        <v>6500</v>
      </c>
      <c r="AE104">
        <v>6500</v>
      </c>
    </row>
    <row r="105" spans="1:31">
      <c r="A105" s="29" t="s">
        <v>74</v>
      </c>
      <c r="B105" s="17" t="s">
        <v>371</v>
      </c>
      <c r="C105" s="30" t="s">
        <v>372</v>
      </c>
      <c r="D105" s="1">
        <v>24</v>
      </c>
      <c r="E105" s="35">
        <v>37394</v>
      </c>
      <c r="F105" s="17" t="s">
        <v>239</v>
      </c>
      <c r="G105" s="17" t="s">
        <v>303</v>
      </c>
      <c r="H105" s="31">
        <v>14200</v>
      </c>
      <c r="I105" s="31">
        <v>71000</v>
      </c>
      <c r="J105" s="1" t="s">
        <v>50</v>
      </c>
      <c r="K105" s="28">
        <v>10</v>
      </c>
      <c r="L105" s="1" t="str" cm="1">
        <f t="array" ref="L105">_xlfn.IFS(Tabela6[[#This Row],[qtde_batalhas]]&lt;=15,"Baixo",Tabela6[[#This Row],[qtde_batalhas]]&gt;=30,"Alto",Tabela6[[#This Row],[qtde_batalhas]]&lt;30,"Médio")</f>
        <v>Baixo</v>
      </c>
      <c r="M105" s="31">
        <v>91500</v>
      </c>
      <c r="O105" t="s">
        <v>303</v>
      </c>
      <c r="P105" t="str">
        <f t="shared" si="1"/>
        <v>Oeste</v>
      </c>
      <c r="U105" t="s">
        <v>373</v>
      </c>
      <c r="V105" t="str">
        <f>TEXT(U105,"000\.000\.000\-00")</f>
        <v>000.000.039-00</v>
      </c>
      <c r="X105" s="15" t="s">
        <v>252</v>
      </c>
      <c r="Z105" s="26">
        <v>14200</v>
      </c>
      <c r="AA105">
        <v>14200</v>
      </c>
      <c r="AC105" s="24">
        <v>71000</v>
      </c>
      <c r="AD105">
        <v>71000</v>
      </c>
      <c r="AE105">
        <v>71000</v>
      </c>
    </row>
    <row r="106" spans="1:31">
      <c r="A106" s="29" t="s">
        <v>74</v>
      </c>
      <c r="B106" s="17" t="s">
        <v>374</v>
      </c>
      <c r="C106" s="30" t="s">
        <v>375</v>
      </c>
      <c r="D106" s="1">
        <v>26</v>
      </c>
      <c r="E106" s="35">
        <v>36475</v>
      </c>
      <c r="F106" s="17" t="s">
        <v>252</v>
      </c>
      <c r="G106" s="17" t="s">
        <v>87</v>
      </c>
      <c r="H106" s="31">
        <v>13900</v>
      </c>
      <c r="I106" s="31">
        <v>53500</v>
      </c>
      <c r="J106" s="1" t="s">
        <v>50</v>
      </c>
      <c r="K106" s="28">
        <v>12</v>
      </c>
      <c r="L106" s="1" t="str" cm="1">
        <f t="array" ref="L106">_xlfn.IFS(Tabela6[[#This Row],[qtde_batalhas]]&lt;=15,"Baixo",Tabela6[[#This Row],[qtde_batalhas]]&gt;=30,"Alto",Tabela6[[#This Row],[qtde_batalhas]]&lt;30,"Médio")</f>
        <v>Baixo</v>
      </c>
      <c r="M106" s="31">
        <v>85000</v>
      </c>
      <c r="O106" t="s">
        <v>87</v>
      </c>
      <c r="P106" t="str">
        <f t="shared" si="1"/>
        <v>Terras Fluviais</v>
      </c>
      <c r="U106" t="s">
        <v>376</v>
      </c>
      <c r="V106" t="str">
        <f>TEXT(U106,"000\.000\.000\-00")</f>
        <v>000.000.041-00</v>
      </c>
      <c r="X106" s="15" t="s">
        <v>223</v>
      </c>
      <c r="Z106" s="26">
        <v>13900</v>
      </c>
      <c r="AA106">
        <v>13900</v>
      </c>
      <c r="AC106" s="25">
        <v>53500</v>
      </c>
      <c r="AD106">
        <v>53500</v>
      </c>
      <c r="AE106">
        <v>53500</v>
      </c>
    </row>
    <row r="107" spans="1:31">
      <c r="A107" s="29" t="s">
        <v>78</v>
      </c>
      <c r="B107" s="17" t="s">
        <v>377</v>
      </c>
      <c r="C107" s="30" t="s">
        <v>378</v>
      </c>
      <c r="D107" s="1">
        <v>33</v>
      </c>
      <c r="E107" s="35">
        <v>34154</v>
      </c>
      <c r="F107" s="30" t="s">
        <v>91</v>
      </c>
      <c r="G107" s="17" t="s">
        <v>91</v>
      </c>
      <c r="H107" s="31">
        <v>2400</v>
      </c>
      <c r="I107" s="31">
        <v>78000</v>
      </c>
      <c r="J107" s="1" t="s">
        <v>50</v>
      </c>
      <c r="K107" s="28">
        <v>6</v>
      </c>
      <c r="L107" s="1" t="str" cm="1">
        <f t="array" ref="L107">_xlfn.IFS(Tabela6[[#This Row],[qtde_batalhas]]&lt;=15,"Baixo",Tabela6[[#This Row],[qtde_batalhas]]&gt;=30,"Alto",Tabela6[[#This Row],[qtde_batalhas]]&lt;30,"Médio")</f>
        <v>Baixo</v>
      </c>
      <c r="M107" s="31">
        <v>28000</v>
      </c>
      <c r="O107" t="s">
        <v>75</v>
      </c>
      <c r="P107" t="str">
        <f t="shared" si="1"/>
        <v>Null</v>
      </c>
      <c r="U107" t="s">
        <v>379</v>
      </c>
      <c r="V107" t="str">
        <f>TEXT(U107,"000\.000\.000\-00")</f>
        <v>000.000.043-00</v>
      </c>
      <c r="X107" s="15" t="s">
        <v>215</v>
      </c>
      <c r="Z107" s="26">
        <v>2400</v>
      </c>
      <c r="AA107">
        <v>2400</v>
      </c>
      <c r="AC107" s="24">
        <v>78000</v>
      </c>
      <c r="AD107">
        <v>78000</v>
      </c>
      <c r="AE107">
        <v>78000</v>
      </c>
    </row>
    <row r="108" spans="1:31">
      <c r="A108" s="29" t="s">
        <v>74</v>
      </c>
      <c r="B108" s="17" t="s">
        <v>380</v>
      </c>
      <c r="C108" s="30" t="s">
        <v>381</v>
      </c>
      <c r="D108" s="1">
        <v>58</v>
      </c>
      <c r="E108" s="35">
        <v>24840</v>
      </c>
      <c r="F108" s="30" t="s">
        <v>91</v>
      </c>
      <c r="G108" s="17" t="s">
        <v>91</v>
      </c>
      <c r="H108" s="31">
        <v>2800</v>
      </c>
      <c r="I108" s="31">
        <v>35000</v>
      </c>
      <c r="J108" s="1" t="s">
        <v>50</v>
      </c>
      <c r="K108" s="28">
        <v>36</v>
      </c>
      <c r="L108" s="1" t="str" cm="1">
        <f t="array" ref="L108">_xlfn.IFS(Tabela6[[#This Row],[qtde_batalhas]]&lt;=15,"Baixo",Tabela6[[#This Row],[qtde_batalhas]]&gt;=30,"Alto",Tabela6[[#This Row],[qtde_batalhas]]&lt;30,"Médio")</f>
        <v>Alto</v>
      </c>
      <c r="M108" s="31">
        <v>9000</v>
      </c>
      <c r="O108" t="s">
        <v>75</v>
      </c>
      <c r="P108" t="str">
        <f t="shared" si="1"/>
        <v>Null</v>
      </c>
      <c r="U108" t="s">
        <v>382</v>
      </c>
      <c r="V108" t="str">
        <f>TEXT(U108,"000\.000\.000\-00")</f>
        <v>000.000.044-00</v>
      </c>
      <c r="X108" s="15" t="s">
        <v>226</v>
      </c>
      <c r="Z108" s="26">
        <v>2800</v>
      </c>
      <c r="AA108">
        <v>2800</v>
      </c>
      <c r="AC108" s="25">
        <v>35000</v>
      </c>
      <c r="AD108">
        <v>35000</v>
      </c>
      <c r="AE108">
        <v>35000</v>
      </c>
    </row>
    <row r="109" spans="1:31">
      <c r="A109" s="29" t="s">
        <v>74</v>
      </c>
      <c r="B109" s="17" t="s">
        <v>383</v>
      </c>
      <c r="C109" s="30" t="s">
        <v>384</v>
      </c>
      <c r="D109" s="1">
        <v>44</v>
      </c>
      <c r="E109" s="35">
        <v>29843</v>
      </c>
      <c r="F109" s="30" t="s">
        <v>91</v>
      </c>
      <c r="G109" s="17" t="s">
        <v>91</v>
      </c>
      <c r="H109" s="31">
        <v>11300</v>
      </c>
      <c r="I109" s="31">
        <v>55000</v>
      </c>
      <c r="J109" s="1" t="s">
        <v>50</v>
      </c>
      <c r="K109" s="28">
        <v>38</v>
      </c>
      <c r="L109" s="1" t="str" cm="1">
        <f t="array" ref="L109">_xlfn.IFS(Tabela6[[#This Row],[qtde_batalhas]]&lt;=15,"Baixo",Tabela6[[#This Row],[qtde_batalhas]]&gt;=30,"Alto",Tabela6[[#This Row],[qtde_batalhas]]&lt;30,"Médio")</f>
        <v>Alto</v>
      </c>
      <c r="M109" s="31">
        <v>68500</v>
      </c>
      <c r="O109" t="s">
        <v>75</v>
      </c>
      <c r="P109" t="str">
        <f t="shared" si="1"/>
        <v>Null</v>
      </c>
      <c r="U109" t="s">
        <v>385</v>
      </c>
      <c r="V109" t="str">
        <f>TEXT(U109,"000\.000\.000\-00")</f>
        <v>000.000.045-00</v>
      </c>
      <c r="X109" s="15" t="s">
        <v>223</v>
      </c>
      <c r="Z109" s="26">
        <v>11300</v>
      </c>
      <c r="AA109">
        <v>11300</v>
      </c>
      <c r="AC109" s="24">
        <v>55000</v>
      </c>
      <c r="AD109">
        <v>55000</v>
      </c>
      <c r="AE109">
        <v>55000</v>
      </c>
    </row>
    <row r="110" spans="1:31">
      <c r="A110" s="29" t="s">
        <v>74</v>
      </c>
      <c r="B110" s="17" t="s">
        <v>386</v>
      </c>
      <c r="C110" s="30" t="s">
        <v>387</v>
      </c>
      <c r="D110" s="1">
        <v>65</v>
      </c>
      <c r="E110" s="35">
        <v>22366</v>
      </c>
      <c r="F110" s="30" t="s">
        <v>91</v>
      </c>
      <c r="G110" s="17" t="s">
        <v>91</v>
      </c>
      <c r="H110" s="31">
        <v>18000</v>
      </c>
      <c r="I110" s="31">
        <v>0</v>
      </c>
      <c r="J110" s="1" t="s">
        <v>50</v>
      </c>
      <c r="K110" s="28">
        <v>27</v>
      </c>
      <c r="L110" s="1" t="str" cm="1">
        <f t="array" ref="L110">_xlfn.IFS(Tabela6[[#This Row],[qtde_batalhas]]&lt;=15,"Baixo",Tabela6[[#This Row],[qtde_batalhas]]&gt;=30,"Alto",Tabela6[[#This Row],[qtde_batalhas]]&lt;30,"Médio")</f>
        <v>Médio</v>
      </c>
      <c r="M110" s="31">
        <v>38500</v>
      </c>
      <c r="O110" t="s">
        <v>75</v>
      </c>
      <c r="P110" t="str">
        <f t="shared" si="1"/>
        <v>Null</v>
      </c>
      <c r="U110" t="s">
        <v>287</v>
      </c>
      <c r="V110" t="str">
        <f>TEXT(U110,"000\.000\.000\-00")</f>
        <v>000.000.046-00</v>
      </c>
      <c r="X110" s="15" t="s">
        <v>150</v>
      </c>
      <c r="Z110" s="26">
        <v>18000</v>
      </c>
      <c r="AA110">
        <v>18000</v>
      </c>
      <c r="AC110" s="25">
        <v>0</v>
      </c>
      <c r="AD110">
        <v>0</v>
      </c>
      <c r="AE110">
        <v>0</v>
      </c>
    </row>
    <row r="111" spans="1:31">
      <c r="A111" s="34" t="s">
        <v>75</v>
      </c>
      <c r="B111" s="17" t="s">
        <v>388</v>
      </c>
      <c r="C111" s="30" t="s">
        <v>389</v>
      </c>
      <c r="D111" s="1" t="s">
        <v>75</v>
      </c>
      <c r="E111" s="35">
        <v>33188</v>
      </c>
      <c r="F111" s="17" t="s">
        <v>115</v>
      </c>
      <c r="G111" s="17" t="s">
        <v>116</v>
      </c>
      <c r="H111" s="31">
        <v>29900</v>
      </c>
      <c r="I111" s="31">
        <v>64500</v>
      </c>
      <c r="J111" s="1" t="s">
        <v>50</v>
      </c>
      <c r="K111" s="28">
        <v>34</v>
      </c>
      <c r="L111" s="1" t="str" cm="1">
        <f t="array" ref="L111">_xlfn.IFS(Tabela6[[#This Row],[qtde_batalhas]]&lt;=15,"Baixo",Tabela6[[#This Row],[qtde_batalhas]]&gt;=30,"Alto",Tabela6[[#This Row],[qtde_batalhas]]&lt;30,"Médio")</f>
        <v>Alto</v>
      </c>
      <c r="M111" s="31">
        <v>48500</v>
      </c>
      <c r="O111" t="s">
        <v>116</v>
      </c>
      <c r="P111" t="str">
        <f t="shared" si="1"/>
        <v>Essos</v>
      </c>
      <c r="U111" t="s">
        <v>390</v>
      </c>
      <c r="V111" t="str">
        <f>TEXT(U111,"000\.000\.000\-00")</f>
        <v>000.000.050-00</v>
      </c>
      <c r="X111" s="15" t="s">
        <v>252</v>
      </c>
      <c r="Z111" s="26">
        <v>29900</v>
      </c>
      <c r="AA111">
        <v>29900</v>
      </c>
      <c r="AC111" s="24">
        <v>64500</v>
      </c>
      <c r="AD111">
        <v>64500</v>
      </c>
      <c r="AE111">
        <v>64500</v>
      </c>
    </row>
    <row r="112" spans="1:31">
      <c r="A112" s="29" t="s">
        <v>74</v>
      </c>
      <c r="B112" s="17" t="s">
        <v>391</v>
      </c>
      <c r="C112" s="30" t="s">
        <v>392</v>
      </c>
      <c r="D112" s="1">
        <v>58</v>
      </c>
      <c r="E112" s="35">
        <v>25066</v>
      </c>
      <c r="F112" s="30" t="s">
        <v>91</v>
      </c>
      <c r="G112" s="17" t="s">
        <v>91</v>
      </c>
      <c r="H112" s="31">
        <v>4500</v>
      </c>
      <c r="I112" s="31" t="s">
        <v>75</v>
      </c>
      <c r="J112" s="1" t="s">
        <v>51</v>
      </c>
      <c r="K112" s="28">
        <v>31</v>
      </c>
      <c r="L112" s="1" t="str" cm="1">
        <f t="array" ref="L112">_xlfn.IFS(Tabela6[[#This Row],[qtde_batalhas]]&lt;=15,"Baixo",Tabela6[[#This Row],[qtde_batalhas]]&gt;=30,"Alto",Tabela6[[#This Row],[qtde_batalhas]]&lt;30,"Médio")</f>
        <v>Alto</v>
      </c>
      <c r="M112" s="31">
        <v>97500</v>
      </c>
      <c r="O112" t="s">
        <v>75</v>
      </c>
      <c r="P112" t="str">
        <f t="shared" si="1"/>
        <v>Null</v>
      </c>
      <c r="U112" t="s">
        <v>393</v>
      </c>
      <c r="V112" t="str">
        <f>TEXT(U112,"000\.000\.000\-00")</f>
        <v>000.000.051-00</v>
      </c>
      <c r="X112" s="15" t="s">
        <v>226</v>
      </c>
      <c r="Z112" s="26">
        <v>4500</v>
      </c>
      <c r="AA112">
        <v>4500</v>
      </c>
      <c r="AC112" s="25"/>
      <c r="AD112" t="s">
        <v>75</v>
      </c>
      <c r="AE112" t="s">
        <v>75</v>
      </c>
    </row>
    <row r="113" spans="1:31">
      <c r="A113" s="29" t="s">
        <v>78</v>
      </c>
      <c r="B113" s="17" t="s">
        <v>394</v>
      </c>
      <c r="C113" s="30" t="s">
        <v>395</v>
      </c>
      <c r="D113" s="1">
        <v>29</v>
      </c>
      <c r="E113" s="35">
        <v>35598</v>
      </c>
      <c r="F113" s="30" t="s">
        <v>91</v>
      </c>
      <c r="G113" s="17" t="s">
        <v>91</v>
      </c>
      <c r="H113" s="31">
        <v>15500</v>
      </c>
      <c r="I113" s="31">
        <v>75000</v>
      </c>
      <c r="J113" s="1" t="s">
        <v>396</v>
      </c>
      <c r="K113" s="28">
        <v>25</v>
      </c>
      <c r="L113" s="1" t="str" cm="1">
        <f t="array" ref="L113">_xlfn.IFS(Tabela6[[#This Row],[qtde_batalhas]]&lt;=15,"Baixo",Tabela6[[#This Row],[qtde_batalhas]]&gt;=30,"Alto",Tabela6[[#This Row],[qtde_batalhas]]&lt;30,"Médio")</f>
        <v>Médio</v>
      </c>
      <c r="M113" s="31">
        <v>47000</v>
      </c>
      <c r="O113" t="s">
        <v>75</v>
      </c>
      <c r="P113" t="str">
        <f t="shared" si="1"/>
        <v>Null</v>
      </c>
      <c r="U113" t="s">
        <v>200</v>
      </c>
      <c r="V113" t="str">
        <f>TEXT(U113,"000\.000\.000\-00")</f>
        <v>000.000.052-00</v>
      </c>
      <c r="X113" s="15" t="s">
        <v>231</v>
      </c>
      <c r="Z113" s="26">
        <v>15500</v>
      </c>
      <c r="AA113">
        <v>15500</v>
      </c>
      <c r="AC113" s="24">
        <v>75000</v>
      </c>
      <c r="AD113">
        <v>75000</v>
      </c>
      <c r="AE113">
        <v>75000</v>
      </c>
    </row>
    <row r="114" spans="1:31">
      <c r="A114" s="29" t="s">
        <v>74</v>
      </c>
      <c r="B114" s="17" t="s">
        <v>397</v>
      </c>
      <c r="C114" s="30" t="s">
        <v>398</v>
      </c>
      <c r="D114" s="1">
        <v>38</v>
      </c>
      <c r="E114" s="35">
        <v>32066</v>
      </c>
      <c r="F114" s="30" t="s">
        <v>91</v>
      </c>
      <c r="G114" s="17" t="s">
        <v>91</v>
      </c>
      <c r="H114" s="31">
        <v>9700</v>
      </c>
      <c r="I114" s="31">
        <v>25000</v>
      </c>
      <c r="J114" s="1" t="s">
        <v>50</v>
      </c>
      <c r="K114" s="28">
        <v>0</v>
      </c>
      <c r="L114" s="1" t="str" cm="1">
        <f t="array" ref="L114">_xlfn.IFS(Tabela6[[#This Row],[qtde_batalhas]]&lt;=15,"Baixo",Tabela6[[#This Row],[qtde_batalhas]]&gt;=30,"Alto",Tabela6[[#This Row],[qtde_batalhas]]&lt;30,"Médio")</f>
        <v>Baixo</v>
      </c>
      <c r="M114" s="31">
        <v>55500</v>
      </c>
      <c r="O114" t="s">
        <v>75</v>
      </c>
      <c r="P114" t="str">
        <f t="shared" si="1"/>
        <v>Null</v>
      </c>
      <c r="U114" t="s">
        <v>399</v>
      </c>
      <c r="V114" t="str">
        <f>TEXT(U114,"000\.000\.000\-00")</f>
        <v>000.000.054-00</v>
      </c>
      <c r="X114" s="15" t="s">
        <v>156</v>
      </c>
      <c r="Z114" s="26">
        <v>9700</v>
      </c>
      <c r="AA114">
        <v>9700</v>
      </c>
      <c r="AC114" s="25">
        <v>25000</v>
      </c>
      <c r="AD114">
        <v>25000</v>
      </c>
      <c r="AE114">
        <v>25000</v>
      </c>
    </row>
    <row r="115" spans="1:31">
      <c r="A115" s="29" t="s">
        <v>78</v>
      </c>
      <c r="B115" s="17" t="s">
        <v>400</v>
      </c>
      <c r="C115" s="30" t="s">
        <v>401</v>
      </c>
      <c r="D115" s="1">
        <v>26</v>
      </c>
      <c r="E115" s="35">
        <v>36540</v>
      </c>
      <c r="F115" s="30" t="s">
        <v>91</v>
      </c>
      <c r="G115" s="17" t="s">
        <v>91</v>
      </c>
      <c r="H115" s="31">
        <v>24000</v>
      </c>
      <c r="I115" s="31" t="s">
        <v>75</v>
      </c>
      <c r="J115" s="1" t="s">
        <v>50</v>
      </c>
      <c r="K115" s="28">
        <v>30</v>
      </c>
      <c r="L115" s="1" t="str" cm="1">
        <f t="array" ref="L115">_xlfn.IFS(Tabela6[[#This Row],[qtde_batalhas]]&lt;=15,"Baixo",Tabela6[[#This Row],[qtde_batalhas]]&gt;=30,"Alto",Tabela6[[#This Row],[qtde_batalhas]]&lt;30,"Médio")</f>
        <v>Alto</v>
      </c>
      <c r="M115" s="31">
        <v>62500</v>
      </c>
      <c r="O115" t="s">
        <v>75</v>
      </c>
      <c r="P115" t="str">
        <f t="shared" si="1"/>
        <v>Null</v>
      </c>
      <c r="U115" t="s">
        <v>298</v>
      </c>
      <c r="V115" t="str">
        <f>TEXT(U115,"000\.000\.000\-00")</f>
        <v>000.000.055-00</v>
      </c>
      <c r="X115" s="15" t="s">
        <v>274</v>
      </c>
      <c r="Z115" s="26">
        <v>24000</v>
      </c>
      <c r="AA115">
        <v>24000</v>
      </c>
      <c r="AC115" s="24" t="s">
        <v>402</v>
      </c>
      <c r="AD115" t="s">
        <v>75</v>
      </c>
      <c r="AE115" t="s">
        <v>75</v>
      </c>
    </row>
    <row r="116" spans="1:31">
      <c r="A116" s="29" t="s">
        <v>74</v>
      </c>
      <c r="B116" s="17" t="s">
        <v>403</v>
      </c>
      <c r="C116" s="30" t="s">
        <v>404</v>
      </c>
      <c r="D116" s="1">
        <v>48</v>
      </c>
      <c r="E116" s="35">
        <v>28689</v>
      </c>
      <c r="F116" s="30" t="s">
        <v>91</v>
      </c>
      <c r="G116" s="17" t="s">
        <v>91</v>
      </c>
      <c r="H116" s="31">
        <v>18700</v>
      </c>
      <c r="I116" s="31">
        <v>11000</v>
      </c>
      <c r="J116" s="1" t="s">
        <v>50</v>
      </c>
      <c r="K116" s="28">
        <v>28</v>
      </c>
      <c r="L116" s="1" t="str" cm="1">
        <f t="array" ref="L116">_xlfn.IFS(Tabela6[[#This Row],[qtde_batalhas]]&lt;=15,"Baixo",Tabela6[[#This Row],[qtde_batalhas]]&gt;=30,"Alto",Tabela6[[#This Row],[qtde_batalhas]]&lt;30,"Médio")</f>
        <v>Médio</v>
      </c>
      <c r="M116" s="31">
        <v>18000</v>
      </c>
      <c r="O116" t="s">
        <v>75</v>
      </c>
      <c r="P116" t="str">
        <f t="shared" si="1"/>
        <v>Null</v>
      </c>
      <c r="U116" t="s">
        <v>405</v>
      </c>
      <c r="V116" t="str">
        <f>TEXT(U116,"000\.000\.000\-00")</f>
        <v>000.000.056-00</v>
      </c>
      <c r="X116" s="15" t="s">
        <v>226</v>
      </c>
      <c r="Z116" s="26">
        <v>18700</v>
      </c>
      <c r="AA116">
        <v>18700</v>
      </c>
      <c r="AC116" s="25">
        <v>11000</v>
      </c>
      <c r="AD116">
        <v>11000</v>
      </c>
      <c r="AE116">
        <v>11000</v>
      </c>
    </row>
    <row r="117" spans="1:31">
      <c r="A117" s="29" t="s">
        <v>78</v>
      </c>
      <c r="B117" s="17" t="s">
        <v>406</v>
      </c>
      <c r="C117" s="30" t="s">
        <v>407</v>
      </c>
      <c r="D117" s="1">
        <v>35</v>
      </c>
      <c r="E117" s="35">
        <v>33417</v>
      </c>
      <c r="F117" s="30" t="s">
        <v>91</v>
      </c>
      <c r="G117" s="17" t="s">
        <v>91</v>
      </c>
      <c r="H117" s="31">
        <v>12400</v>
      </c>
      <c r="I117" s="31">
        <v>0</v>
      </c>
      <c r="J117" s="1" t="s">
        <v>50</v>
      </c>
      <c r="K117" s="28">
        <v>3</v>
      </c>
      <c r="L117" s="1" t="str" cm="1">
        <f t="array" ref="L117">_xlfn.IFS(Tabela6[[#This Row],[qtde_batalhas]]&lt;=15,"Baixo",Tabela6[[#This Row],[qtde_batalhas]]&gt;=30,"Alto",Tabela6[[#This Row],[qtde_batalhas]]&lt;30,"Médio")</f>
        <v>Baixo</v>
      </c>
      <c r="M117" s="31">
        <v>83500</v>
      </c>
      <c r="O117" t="s">
        <v>75</v>
      </c>
      <c r="P117" t="str">
        <f t="shared" si="1"/>
        <v>Null</v>
      </c>
      <c r="U117" t="s">
        <v>172</v>
      </c>
      <c r="V117" t="str">
        <f>TEXT(U117,"000\.000\.000\-00")</f>
        <v>000.000.057-00</v>
      </c>
      <c r="X117" s="15" t="s">
        <v>101</v>
      </c>
      <c r="Z117" s="26">
        <v>12400</v>
      </c>
      <c r="AA117">
        <v>12400</v>
      </c>
      <c r="AC117" s="24">
        <v>0</v>
      </c>
      <c r="AD117">
        <v>0</v>
      </c>
      <c r="AE117">
        <v>0</v>
      </c>
    </row>
    <row r="118" spans="1:31">
      <c r="A118" s="29" t="s">
        <v>74</v>
      </c>
      <c r="B118" s="17" t="s">
        <v>408</v>
      </c>
      <c r="C118" s="30" t="s">
        <v>405</v>
      </c>
      <c r="D118" s="1">
        <v>35</v>
      </c>
      <c r="E118" s="35">
        <v>33336</v>
      </c>
      <c r="F118" s="30" t="s">
        <v>91</v>
      </c>
      <c r="G118" s="17" t="s">
        <v>91</v>
      </c>
      <c r="H118" s="31">
        <v>20900</v>
      </c>
      <c r="I118" s="31">
        <v>54000</v>
      </c>
      <c r="J118" s="1">
        <v>0</v>
      </c>
      <c r="K118" s="28">
        <v>44</v>
      </c>
      <c r="L118" s="1" t="str" cm="1">
        <f t="array" ref="L118">_xlfn.IFS(Tabela6[[#This Row],[qtde_batalhas]]&lt;=15,"Baixo",Tabela6[[#This Row],[qtde_batalhas]]&gt;=30,"Alto",Tabela6[[#This Row],[qtde_batalhas]]&lt;30,"Médio")</f>
        <v>Alto</v>
      </c>
      <c r="M118" s="31">
        <v>18000</v>
      </c>
      <c r="O118" t="s">
        <v>75</v>
      </c>
      <c r="P118" t="str">
        <f t="shared" si="1"/>
        <v>Null</v>
      </c>
      <c r="U118" t="s">
        <v>271</v>
      </c>
      <c r="V118" t="str">
        <f>TEXT(U118,"000\.000\.000\-00")</f>
        <v>000.000.058-00</v>
      </c>
      <c r="X118" s="15" t="s">
        <v>243</v>
      </c>
      <c r="Z118" s="26" t="s">
        <v>409</v>
      </c>
      <c r="AA118">
        <v>20900</v>
      </c>
      <c r="AC118" s="25">
        <v>54000</v>
      </c>
      <c r="AD118">
        <v>54000</v>
      </c>
      <c r="AE118">
        <v>54000</v>
      </c>
    </row>
    <row r="119" spans="1:31">
      <c r="A119" s="29" t="s">
        <v>78</v>
      </c>
      <c r="B119" s="17" t="s">
        <v>410</v>
      </c>
      <c r="C119" s="30" t="s">
        <v>411</v>
      </c>
      <c r="D119" s="1">
        <v>33</v>
      </c>
      <c r="E119" s="35">
        <v>33989</v>
      </c>
      <c r="F119" s="30" t="s">
        <v>91</v>
      </c>
      <c r="G119" s="17" t="s">
        <v>91</v>
      </c>
      <c r="H119" s="31">
        <v>23400</v>
      </c>
      <c r="I119" s="31">
        <v>59000</v>
      </c>
      <c r="J119" s="1" t="s">
        <v>412</v>
      </c>
      <c r="K119" s="28">
        <v>35</v>
      </c>
      <c r="L119" s="1" t="str" cm="1">
        <f t="array" ref="L119">_xlfn.IFS(Tabela6[[#This Row],[qtde_batalhas]]&lt;=15,"Baixo",Tabela6[[#This Row],[qtde_batalhas]]&gt;=30,"Alto",Tabela6[[#This Row],[qtde_batalhas]]&lt;30,"Médio")</f>
        <v>Alto</v>
      </c>
      <c r="M119" s="31">
        <v>39000</v>
      </c>
      <c r="O119" t="s">
        <v>75</v>
      </c>
      <c r="P119" t="str">
        <f t="shared" si="1"/>
        <v>Null</v>
      </c>
      <c r="U119" t="s">
        <v>413</v>
      </c>
      <c r="V119" t="str">
        <f>TEXT(U119,"000\.000\.000\-00")</f>
        <v>000.000.059-00</v>
      </c>
      <c r="X119" s="15" t="s">
        <v>231</v>
      </c>
      <c r="Z119" s="26">
        <v>23400</v>
      </c>
      <c r="AA119">
        <v>23400</v>
      </c>
      <c r="AC119" s="24">
        <v>59000</v>
      </c>
      <c r="AD119">
        <v>59000</v>
      </c>
      <c r="AE119">
        <v>59000</v>
      </c>
    </row>
    <row r="120" spans="1:31">
      <c r="A120" s="29" t="s">
        <v>74</v>
      </c>
      <c r="B120" s="17" t="s">
        <v>414</v>
      </c>
      <c r="C120" s="32" t="s">
        <v>75</v>
      </c>
      <c r="D120" s="1">
        <v>24</v>
      </c>
      <c r="E120" s="35" t="s">
        <v>75</v>
      </c>
      <c r="F120" s="17" t="s">
        <v>135</v>
      </c>
      <c r="G120" s="17" t="s">
        <v>136</v>
      </c>
      <c r="H120" s="31">
        <v>17000</v>
      </c>
      <c r="I120" s="31">
        <v>41000</v>
      </c>
      <c r="J120" s="1" t="s">
        <v>50</v>
      </c>
      <c r="K120" s="28">
        <v>37</v>
      </c>
      <c r="L120" s="1" t="str" cm="1">
        <f t="array" ref="L120">_xlfn.IFS(Tabela6[[#This Row],[qtde_batalhas]]&lt;=15,"Baixo",Tabela6[[#This Row],[qtde_batalhas]]&gt;=30,"Alto",Tabela6[[#This Row],[qtde_batalhas]]&lt;30,"Médio")</f>
        <v>Alto</v>
      </c>
      <c r="M120" s="31">
        <v>33000</v>
      </c>
      <c r="O120" t="s">
        <v>136</v>
      </c>
      <c r="P120" t="str">
        <f t="shared" si="1"/>
        <v>Terras Da Coroa</v>
      </c>
      <c r="U120" t="s">
        <v>404</v>
      </c>
      <c r="V120" t="str">
        <f>TEXT(U120,"000\.000\.000\-00")</f>
        <v>000.000.060-00</v>
      </c>
      <c r="X120" s="15" t="s">
        <v>156</v>
      </c>
      <c r="Z120" s="26">
        <v>17000</v>
      </c>
      <c r="AA120">
        <v>17000</v>
      </c>
      <c r="AC120" s="25">
        <v>41000</v>
      </c>
      <c r="AD120">
        <v>41000</v>
      </c>
      <c r="AE120">
        <v>41000</v>
      </c>
    </row>
    <row r="121" spans="1:31">
      <c r="A121" s="29" t="s">
        <v>74</v>
      </c>
      <c r="B121" s="17" t="s">
        <v>415</v>
      </c>
      <c r="C121" s="30" t="s">
        <v>416</v>
      </c>
      <c r="D121" s="1">
        <v>33</v>
      </c>
      <c r="E121" s="35">
        <v>34021</v>
      </c>
      <c r="F121" s="30" t="s">
        <v>91</v>
      </c>
      <c r="G121" s="17" t="s">
        <v>91</v>
      </c>
      <c r="H121" s="31" t="s">
        <v>75</v>
      </c>
      <c r="I121" s="31">
        <v>73500</v>
      </c>
      <c r="J121" s="1" t="s">
        <v>50</v>
      </c>
      <c r="K121" s="28">
        <v>33</v>
      </c>
      <c r="L121" s="1" t="str" cm="1">
        <f t="array" ref="L121">_xlfn.IFS(Tabela6[[#This Row],[qtde_batalhas]]&lt;=15,"Baixo",Tabela6[[#This Row],[qtde_batalhas]]&gt;=30,"Alto",Tabela6[[#This Row],[qtde_batalhas]]&lt;30,"Médio")</f>
        <v>Alto</v>
      </c>
      <c r="M121" s="31">
        <v>95000</v>
      </c>
      <c r="O121" t="s">
        <v>75</v>
      </c>
      <c r="P121" t="str">
        <f t="shared" si="1"/>
        <v>Null</v>
      </c>
      <c r="U121" t="s">
        <v>417</v>
      </c>
      <c r="V121" t="str">
        <f>TEXT(U121,"000\.000\.000\-00")</f>
        <v>000.000.061-00</v>
      </c>
      <c r="X121" s="15" t="s">
        <v>231</v>
      </c>
      <c r="AA121" t="s">
        <v>75</v>
      </c>
      <c r="AC121" s="24">
        <v>73500</v>
      </c>
      <c r="AD121">
        <v>73500</v>
      </c>
      <c r="AE121">
        <v>73500</v>
      </c>
    </row>
    <row r="122" spans="1:31">
      <c r="A122" s="29" t="s">
        <v>78</v>
      </c>
      <c r="B122" s="17" t="s">
        <v>418</v>
      </c>
      <c r="C122" s="30" t="s">
        <v>419</v>
      </c>
      <c r="D122" s="1">
        <v>66</v>
      </c>
      <c r="E122" s="35">
        <v>22039</v>
      </c>
      <c r="F122" s="30" t="s">
        <v>91</v>
      </c>
      <c r="G122" s="17" t="s">
        <v>91</v>
      </c>
      <c r="H122" s="31">
        <v>14300</v>
      </c>
      <c r="I122" s="31" t="s">
        <v>75</v>
      </c>
      <c r="J122" s="1" t="s">
        <v>50</v>
      </c>
      <c r="K122" s="28">
        <v>28</v>
      </c>
      <c r="L122" s="1" t="str" cm="1">
        <f t="array" ref="L122">_xlfn.IFS(Tabela6[[#This Row],[qtde_batalhas]]&lt;=15,"Baixo",Tabela6[[#This Row],[qtde_batalhas]]&gt;=30,"Alto",Tabela6[[#This Row],[qtde_batalhas]]&lt;30,"Médio")</f>
        <v>Médio</v>
      </c>
      <c r="M122" s="31">
        <v>74500</v>
      </c>
      <c r="O122" t="s">
        <v>75</v>
      </c>
      <c r="P122" t="str">
        <f t="shared" si="1"/>
        <v>Null</v>
      </c>
      <c r="U122" t="s">
        <v>238</v>
      </c>
      <c r="V122" t="str">
        <f>TEXT(U122,"000\.000\.000\-00")</f>
        <v>000.000.062-00</v>
      </c>
      <c r="X122" s="15" t="s">
        <v>321</v>
      </c>
      <c r="Z122" s="26" t="s">
        <v>420</v>
      </c>
      <c r="AA122">
        <v>14300</v>
      </c>
      <c r="AC122" s="25" t="s">
        <v>330</v>
      </c>
      <c r="AD122" t="s">
        <v>75</v>
      </c>
      <c r="AE122" t="s">
        <v>75</v>
      </c>
    </row>
    <row r="123" spans="1:31">
      <c r="A123" s="29" t="s">
        <v>78</v>
      </c>
      <c r="B123" s="17" t="s">
        <v>421</v>
      </c>
      <c r="C123" s="30" t="s">
        <v>422</v>
      </c>
      <c r="D123" s="1">
        <v>66</v>
      </c>
      <c r="E123" s="35">
        <v>21873</v>
      </c>
      <c r="F123" s="30" t="s">
        <v>91</v>
      </c>
      <c r="G123" s="17" t="s">
        <v>91</v>
      </c>
      <c r="H123" s="31">
        <v>9900</v>
      </c>
      <c r="I123" s="31" t="s">
        <v>75</v>
      </c>
      <c r="J123" s="1" t="s">
        <v>50</v>
      </c>
      <c r="K123" s="28">
        <v>13</v>
      </c>
      <c r="L123" s="1" t="str" cm="1">
        <f t="array" ref="L123">_xlfn.IFS(Tabela6[[#This Row],[qtde_batalhas]]&lt;=15,"Baixo",Tabela6[[#This Row],[qtde_batalhas]]&gt;=30,"Alto",Tabela6[[#This Row],[qtde_batalhas]]&lt;30,"Médio")</f>
        <v>Baixo</v>
      </c>
      <c r="M123" s="31">
        <v>37000</v>
      </c>
      <c r="O123" t="s">
        <v>75</v>
      </c>
      <c r="P123" t="str">
        <f t="shared" si="1"/>
        <v>Null</v>
      </c>
      <c r="U123" t="s">
        <v>423</v>
      </c>
      <c r="V123" t="str">
        <f>TEXT(U123,"000\.000\.000\-00")</f>
        <v>000.000.065-00</v>
      </c>
      <c r="X123" s="15" t="s">
        <v>317</v>
      </c>
      <c r="Z123" s="26">
        <v>9900</v>
      </c>
      <c r="AA123">
        <v>9900</v>
      </c>
      <c r="AC123" s="24" t="s">
        <v>424</v>
      </c>
      <c r="AD123" t="s">
        <v>75</v>
      </c>
      <c r="AE123" t="s">
        <v>75</v>
      </c>
    </row>
    <row r="124" spans="1:31">
      <c r="A124" s="29" t="s">
        <v>74</v>
      </c>
      <c r="B124" s="17" t="s">
        <v>425</v>
      </c>
      <c r="C124" s="30" t="s">
        <v>426</v>
      </c>
      <c r="D124" s="1">
        <v>27</v>
      </c>
      <c r="E124" s="35">
        <v>36319</v>
      </c>
      <c r="F124" s="30" t="s">
        <v>91</v>
      </c>
      <c r="G124" s="17" t="s">
        <v>91</v>
      </c>
      <c r="H124" s="31">
        <v>28800</v>
      </c>
      <c r="I124" s="31">
        <v>78500</v>
      </c>
      <c r="J124" s="1" t="s">
        <v>50</v>
      </c>
      <c r="K124" s="28">
        <v>2</v>
      </c>
      <c r="L124" s="1" t="str" cm="1">
        <f t="array" ref="L124">_xlfn.IFS(Tabela6[[#This Row],[qtde_batalhas]]&lt;=15,"Baixo",Tabela6[[#This Row],[qtde_batalhas]]&gt;=30,"Alto",Tabela6[[#This Row],[qtde_batalhas]]&lt;30,"Médio")</f>
        <v>Baixo</v>
      </c>
      <c r="M124" s="31">
        <v>53000</v>
      </c>
      <c r="O124" t="s">
        <v>75</v>
      </c>
      <c r="P124" t="str">
        <f t="shared" si="1"/>
        <v>Null</v>
      </c>
      <c r="U124" t="s">
        <v>427</v>
      </c>
      <c r="V124" t="str">
        <f>TEXT(U124,"000\.000\.000\-00")</f>
        <v>000.000.066-00</v>
      </c>
      <c r="X124" s="15" t="s">
        <v>215</v>
      </c>
      <c r="Z124" s="26">
        <v>28800</v>
      </c>
      <c r="AA124">
        <v>28800</v>
      </c>
      <c r="AC124" s="25">
        <v>78500</v>
      </c>
      <c r="AD124">
        <v>78500</v>
      </c>
      <c r="AE124">
        <v>78500</v>
      </c>
    </row>
    <row r="125" spans="1:31">
      <c r="A125" s="29" t="s">
        <v>74</v>
      </c>
      <c r="B125" s="17" t="s">
        <v>428</v>
      </c>
      <c r="C125" s="30" t="s">
        <v>429</v>
      </c>
      <c r="D125" s="1">
        <v>25</v>
      </c>
      <c r="E125" s="35">
        <v>37137</v>
      </c>
      <c r="F125" s="30" t="s">
        <v>91</v>
      </c>
      <c r="G125" s="17" t="s">
        <v>91</v>
      </c>
      <c r="H125" s="31" t="s">
        <v>75</v>
      </c>
      <c r="I125" s="31">
        <v>21000</v>
      </c>
      <c r="J125" s="1" t="s">
        <v>50</v>
      </c>
      <c r="K125" s="28">
        <v>34</v>
      </c>
      <c r="L125" s="1" t="str" cm="1">
        <f t="array" ref="L125">_xlfn.IFS(Tabela6[[#This Row],[qtde_batalhas]]&lt;=15,"Baixo",Tabela6[[#This Row],[qtde_batalhas]]&gt;=30,"Alto",Tabela6[[#This Row],[qtde_batalhas]]&lt;30,"Médio")</f>
        <v>Alto</v>
      </c>
      <c r="M125" s="31">
        <v>7500</v>
      </c>
      <c r="O125" t="s">
        <v>75</v>
      </c>
      <c r="P125" t="str">
        <f t="shared" si="1"/>
        <v>Null</v>
      </c>
      <c r="U125" t="s">
        <v>139</v>
      </c>
      <c r="V125" t="str">
        <f>TEXT(U125,"000\.000\.000\-00")</f>
        <v>000.000.067-00</v>
      </c>
      <c r="X125" s="15" t="s">
        <v>223</v>
      </c>
      <c r="AA125" t="s">
        <v>75</v>
      </c>
      <c r="AC125" s="24">
        <v>21000</v>
      </c>
      <c r="AD125">
        <v>21000</v>
      </c>
      <c r="AE125">
        <v>21000</v>
      </c>
    </row>
    <row r="126" spans="1:31">
      <c r="A126" s="29" t="s">
        <v>74</v>
      </c>
      <c r="B126" s="17" t="s">
        <v>430</v>
      </c>
      <c r="C126" s="30" t="s">
        <v>431</v>
      </c>
      <c r="D126" s="1">
        <v>37</v>
      </c>
      <c r="E126" s="35">
        <v>32412</v>
      </c>
      <c r="F126" s="30" t="s">
        <v>91</v>
      </c>
      <c r="G126" s="17" t="s">
        <v>91</v>
      </c>
      <c r="H126" s="31">
        <v>24700</v>
      </c>
      <c r="I126" s="31">
        <v>23000</v>
      </c>
      <c r="J126" s="1" t="s">
        <v>51</v>
      </c>
      <c r="K126" s="28">
        <v>10</v>
      </c>
      <c r="L126" s="1" t="str" cm="1">
        <f t="array" ref="L126">_xlfn.IFS(Tabela6[[#This Row],[qtde_batalhas]]&lt;=15,"Baixo",Tabela6[[#This Row],[qtde_batalhas]]&gt;=30,"Alto",Tabela6[[#This Row],[qtde_batalhas]]&lt;30,"Médio")</f>
        <v>Baixo</v>
      </c>
      <c r="M126" s="31">
        <v>37500</v>
      </c>
      <c r="O126" t="s">
        <v>75</v>
      </c>
      <c r="P126" t="str">
        <f t="shared" si="1"/>
        <v>Null</v>
      </c>
      <c r="U126" t="s">
        <v>174</v>
      </c>
      <c r="V126" t="str">
        <f>TEXT(U126,"000\.000\.000\-00")</f>
        <v>000.000.070-00</v>
      </c>
      <c r="X126" s="15" t="s">
        <v>231</v>
      </c>
      <c r="Z126" s="26">
        <v>24700</v>
      </c>
      <c r="AA126">
        <v>24700</v>
      </c>
      <c r="AC126" s="25">
        <v>23000</v>
      </c>
      <c r="AD126">
        <v>23000</v>
      </c>
      <c r="AE126">
        <v>23000</v>
      </c>
    </row>
    <row r="127" spans="1:31">
      <c r="A127" s="29" t="s">
        <v>78</v>
      </c>
      <c r="B127" s="17" t="s">
        <v>432</v>
      </c>
      <c r="C127" s="30" t="s">
        <v>433</v>
      </c>
      <c r="D127" s="1">
        <v>47</v>
      </c>
      <c r="E127" s="35">
        <v>29064</v>
      </c>
      <c r="F127" s="30" t="s">
        <v>91</v>
      </c>
      <c r="G127" s="17" t="s">
        <v>91</v>
      </c>
      <c r="H127" s="31">
        <v>13300</v>
      </c>
      <c r="I127" s="31">
        <v>1000</v>
      </c>
      <c r="J127" s="1" t="s">
        <v>51</v>
      </c>
      <c r="K127" s="28">
        <v>24</v>
      </c>
      <c r="L127" s="1" t="str" cm="1">
        <f t="array" ref="L127">_xlfn.IFS(Tabela6[[#This Row],[qtde_batalhas]]&lt;=15,"Baixo",Tabela6[[#This Row],[qtde_batalhas]]&gt;=30,"Alto",Tabela6[[#This Row],[qtde_batalhas]]&lt;30,"Médio")</f>
        <v>Médio</v>
      </c>
      <c r="M127" s="31">
        <v>61500</v>
      </c>
      <c r="O127" t="s">
        <v>75</v>
      </c>
      <c r="P127" t="str">
        <f t="shared" si="1"/>
        <v>Null</v>
      </c>
      <c r="U127" t="s">
        <v>434</v>
      </c>
      <c r="V127" t="str">
        <f>TEXT(U127,"000\.000\.000\-00")</f>
        <v>000.000.071-00</v>
      </c>
      <c r="X127" s="15" t="s">
        <v>101</v>
      </c>
      <c r="Z127" s="26">
        <v>13300</v>
      </c>
      <c r="AA127">
        <v>13300</v>
      </c>
      <c r="AC127" s="24">
        <v>1000</v>
      </c>
      <c r="AD127">
        <v>1000</v>
      </c>
      <c r="AE127">
        <v>1000</v>
      </c>
    </row>
    <row r="128" spans="1:31">
      <c r="A128" s="29" t="s">
        <v>78</v>
      </c>
      <c r="B128" s="17" t="s">
        <v>435</v>
      </c>
      <c r="C128" s="30" t="s">
        <v>436</v>
      </c>
      <c r="D128" s="1">
        <v>63</v>
      </c>
      <c r="E128" s="35">
        <v>22924</v>
      </c>
      <c r="F128" s="30" t="s">
        <v>91</v>
      </c>
      <c r="G128" s="17" t="s">
        <v>91</v>
      </c>
      <c r="H128" s="31">
        <v>29000</v>
      </c>
      <c r="I128" s="31">
        <v>36500</v>
      </c>
      <c r="J128" s="1" t="s">
        <v>50</v>
      </c>
      <c r="K128" s="28">
        <v>38</v>
      </c>
      <c r="L128" s="1" t="str" cm="1">
        <f t="array" ref="L128">_xlfn.IFS(Tabela6[[#This Row],[qtde_batalhas]]&lt;=15,"Baixo",Tabela6[[#This Row],[qtde_batalhas]]&gt;=30,"Alto",Tabela6[[#This Row],[qtde_batalhas]]&lt;30,"Médio")</f>
        <v>Alto</v>
      </c>
      <c r="M128" s="31">
        <v>47000</v>
      </c>
      <c r="O128" t="s">
        <v>75</v>
      </c>
      <c r="P128" t="str">
        <f t="shared" si="1"/>
        <v>Null</v>
      </c>
      <c r="U128" t="s">
        <v>436</v>
      </c>
      <c r="V128" t="str">
        <f>TEXT(U128,"000\.000\.000\-00")</f>
        <v>000.000.073-00</v>
      </c>
      <c r="X128" s="15" t="s">
        <v>156</v>
      </c>
      <c r="Z128" s="26">
        <v>29000</v>
      </c>
      <c r="AA128">
        <v>29000</v>
      </c>
      <c r="AC128" s="25">
        <v>36500</v>
      </c>
      <c r="AD128">
        <v>36500</v>
      </c>
      <c r="AE128">
        <v>36500</v>
      </c>
    </row>
    <row r="129" spans="1:31">
      <c r="A129" s="29" t="s">
        <v>78</v>
      </c>
      <c r="B129" s="17" t="s">
        <v>437</v>
      </c>
      <c r="C129" s="30" t="s">
        <v>417</v>
      </c>
      <c r="D129" s="1">
        <v>58</v>
      </c>
      <c r="E129" s="35">
        <v>24726</v>
      </c>
      <c r="F129" s="30" t="s">
        <v>91</v>
      </c>
      <c r="G129" s="17" t="s">
        <v>91</v>
      </c>
      <c r="H129" s="31">
        <v>20100</v>
      </c>
      <c r="I129" s="31">
        <v>40000</v>
      </c>
      <c r="J129" s="1" t="s">
        <v>50</v>
      </c>
      <c r="K129" s="28">
        <v>16</v>
      </c>
      <c r="L129" s="1" t="str" cm="1">
        <f t="array" ref="L129">_xlfn.IFS(Tabela6[[#This Row],[qtde_batalhas]]&lt;=15,"Baixo",Tabela6[[#This Row],[qtde_batalhas]]&gt;=30,"Alto",Tabela6[[#This Row],[qtde_batalhas]]&lt;30,"Médio")</f>
        <v>Médio</v>
      </c>
      <c r="M129" s="31">
        <v>98500</v>
      </c>
      <c r="O129" t="s">
        <v>75</v>
      </c>
      <c r="P129" t="str">
        <f t="shared" si="1"/>
        <v>Null</v>
      </c>
      <c r="U129" t="s">
        <v>218</v>
      </c>
      <c r="V129" t="str">
        <f>TEXT(U129,"000\.000\.000\-00")</f>
        <v>000.000.074-00</v>
      </c>
      <c r="X129" s="15" t="s">
        <v>321</v>
      </c>
      <c r="Z129" s="26" t="s">
        <v>438</v>
      </c>
      <c r="AA129">
        <v>20100</v>
      </c>
      <c r="AC129" s="24">
        <v>40000</v>
      </c>
      <c r="AD129">
        <v>40000</v>
      </c>
      <c r="AE129">
        <v>40000</v>
      </c>
    </row>
    <row r="130" spans="1:31">
      <c r="A130" s="29" t="s">
        <v>74</v>
      </c>
      <c r="B130" s="17" t="s">
        <v>439</v>
      </c>
      <c r="C130" s="30" t="s">
        <v>440</v>
      </c>
      <c r="D130" s="1">
        <v>69</v>
      </c>
      <c r="E130" s="35" t="s">
        <v>75</v>
      </c>
      <c r="F130" s="17" t="s">
        <v>179</v>
      </c>
      <c r="G130" s="17" t="s">
        <v>180</v>
      </c>
      <c r="H130" s="31">
        <v>11400</v>
      </c>
      <c r="I130" s="31">
        <v>0</v>
      </c>
      <c r="J130" s="1" t="s">
        <v>412</v>
      </c>
      <c r="K130" s="28">
        <v>13</v>
      </c>
      <c r="L130" s="1" t="str" cm="1">
        <f t="array" ref="L130">_xlfn.IFS(Tabela6[[#This Row],[qtde_batalhas]]&lt;=15,"Baixo",Tabela6[[#This Row],[qtde_batalhas]]&gt;=30,"Alto",Tabela6[[#This Row],[qtde_batalhas]]&lt;30,"Médio")</f>
        <v>Baixo</v>
      </c>
      <c r="M130" s="31">
        <v>79000</v>
      </c>
      <c r="O130" t="s">
        <v>441</v>
      </c>
      <c r="P130" t="str">
        <f t="shared" si="1"/>
        <v>Terras Da Tempestade</v>
      </c>
      <c r="U130" t="s">
        <v>442</v>
      </c>
      <c r="V130" t="str">
        <f>TEXT(U130,"000\.000\.000\-00")</f>
        <v>000.000.075-00</v>
      </c>
      <c r="X130" s="15" t="s">
        <v>274</v>
      </c>
      <c r="Z130" s="26">
        <v>11400</v>
      </c>
      <c r="AA130">
        <v>11400</v>
      </c>
      <c r="AC130" s="25">
        <v>0</v>
      </c>
      <c r="AD130">
        <v>0</v>
      </c>
      <c r="AE130">
        <v>0</v>
      </c>
    </row>
    <row r="131" spans="1:31">
      <c r="A131" s="29" t="s">
        <v>74</v>
      </c>
      <c r="B131" s="17" t="s">
        <v>443</v>
      </c>
      <c r="C131" s="30" t="s">
        <v>444</v>
      </c>
      <c r="D131" s="1">
        <v>32</v>
      </c>
      <c r="E131" s="35">
        <v>34299</v>
      </c>
      <c r="F131" s="30" t="s">
        <v>91</v>
      </c>
      <c r="G131" s="17" t="s">
        <v>91</v>
      </c>
      <c r="H131" s="31">
        <v>30000</v>
      </c>
      <c r="I131" s="31" t="s">
        <v>75</v>
      </c>
      <c r="J131" s="1" t="s">
        <v>50</v>
      </c>
      <c r="K131" s="28">
        <v>5</v>
      </c>
      <c r="L131" s="1" t="str" cm="1">
        <f t="array" ref="L131">_xlfn.IFS(Tabela6[[#This Row],[qtde_batalhas]]&lt;=15,"Baixo",Tabela6[[#This Row],[qtde_batalhas]]&gt;=30,"Alto",Tabela6[[#This Row],[qtde_batalhas]]&lt;30,"Médio")</f>
        <v>Baixo</v>
      </c>
      <c r="M131" s="31">
        <v>65000</v>
      </c>
      <c r="O131" t="s">
        <v>75</v>
      </c>
      <c r="P131" t="str">
        <f t="shared" si="1"/>
        <v>Null</v>
      </c>
      <c r="U131" t="s">
        <v>186</v>
      </c>
      <c r="V131" t="str">
        <f>TEXT(U131,"000\.000\.000\-00")</f>
        <v>000.000.076-00</v>
      </c>
      <c r="X131" s="15" t="s">
        <v>215</v>
      </c>
      <c r="Z131" s="26">
        <v>30000</v>
      </c>
      <c r="AA131">
        <v>30000</v>
      </c>
      <c r="AC131" s="24"/>
      <c r="AD131" t="s">
        <v>75</v>
      </c>
      <c r="AE131" t="s">
        <v>75</v>
      </c>
    </row>
    <row r="132" spans="1:31">
      <c r="A132" s="29" t="s">
        <v>74</v>
      </c>
      <c r="B132" s="17" t="s">
        <v>445</v>
      </c>
      <c r="C132" s="30" t="s">
        <v>446</v>
      </c>
      <c r="D132" s="1" t="s">
        <v>75</v>
      </c>
      <c r="E132" s="35">
        <v>32796</v>
      </c>
      <c r="F132" s="17" t="s">
        <v>135</v>
      </c>
      <c r="G132" s="17" t="s">
        <v>136</v>
      </c>
      <c r="H132" s="31">
        <v>28600</v>
      </c>
      <c r="I132" s="31" t="s">
        <v>75</v>
      </c>
      <c r="J132" s="1" t="s">
        <v>50</v>
      </c>
      <c r="K132" s="28">
        <v>19</v>
      </c>
      <c r="L132" s="1" t="str" cm="1">
        <f t="array" ref="L132">_xlfn.IFS(Tabela6[[#This Row],[qtde_batalhas]]&lt;=15,"Baixo",Tabela6[[#This Row],[qtde_batalhas]]&gt;=30,"Alto",Tabela6[[#This Row],[qtde_batalhas]]&lt;30,"Médio")</f>
        <v>Médio</v>
      </c>
      <c r="M132" s="31">
        <v>90000</v>
      </c>
      <c r="O132" t="s">
        <v>447</v>
      </c>
      <c r="P132" t="str">
        <f t="shared" ref="P132:P195" si="2">PROPER(O132)</f>
        <v>Terras Da Coroa</v>
      </c>
      <c r="U132" t="s">
        <v>448</v>
      </c>
      <c r="V132" t="str">
        <f>TEXT(U132,"000\.000\.000\-00")</f>
        <v>000.000.080-00</v>
      </c>
      <c r="X132" s="15" t="s">
        <v>449</v>
      </c>
      <c r="Y132" t="e" cm="1" vm="1">
        <f t="array" aca="1" ref="Y132" ca="1">_xlfn.TEXTSPLIT(X132," | ")</f>
        <v>#VALUE!</v>
      </c>
      <c r="Z132" s="26">
        <v>28600</v>
      </c>
      <c r="AA132">
        <v>28600</v>
      </c>
      <c r="AC132" s="25"/>
      <c r="AD132" t="s">
        <v>75</v>
      </c>
      <c r="AE132" t="s">
        <v>75</v>
      </c>
    </row>
    <row r="133" spans="1:31">
      <c r="A133" s="29" t="s">
        <v>74</v>
      </c>
      <c r="B133" s="17" t="s">
        <v>450</v>
      </c>
      <c r="C133" s="30" t="s">
        <v>451</v>
      </c>
      <c r="D133" s="1" t="s">
        <v>452</v>
      </c>
      <c r="E133" s="35">
        <v>37491</v>
      </c>
      <c r="F133" s="17" t="s">
        <v>226</v>
      </c>
      <c r="G133" s="17" t="s">
        <v>226</v>
      </c>
      <c r="H133" s="31">
        <v>8900</v>
      </c>
      <c r="I133" s="31">
        <v>19500</v>
      </c>
      <c r="J133" s="1" t="s">
        <v>51</v>
      </c>
      <c r="K133" s="28">
        <v>33</v>
      </c>
      <c r="L133" s="1" t="str" cm="1">
        <f t="array" ref="L133">_xlfn.IFS(Tabela6[[#This Row],[qtde_batalhas]]&lt;=15,"Baixo",Tabela6[[#This Row],[qtde_batalhas]]&gt;=30,"Alto",Tabela6[[#This Row],[qtde_batalhas]]&lt;30,"Médio")</f>
        <v>Alto</v>
      </c>
      <c r="M133" s="31">
        <v>96500</v>
      </c>
      <c r="O133" t="s">
        <v>453</v>
      </c>
      <c r="P133" t="str">
        <f t="shared" si="2"/>
        <v>Dorne</v>
      </c>
      <c r="U133" t="s">
        <v>454</v>
      </c>
      <c r="V133" t="str">
        <f>TEXT(U133,"000\.000\.000\-00")</f>
        <v>000.000.081-00</v>
      </c>
      <c r="X133" s="15" t="s">
        <v>246</v>
      </c>
      <c r="Z133" s="26">
        <v>8900</v>
      </c>
      <c r="AA133">
        <v>8900</v>
      </c>
      <c r="AC133" s="24">
        <v>19500</v>
      </c>
      <c r="AD133">
        <v>19500</v>
      </c>
      <c r="AE133">
        <v>19500</v>
      </c>
    </row>
    <row r="134" spans="1:31">
      <c r="A134" s="29" t="s">
        <v>74</v>
      </c>
      <c r="B134" s="17" t="s">
        <v>455</v>
      </c>
      <c r="C134" s="30" t="s">
        <v>456</v>
      </c>
      <c r="D134" s="1">
        <v>41</v>
      </c>
      <c r="E134" s="35">
        <v>30944</v>
      </c>
      <c r="F134" s="30" t="s">
        <v>91</v>
      </c>
      <c r="G134" s="17" t="s">
        <v>91</v>
      </c>
      <c r="H134" s="31">
        <v>20000</v>
      </c>
      <c r="I134" s="31">
        <v>20500</v>
      </c>
      <c r="J134" s="1" t="s">
        <v>51</v>
      </c>
      <c r="K134" s="28">
        <v>8</v>
      </c>
      <c r="L134" s="1" t="str" cm="1">
        <f t="array" ref="L134">_xlfn.IFS(Tabela6[[#This Row],[qtde_batalhas]]&lt;=15,"Baixo",Tabela6[[#This Row],[qtde_batalhas]]&gt;=30,"Alto",Tabela6[[#This Row],[qtde_batalhas]]&lt;30,"Médio")</f>
        <v>Baixo</v>
      </c>
      <c r="M134" s="31">
        <v>44000</v>
      </c>
      <c r="O134" t="s">
        <v>75</v>
      </c>
      <c r="P134" t="str">
        <f t="shared" si="2"/>
        <v>Null</v>
      </c>
      <c r="U134" t="s">
        <v>118</v>
      </c>
      <c r="V134" t="str">
        <f>TEXT(U134,"000\.000\.000\-00")</f>
        <v>000.000.085-00</v>
      </c>
      <c r="X134" s="15" t="s">
        <v>115</v>
      </c>
      <c r="Z134" s="26" t="s">
        <v>457</v>
      </c>
      <c r="AA134">
        <v>20000</v>
      </c>
      <c r="AC134" s="25">
        <v>20500</v>
      </c>
      <c r="AD134">
        <v>20500</v>
      </c>
      <c r="AE134">
        <v>20500</v>
      </c>
    </row>
    <row r="135" spans="1:31">
      <c r="A135" s="29" t="s">
        <v>74</v>
      </c>
      <c r="B135" s="17" t="s">
        <v>458</v>
      </c>
      <c r="C135" s="30" t="s">
        <v>459</v>
      </c>
      <c r="D135" s="1" t="s">
        <v>460</v>
      </c>
      <c r="E135" s="35">
        <v>26161</v>
      </c>
      <c r="F135" s="17" t="s">
        <v>81</v>
      </c>
      <c r="G135" s="17" t="s">
        <v>91</v>
      </c>
      <c r="H135" s="31">
        <v>12200</v>
      </c>
      <c r="I135" s="31" t="s">
        <v>75</v>
      </c>
      <c r="J135" s="1" t="s">
        <v>349</v>
      </c>
      <c r="K135" s="28">
        <v>33</v>
      </c>
      <c r="L135" s="1" t="str" cm="1">
        <f t="array" ref="L135">_xlfn.IFS(Tabela6[[#This Row],[qtde_batalhas]]&lt;=15,"Baixo",Tabela6[[#This Row],[qtde_batalhas]]&gt;=30,"Alto",Tabela6[[#This Row],[qtde_batalhas]]&lt;30,"Médio")</f>
        <v>Alto</v>
      </c>
      <c r="M135" s="31">
        <v>78000</v>
      </c>
      <c r="O135" t="s">
        <v>75</v>
      </c>
      <c r="P135" t="str">
        <f t="shared" si="2"/>
        <v>Null</v>
      </c>
      <c r="U135" t="s">
        <v>461</v>
      </c>
      <c r="V135" t="str">
        <f>TEXT(U135,"000\.000\.000\-00")</f>
        <v>000.000.087-00</v>
      </c>
      <c r="X135" s="15" t="s">
        <v>215</v>
      </c>
      <c r="Z135" s="26">
        <v>12200</v>
      </c>
      <c r="AA135">
        <v>12200</v>
      </c>
      <c r="AC135" s="24" t="s">
        <v>462</v>
      </c>
      <c r="AD135" t="s">
        <v>75</v>
      </c>
      <c r="AE135" t="s">
        <v>75</v>
      </c>
    </row>
    <row r="136" spans="1:31">
      <c r="A136" s="29" t="s">
        <v>74</v>
      </c>
      <c r="B136" s="17" t="s">
        <v>463</v>
      </c>
      <c r="C136" s="30" t="s">
        <v>464</v>
      </c>
      <c r="D136" s="1">
        <v>67</v>
      </c>
      <c r="E136" s="35">
        <v>21689</v>
      </c>
      <c r="F136" s="17" t="s">
        <v>156</v>
      </c>
      <c r="G136" s="17" t="s">
        <v>116</v>
      </c>
      <c r="H136" s="31">
        <v>10700</v>
      </c>
      <c r="I136" s="31">
        <v>9000</v>
      </c>
      <c r="J136" s="1" t="s">
        <v>50</v>
      </c>
      <c r="K136" s="28">
        <v>37</v>
      </c>
      <c r="L136" s="1" t="str" cm="1">
        <f t="array" ref="L136">_xlfn.IFS(Tabela6[[#This Row],[qtde_batalhas]]&lt;=15,"Baixo",Tabela6[[#This Row],[qtde_batalhas]]&gt;=30,"Alto",Tabela6[[#This Row],[qtde_batalhas]]&lt;30,"Médio")</f>
        <v>Alto</v>
      </c>
      <c r="M136" s="31">
        <v>53000</v>
      </c>
      <c r="O136" t="s">
        <v>116</v>
      </c>
      <c r="P136" t="str">
        <f t="shared" si="2"/>
        <v>Essos</v>
      </c>
      <c r="U136" t="s">
        <v>465</v>
      </c>
      <c r="V136" t="str">
        <f>TEXT(U136,"000\.000\.000\-00")</f>
        <v>000.000.088-00</v>
      </c>
      <c r="X136" s="15" t="s">
        <v>231</v>
      </c>
      <c r="Z136" s="26">
        <v>10700</v>
      </c>
      <c r="AA136">
        <v>10700</v>
      </c>
      <c r="AC136" s="25">
        <v>9000</v>
      </c>
      <c r="AD136">
        <v>9000</v>
      </c>
      <c r="AE136">
        <v>9000</v>
      </c>
    </row>
    <row r="137" spans="1:31">
      <c r="A137" s="29" t="s">
        <v>74</v>
      </c>
      <c r="B137" s="17" t="s">
        <v>466</v>
      </c>
      <c r="C137" s="30" t="s">
        <v>467</v>
      </c>
      <c r="D137" s="1">
        <v>65</v>
      </c>
      <c r="E137" s="35">
        <v>22297</v>
      </c>
      <c r="F137" s="30" t="s">
        <v>91</v>
      </c>
      <c r="G137" s="17" t="s">
        <v>91</v>
      </c>
      <c r="H137" s="31">
        <v>27300</v>
      </c>
      <c r="I137" s="31">
        <v>48500</v>
      </c>
      <c r="J137" s="1" t="s">
        <v>50</v>
      </c>
      <c r="K137" s="28">
        <v>29</v>
      </c>
      <c r="L137" s="1" t="str" cm="1">
        <f t="array" ref="L137">_xlfn.IFS(Tabela6[[#This Row],[qtde_batalhas]]&lt;=15,"Baixo",Tabela6[[#This Row],[qtde_batalhas]]&gt;=30,"Alto",Tabela6[[#This Row],[qtde_batalhas]]&lt;30,"Médio")</f>
        <v>Médio</v>
      </c>
      <c r="M137" s="31">
        <v>94000</v>
      </c>
      <c r="O137" t="s">
        <v>75</v>
      </c>
      <c r="P137" t="str">
        <f t="shared" si="2"/>
        <v>Null</v>
      </c>
      <c r="U137" t="s">
        <v>468</v>
      </c>
      <c r="V137" t="str">
        <f>TEXT(U137,"000\.000\.000\-00")</f>
        <v>000.000.090-00</v>
      </c>
      <c r="X137" s="15" t="s">
        <v>246</v>
      </c>
      <c r="Z137" s="26">
        <v>27300</v>
      </c>
      <c r="AA137">
        <v>27300</v>
      </c>
      <c r="AC137" s="24">
        <v>48500</v>
      </c>
      <c r="AD137">
        <v>48500</v>
      </c>
      <c r="AE137">
        <v>48500</v>
      </c>
    </row>
    <row r="138" spans="1:31">
      <c r="A138" s="29" t="s">
        <v>74</v>
      </c>
      <c r="B138" s="17" t="s">
        <v>469</v>
      </c>
      <c r="C138" s="30" t="s">
        <v>470</v>
      </c>
      <c r="D138" s="1">
        <v>65</v>
      </c>
      <c r="E138" s="35">
        <v>22314</v>
      </c>
      <c r="F138" s="30" t="s">
        <v>91</v>
      </c>
      <c r="G138" s="17" t="s">
        <v>91</v>
      </c>
      <c r="H138" s="31">
        <v>6100</v>
      </c>
      <c r="I138" s="31">
        <v>40000</v>
      </c>
      <c r="J138" s="1" t="s">
        <v>50</v>
      </c>
      <c r="K138" s="28">
        <v>13</v>
      </c>
      <c r="L138" s="1" t="str" cm="1">
        <f t="array" ref="L138">_xlfn.IFS(Tabela6[[#This Row],[qtde_batalhas]]&lt;=15,"Baixo",Tabela6[[#This Row],[qtde_batalhas]]&gt;=30,"Alto",Tabela6[[#This Row],[qtde_batalhas]]&lt;30,"Médio")</f>
        <v>Baixo</v>
      </c>
      <c r="M138" s="31">
        <v>22500</v>
      </c>
      <c r="O138" t="s">
        <v>75</v>
      </c>
      <c r="P138" t="str">
        <f t="shared" si="2"/>
        <v>Null</v>
      </c>
      <c r="U138" t="s">
        <v>431</v>
      </c>
      <c r="V138" t="str">
        <f>TEXT(U138,"000\.000\.000\-00")</f>
        <v>000.000.091-00</v>
      </c>
      <c r="X138" s="15" t="s">
        <v>231</v>
      </c>
      <c r="Z138" s="26">
        <v>6100</v>
      </c>
      <c r="AA138">
        <v>6100</v>
      </c>
      <c r="AC138" s="25">
        <v>40000</v>
      </c>
      <c r="AD138">
        <v>40000</v>
      </c>
      <c r="AE138">
        <v>40000</v>
      </c>
    </row>
    <row r="139" spans="1:31">
      <c r="A139" s="29" t="s">
        <v>74</v>
      </c>
      <c r="B139" s="17" t="s">
        <v>471</v>
      </c>
      <c r="C139" s="30" t="s">
        <v>472</v>
      </c>
      <c r="D139" s="1">
        <v>20</v>
      </c>
      <c r="E139" s="35">
        <v>38678</v>
      </c>
      <c r="F139" s="17" t="s">
        <v>115</v>
      </c>
      <c r="G139" s="17" t="s">
        <v>116</v>
      </c>
      <c r="H139" s="31">
        <v>9300</v>
      </c>
      <c r="I139" s="31">
        <v>35000</v>
      </c>
      <c r="J139" s="1" t="s">
        <v>50</v>
      </c>
      <c r="K139" s="28">
        <v>5</v>
      </c>
      <c r="L139" s="1" t="str" cm="1">
        <f t="array" ref="L139">_xlfn.IFS(Tabela6[[#This Row],[qtde_batalhas]]&lt;=15,"Baixo",Tabela6[[#This Row],[qtde_batalhas]]&gt;=30,"Alto",Tabela6[[#This Row],[qtde_batalhas]]&lt;30,"Médio")</f>
        <v>Baixo</v>
      </c>
      <c r="M139" s="31">
        <v>10500</v>
      </c>
      <c r="O139" t="s">
        <v>116</v>
      </c>
      <c r="P139" t="str">
        <f t="shared" si="2"/>
        <v>Essos</v>
      </c>
      <c r="U139" t="s">
        <v>296</v>
      </c>
      <c r="V139" t="str">
        <f>TEXT(U139,"000\.000\.000\-00")</f>
        <v>000.000.092-00</v>
      </c>
      <c r="X139" s="15" t="s">
        <v>219</v>
      </c>
      <c r="Z139" s="26">
        <v>9300</v>
      </c>
      <c r="AA139">
        <v>9300</v>
      </c>
      <c r="AC139" s="24">
        <v>35000</v>
      </c>
      <c r="AD139">
        <v>35000</v>
      </c>
      <c r="AE139">
        <v>35000</v>
      </c>
    </row>
    <row r="140" spans="1:31">
      <c r="A140" s="29" t="s">
        <v>74</v>
      </c>
      <c r="B140" s="17" t="s">
        <v>473</v>
      </c>
      <c r="C140" s="30" t="s">
        <v>454</v>
      </c>
      <c r="D140" s="1">
        <v>59</v>
      </c>
      <c r="E140" s="35">
        <v>24362</v>
      </c>
      <c r="F140" s="30" t="s">
        <v>91</v>
      </c>
      <c r="G140" s="17" t="s">
        <v>91</v>
      </c>
      <c r="H140" s="31">
        <v>18900</v>
      </c>
      <c r="I140" s="31">
        <v>1000</v>
      </c>
      <c r="J140" s="1" t="s">
        <v>412</v>
      </c>
      <c r="K140" s="28">
        <v>42</v>
      </c>
      <c r="L140" s="1" t="str" cm="1">
        <f t="array" ref="L140">_xlfn.IFS(Tabela6[[#This Row],[qtde_batalhas]]&lt;=15,"Baixo",Tabela6[[#This Row],[qtde_batalhas]]&gt;=30,"Alto",Tabela6[[#This Row],[qtde_batalhas]]&lt;30,"Médio")</f>
        <v>Alto</v>
      </c>
      <c r="M140" s="31">
        <v>16500</v>
      </c>
      <c r="O140" t="s">
        <v>75</v>
      </c>
      <c r="P140" t="str">
        <f t="shared" si="2"/>
        <v>Null</v>
      </c>
      <c r="U140" t="s">
        <v>354</v>
      </c>
      <c r="V140" t="str">
        <f>TEXT(U140,"000\.000\.000\-00")</f>
        <v>000.000.093-00</v>
      </c>
      <c r="X140" s="15" t="s">
        <v>101</v>
      </c>
      <c r="Z140" s="26">
        <v>18900</v>
      </c>
      <c r="AA140">
        <v>18900</v>
      </c>
      <c r="AC140" s="25">
        <v>1000</v>
      </c>
      <c r="AD140">
        <v>1000</v>
      </c>
      <c r="AE140">
        <v>1000</v>
      </c>
    </row>
    <row r="141" spans="1:31">
      <c r="A141" s="29" t="s">
        <v>74</v>
      </c>
      <c r="B141" s="17" t="s">
        <v>474</v>
      </c>
      <c r="C141" s="30" t="s">
        <v>475</v>
      </c>
      <c r="D141" s="1" t="s">
        <v>75</v>
      </c>
      <c r="E141" s="35">
        <v>36759</v>
      </c>
      <c r="F141" s="17" t="s">
        <v>226</v>
      </c>
      <c r="G141" s="17" t="s">
        <v>226</v>
      </c>
      <c r="H141" s="31">
        <v>23200</v>
      </c>
      <c r="I141" s="31">
        <v>54500</v>
      </c>
      <c r="J141" s="1">
        <v>1</v>
      </c>
      <c r="K141" s="28">
        <v>26</v>
      </c>
      <c r="L141" s="1" t="str" cm="1">
        <f t="array" ref="L141">_xlfn.IFS(Tabela6[[#This Row],[qtde_batalhas]]&lt;=15,"Baixo",Tabela6[[#This Row],[qtde_batalhas]]&gt;=30,"Alto",Tabela6[[#This Row],[qtde_batalhas]]&lt;30,"Médio")</f>
        <v>Médio</v>
      </c>
      <c r="M141" s="31">
        <v>75000</v>
      </c>
      <c r="O141" t="s">
        <v>226</v>
      </c>
      <c r="P141" t="str">
        <f t="shared" si="2"/>
        <v>Dorne</v>
      </c>
      <c r="U141" t="s">
        <v>332</v>
      </c>
      <c r="V141" t="str">
        <f>TEXT(U141,"000\.000\.000\-00")</f>
        <v>000.000.094-00</v>
      </c>
      <c r="X141" s="14" t="s">
        <v>476</v>
      </c>
      <c r="Y141" t="e" cm="1" vm="1">
        <f t="array" aca="1" ref="Y141" ca="1">_xlfn.TEXTSPLIT(X141," | ")</f>
        <v>#VALUE!</v>
      </c>
      <c r="Z141" s="26">
        <v>23200</v>
      </c>
      <c r="AA141">
        <v>23200</v>
      </c>
      <c r="AC141" s="24">
        <v>54500</v>
      </c>
      <c r="AD141">
        <v>54500</v>
      </c>
      <c r="AE141">
        <v>54500</v>
      </c>
    </row>
    <row r="142" spans="1:31">
      <c r="A142" s="29" t="s">
        <v>74</v>
      </c>
      <c r="B142" s="17" t="s">
        <v>477</v>
      </c>
      <c r="C142" s="30" t="s">
        <v>478</v>
      </c>
      <c r="D142" s="1">
        <v>29</v>
      </c>
      <c r="E142" s="35">
        <v>35600</v>
      </c>
      <c r="F142" s="30" t="s">
        <v>91</v>
      </c>
      <c r="G142" s="17" t="s">
        <v>91</v>
      </c>
      <c r="H142" s="31">
        <v>10000</v>
      </c>
      <c r="I142" s="31">
        <v>25500</v>
      </c>
      <c r="J142" s="1" t="s">
        <v>50</v>
      </c>
      <c r="K142" s="28">
        <v>15</v>
      </c>
      <c r="L142" s="1" t="str" cm="1">
        <f t="array" ref="L142">_xlfn.IFS(Tabela6[[#This Row],[qtde_batalhas]]&lt;=15,"Baixo",Tabela6[[#This Row],[qtde_batalhas]]&gt;=30,"Alto",Tabela6[[#This Row],[qtde_batalhas]]&lt;30,"Médio")</f>
        <v>Baixo</v>
      </c>
      <c r="M142" s="31">
        <v>66000</v>
      </c>
      <c r="O142" t="s">
        <v>75</v>
      </c>
      <c r="P142" t="str">
        <f t="shared" si="2"/>
        <v>Null</v>
      </c>
      <c r="U142" t="s">
        <v>479</v>
      </c>
      <c r="V142" t="str">
        <f>TEXT(U142,"000\.000\.000\-00")</f>
        <v>000.000.095-00</v>
      </c>
      <c r="X142" s="15" t="s">
        <v>317</v>
      </c>
      <c r="Z142" s="26">
        <v>10000</v>
      </c>
      <c r="AA142">
        <v>10000</v>
      </c>
      <c r="AC142" s="25">
        <v>25500</v>
      </c>
      <c r="AD142">
        <v>25500</v>
      </c>
      <c r="AE142">
        <v>25500</v>
      </c>
    </row>
    <row r="143" spans="1:31">
      <c r="A143" s="29" t="s">
        <v>74</v>
      </c>
      <c r="B143" s="17" t="s">
        <v>480</v>
      </c>
      <c r="C143" s="30" t="s">
        <v>481</v>
      </c>
      <c r="D143" s="1">
        <v>52</v>
      </c>
      <c r="E143" s="35">
        <v>27088</v>
      </c>
      <c r="F143" s="30" t="s">
        <v>91</v>
      </c>
      <c r="G143" s="17" t="s">
        <v>91</v>
      </c>
      <c r="H143" s="31">
        <v>24900</v>
      </c>
      <c r="I143" s="31">
        <v>0</v>
      </c>
      <c r="J143" s="1" t="s">
        <v>50</v>
      </c>
      <c r="K143" s="28">
        <v>24</v>
      </c>
      <c r="L143" s="1" t="str" cm="1">
        <f t="array" ref="L143">_xlfn.IFS(Tabela6[[#This Row],[qtde_batalhas]]&lt;=15,"Baixo",Tabela6[[#This Row],[qtde_batalhas]]&gt;=30,"Alto",Tabela6[[#This Row],[qtde_batalhas]]&lt;30,"Médio")</f>
        <v>Médio</v>
      </c>
      <c r="M143" s="31">
        <v>16000</v>
      </c>
      <c r="O143" t="s">
        <v>75</v>
      </c>
      <c r="P143" t="str">
        <f t="shared" si="2"/>
        <v>Null</v>
      </c>
      <c r="U143" t="s">
        <v>482</v>
      </c>
      <c r="V143" t="str">
        <f>TEXT(U143,"000\.000\.000\-00")</f>
        <v>000.000.097-00</v>
      </c>
      <c r="X143" s="15" t="s">
        <v>215</v>
      </c>
      <c r="Z143" s="26">
        <v>24900</v>
      </c>
      <c r="AA143">
        <v>24900</v>
      </c>
      <c r="AC143" s="24">
        <v>0</v>
      </c>
      <c r="AD143">
        <v>0</v>
      </c>
      <c r="AE143">
        <v>0</v>
      </c>
    </row>
    <row r="144" spans="1:31">
      <c r="A144" s="29" t="s">
        <v>78</v>
      </c>
      <c r="B144" s="17" t="s">
        <v>483</v>
      </c>
      <c r="C144" s="30" t="s">
        <v>484</v>
      </c>
      <c r="D144" s="1">
        <v>48</v>
      </c>
      <c r="E144" s="35">
        <v>28737</v>
      </c>
      <c r="F144" s="30" t="s">
        <v>91</v>
      </c>
      <c r="G144" s="17" t="s">
        <v>91</v>
      </c>
      <c r="H144" s="31">
        <v>12400</v>
      </c>
      <c r="I144" s="31">
        <v>0</v>
      </c>
      <c r="J144" s="1" t="s">
        <v>50</v>
      </c>
      <c r="K144" s="28">
        <v>25</v>
      </c>
      <c r="L144" s="1" t="str" cm="1">
        <f t="array" ref="L144">_xlfn.IFS(Tabela6[[#This Row],[qtde_batalhas]]&lt;=15,"Baixo",Tabela6[[#This Row],[qtde_batalhas]]&gt;=30,"Alto",Tabela6[[#This Row],[qtde_batalhas]]&lt;30,"Médio")</f>
        <v>Médio</v>
      </c>
      <c r="M144" s="31">
        <v>65500</v>
      </c>
      <c r="O144" t="s">
        <v>75</v>
      </c>
      <c r="P144" t="str">
        <f t="shared" si="2"/>
        <v>Null</v>
      </c>
      <c r="U144" t="s">
        <v>485</v>
      </c>
      <c r="V144" t="str">
        <f>TEXT(U144,"000\.000\.000\-00")</f>
        <v>000.000.100-00</v>
      </c>
      <c r="X144" s="15" t="s">
        <v>486</v>
      </c>
      <c r="Y144" t="e" cm="1" vm="1">
        <f t="array" aca="1" ref="Y144" ca="1">_xlfn.TEXTSPLIT(X144," | ")</f>
        <v>#VALUE!</v>
      </c>
      <c r="Z144" s="26">
        <v>12400</v>
      </c>
      <c r="AA144">
        <v>12400</v>
      </c>
      <c r="AB144" t="s">
        <v>87</v>
      </c>
      <c r="AC144" s="25">
        <v>0</v>
      </c>
      <c r="AD144">
        <v>0</v>
      </c>
      <c r="AE144">
        <v>0</v>
      </c>
    </row>
    <row r="145" spans="1:31">
      <c r="A145" s="29" t="s">
        <v>74</v>
      </c>
      <c r="B145" s="17" t="s">
        <v>487</v>
      </c>
      <c r="C145" s="30" t="s">
        <v>488</v>
      </c>
      <c r="D145" s="1">
        <v>63</v>
      </c>
      <c r="E145" s="35">
        <v>23156</v>
      </c>
      <c r="F145" s="30" t="s">
        <v>91</v>
      </c>
      <c r="G145" s="17" t="s">
        <v>91</v>
      </c>
      <c r="H145" s="31">
        <v>10400</v>
      </c>
      <c r="I145" s="31">
        <v>8500</v>
      </c>
      <c r="J145" s="1" t="s">
        <v>349</v>
      </c>
      <c r="K145" s="28">
        <v>39</v>
      </c>
      <c r="L145" s="1" t="str" cm="1">
        <f t="array" ref="L145">_xlfn.IFS(Tabela6[[#This Row],[qtde_batalhas]]&lt;=15,"Baixo",Tabela6[[#This Row],[qtde_batalhas]]&gt;=30,"Alto",Tabela6[[#This Row],[qtde_batalhas]]&lt;30,"Médio")</f>
        <v>Alto</v>
      </c>
      <c r="M145" s="31">
        <v>36500</v>
      </c>
      <c r="O145" t="s">
        <v>75</v>
      </c>
      <c r="P145" t="str">
        <f t="shared" si="2"/>
        <v>Null</v>
      </c>
      <c r="U145" t="s">
        <v>489</v>
      </c>
      <c r="V145" t="str">
        <f>TEXT(U145,"000\.000\.000\-00")</f>
        <v>000.000.101-00</v>
      </c>
      <c r="X145" s="15" t="s">
        <v>226</v>
      </c>
      <c r="Z145" s="26" t="s">
        <v>490</v>
      </c>
      <c r="AA145">
        <v>10400</v>
      </c>
      <c r="AC145" s="24">
        <v>8500</v>
      </c>
      <c r="AD145">
        <v>8500</v>
      </c>
      <c r="AE145">
        <v>8500</v>
      </c>
    </row>
    <row r="146" spans="1:31">
      <c r="A146" s="29" t="s">
        <v>74</v>
      </c>
      <c r="B146" s="17" t="s">
        <v>491</v>
      </c>
      <c r="C146" s="30" t="s">
        <v>492</v>
      </c>
      <c r="D146" s="1">
        <v>49</v>
      </c>
      <c r="E146" s="35">
        <v>28147</v>
      </c>
      <c r="F146" s="30" t="s">
        <v>91</v>
      </c>
      <c r="G146" s="17" t="s">
        <v>91</v>
      </c>
      <c r="H146" s="31">
        <v>28400</v>
      </c>
      <c r="I146" s="31">
        <v>38500</v>
      </c>
      <c r="J146" s="1" t="s">
        <v>255</v>
      </c>
      <c r="K146" s="28">
        <v>26</v>
      </c>
      <c r="L146" s="1" t="str" cm="1">
        <f t="array" ref="L146">_xlfn.IFS(Tabela6[[#This Row],[qtde_batalhas]]&lt;=15,"Baixo",Tabela6[[#This Row],[qtde_batalhas]]&gt;=30,"Alto",Tabela6[[#This Row],[qtde_batalhas]]&lt;30,"Médio")</f>
        <v>Médio</v>
      </c>
      <c r="M146" s="31">
        <v>51000</v>
      </c>
      <c r="O146" t="s">
        <v>75</v>
      </c>
      <c r="P146" t="str">
        <f t="shared" si="2"/>
        <v>Null</v>
      </c>
      <c r="U146" t="s">
        <v>493</v>
      </c>
      <c r="V146" t="str">
        <f>TEXT(U146,"000\.000\.000\-00")</f>
        <v>000.000.105-00</v>
      </c>
      <c r="X146" s="15" t="s">
        <v>115</v>
      </c>
      <c r="Z146" s="26">
        <v>28400</v>
      </c>
      <c r="AA146">
        <v>28400</v>
      </c>
      <c r="AC146" s="25">
        <v>38500</v>
      </c>
      <c r="AD146">
        <v>38500</v>
      </c>
      <c r="AE146">
        <v>38500</v>
      </c>
    </row>
    <row r="147" spans="1:31">
      <c r="A147" s="29" t="s">
        <v>78</v>
      </c>
      <c r="B147" s="17" t="s">
        <v>494</v>
      </c>
      <c r="C147" s="30" t="s">
        <v>495</v>
      </c>
      <c r="D147" s="1">
        <v>62</v>
      </c>
      <c r="E147" s="35">
        <v>23259</v>
      </c>
      <c r="F147" s="30" t="s">
        <v>91</v>
      </c>
      <c r="G147" s="17" t="s">
        <v>91</v>
      </c>
      <c r="H147" s="31" t="s">
        <v>75</v>
      </c>
      <c r="I147" s="31">
        <v>0</v>
      </c>
      <c r="J147" s="1" t="s">
        <v>51</v>
      </c>
      <c r="K147" s="28">
        <v>1</v>
      </c>
      <c r="L147" s="1" t="str" cm="1">
        <f t="array" ref="L147">_xlfn.IFS(Tabela6[[#This Row],[qtde_batalhas]]&lt;=15,"Baixo",Tabela6[[#This Row],[qtde_batalhas]]&gt;=30,"Alto",Tabela6[[#This Row],[qtde_batalhas]]&lt;30,"Médio")</f>
        <v>Baixo</v>
      </c>
      <c r="M147" s="31">
        <v>12000</v>
      </c>
      <c r="O147" t="s">
        <v>75</v>
      </c>
      <c r="P147" t="str">
        <f t="shared" si="2"/>
        <v>Null</v>
      </c>
      <c r="U147" t="s">
        <v>496</v>
      </c>
      <c r="V147" t="str">
        <f>TEXT(U147,"000\.000\.000\-00")</f>
        <v>000.000.106-00</v>
      </c>
      <c r="X147" s="15" t="s">
        <v>243</v>
      </c>
      <c r="AC147" s="24">
        <v>0</v>
      </c>
      <c r="AD147">
        <v>0</v>
      </c>
      <c r="AE147">
        <v>0</v>
      </c>
    </row>
    <row r="148" spans="1:31">
      <c r="A148" s="29" t="s">
        <v>74</v>
      </c>
      <c r="B148" s="17" t="s">
        <v>497</v>
      </c>
      <c r="C148" s="30" t="s">
        <v>498</v>
      </c>
      <c r="D148" s="1">
        <v>37</v>
      </c>
      <c r="E148" s="35">
        <v>32414</v>
      </c>
      <c r="F148" s="30" t="s">
        <v>91</v>
      </c>
      <c r="G148" s="17" t="s">
        <v>91</v>
      </c>
      <c r="H148" s="31">
        <v>12800</v>
      </c>
      <c r="I148" s="31">
        <v>76500</v>
      </c>
      <c r="J148" s="1" t="s">
        <v>50</v>
      </c>
      <c r="K148" s="28">
        <v>30</v>
      </c>
      <c r="L148" s="1" t="str" cm="1">
        <f t="array" ref="L148">_xlfn.IFS(Tabela6[[#This Row],[qtde_batalhas]]&lt;=15,"Baixo",Tabela6[[#This Row],[qtde_batalhas]]&gt;=30,"Alto",Tabela6[[#This Row],[qtde_batalhas]]&lt;30,"Médio")</f>
        <v>Alto</v>
      </c>
      <c r="M148" s="31">
        <v>18500</v>
      </c>
      <c r="O148" t="s">
        <v>75</v>
      </c>
      <c r="P148" t="str">
        <f t="shared" si="2"/>
        <v>Null</v>
      </c>
      <c r="U148" t="s">
        <v>499</v>
      </c>
      <c r="V148" t="str">
        <f>TEXT(U148,"000\.000\.000\-00")</f>
        <v>000.000.107-00</v>
      </c>
      <c r="X148" s="15" t="s">
        <v>219</v>
      </c>
      <c r="Z148" s="26">
        <v>12800</v>
      </c>
      <c r="AA148">
        <v>12800</v>
      </c>
      <c r="AC148" s="25">
        <v>76500</v>
      </c>
      <c r="AD148">
        <v>76500</v>
      </c>
      <c r="AE148">
        <v>76500</v>
      </c>
    </row>
    <row r="149" spans="1:31">
      <c r="A149" s="29" t="s">
        <v>74</v>
      </c>
      <c r="B149" s="17" t="s">
        <v>500</v>
      </c>
      <c r="C149" s="30" t="s">
        <v>501</v>
      </c>
      <c r="D149" s="1">
        <v>37</v>
      </c>
      <c r="E149" s="35">
        <v>32513</v>
      </c>
      <c r="F149" s="30" t="s">
        <v>91</v>
      </c>
      <c r="G149" s="17" t="s">
        <v>91</v>
      </c>
      <c r="H149" s="31">
        <v>2600</v>
      </c>
      <c r="I149" s="31" t="s">
        <v>75</v>
      </c>
      <c r="J149" s="1" t="s">
        <v>50</v>
      </c>
      <c r="K149" s="28">
        <v>5</v>
      </c>
      <c r="L149" s="1" t="str" cm="1">
        <f t="array" ref="L149">_xlfn.IFS(Tabela6[[#This Row],[qtde_batalhas]]&lt;=15,"Baixo",Tabela6[[#This Row],[qtde_batalhas]]&gt;=30,"Alto",Tabela6[[#This Row],[qtde_batalhas]]&lt;30,"Médio")</f>
        <v>Baixo</v>
      </c>
      <c r="M149" s="31">
        <v>16500</v>
      </c>
      <c r="O149" t="s">
        <v>75</v>
      </c>
      <c r="P149" t="str">
        <f t="shared" si="2"/>
        <v>Null</v>
      </c>
      <c r="U149" t="s">
        <v>502</v>
      </c>
      <c r="V149" t="str">
        <f>TEXT(U149,"000\.000\.000\-00")</f>
        <v>000.000.109-00</v>
      </c>
      <c r="X149" s="15" t="s">
        <v>150</v>
      </c>
      <c r="Z149" s="26">
        <v>2600</v>
      </c>
      <c r="AA149">
        <v>2600</v>
      </c>
      <c r="AC149" s="24" t="s">
        <v>83</v>
      </c>
      <c r="AD149" t="s">
        <v>75</v>
      </c>
      <c r="AE149" t="s">
        <v>75</v>
      </c>
    </row>
    <row r="150" spans="1:31">
      <c r="A150" s="29" t="s">
        <v>74</v>
      </c>
      <c r="B150" s="17" t="s">
        <v>503</v>
      </c>
      <c r="C150" s="30" t="s">
        <v>504</v>
      </c>
      <c r="D150" s="1">
        <v>66</v>
      </c>
      <c r="E150" s="35">
        <v>22151</v>
      </c>
      <c r="F150" s="17" t="s">
        <v>215</v>
      </c>
      <c r="G150" s="17" t="s">
        <v>164</v>
      </c>
      <c r="H150" s="31">
        <v>28800</v>
      </c>
      <c r="I150" s="31">
        <v>16000</v>
      </c>
      <c r="J150" s="1" t="s">
        <v>51</v>
      </c>
      <c r="K150" s="28">
        <v>44</v>
      </c>
      <c r="L150" s="1" t="str" cm="1">
        <f t="array" ref="L150">_xlfn.IFS(Tabela6[[#This Row],[qtde_batalhas]]&lt;=15,"Baixo",Tabela6[[#This Row],[qtde_batalhas]]&gt;=30,"Alto",Tabela6[[#This Row],[qtde_batalhas]]&lt;30,"Médio")</f>
        <v>Alto</v>
      </c>
      <c r="M150" s="31">
        <v>59000</v>
      </c>
      <c r="O150" t="s">
        <v>164</v>
      </c>
      <c r="P150" t="str">
        <f t="shared" si="2"/>
        <v>Norte</v>
      </c>
      <c r="U150" t="s">
        <v>236</v>
      </c>
      <c r="V150" t="str">
        <f>TEXT(U150,"000\.000\.000\-00")</f>
        <v>000.000.110-00</v>
      </c>
      <c r="X150" s="15" t="s">
        <v>101</v>
      </c>
      <c r="Z150" s="26" t="s">
        <v>505</v>
      </c>
      <c r="AA150">
        <v>28800</v>
      </c>
      <c r="AC150" s="25">
        <v>16000</v>
      </c>
      <c r="AD150">
        <v>16000</v>
      </c>
      <c r="AE150">
        <v>16000</v>
      </c>
    </row>
    <row r="151" spans="1:31">
      <c r="A151" s="29" t="s">
        <v>74</v>
      </c>
      <c r="B151" s="17" t="s">
        <v>506</v>
      </c>
      <c r="C151" s="30" t="s">
        <v>507</v>
      </c>
      <c r="D151" s="1">
        <v>43</v>
      </c>
      <c r="E151" s="35">
        <v>30437</v>
      </c>
      <c r="F151" s="30" t="s">
        <v>91</v>
      </c>
      <c r="G151" s="17" t="s">
        <v>91</v>
      </c>
      <c r="H151" s="31">
        <v>14600</v>
      </c>
      <c r="I151" s="31">
        <v>18500</v>
      </c>
      <c r="J151" s="1" t="s">
        <v>412</v>
      </c>
      <c r="K151" s="28">
        <v>22</v>
      </c>
      <c r="L151" s="1" t="str" cm="1">
        <f t="array" ref="L151">_xlfn.IFS(Tabela6[[#This Row],[qtde_batalhas]]&lt;=15,"Baixo",Tabela6[[#This Row],[qtde_batalhas]]&gt;=30,"Alto",Tabela6[[#This Row],[qtde_batalhas]]&lt;30,"Médio")</f>
        <v>Médio</v>
      </c>
      <c r="M151" s="31">
        <v>16500</v>
      </c>
      <c r="O151" t="s">
        <v>75</v>
      </c>
      <c r="P151" t="str">
        <f t="shared" si="2"/>
        <v>Null</v>
      </c>
      <c r="U151" t="s">
        <v>508</v>
      </c>
      <c r="V151" t="str">
        <f>TEXT(U151,"000\.000\.000\-00")</f>
        <v>000.000.111-00</v>
      </c>
      <c r="X151" s="15" t="s">
        <v>101</v>
      </c>
      <c r="Z151" s="26">
        <v>14600</v>
      </c>
      <c r="AA151">
        <v>14600</v>
      </c>
      <c r="AC151" s="24">
        <v>18500</v>
      </c>
      <c r="AD151">
        <v>18500</v>
      </c>
      <c r="AE151">
        <v>18500</v>
      </c>
    </row>
    <row r="152" spans="1:31">
      <c r="A152" s="29" t="s">
        <v>78</v>
      </c>
      <c r="B152" s="17" t="s">
        <v>509</v>
      </c>
      <c r="C152" s="30" t="s">
        <v>510</v>
      </c>
      <c r="D152" s="1">
        <v>68</v>
      </c>
      <c r="E152" s="35">
        <v>21205</v>
      </c>
      <c r="F152" s="17" t="s">
        <v>81</v>
      </c>
      <c r="G152" s="17" t="s">
        <v>82</v>
      </c>
      <c r="H152" s="31">
        <v>8200</v>
      </c>
      <c r="I152" s="31">
        <v>66000</v>
      </c>
      <c r="J152" s="1" t="s">
        <v>50</v>
      </c>
      <c r="K152" s="28">
        <v>16</v>
      </c>
      <c r="L152" s="1" t="str" cm="1">
        <f t="array" ref="L152">_xlfn.IFS(Tabela6[[#This Row],[qtde_batalhas]]&lt;=15,"Baixo",Tabela6[[#This Row],[qtde_batalhas]]&gt;=30,"Alto",Tabela6[[#This Row],[qtde_batalhas]]&lt;30,"Médio")</f>
        <v>Médio</v>
      </c>
      <c r="M152" s="31">
        <v>84000</v>
      </c>
      <c r="O152" t="s">
        <v>82</v>
      </c>
      <c r="P152" t="str">
        <f t="shared" si="2"/>
        <v>Campina</v>
      </c>
      <c r="U152" t="s">
        <v>470</v>
      </c>
      <c r="V152" t="str">
        <f>TEXT(U152,"000\.000\.000\-00")</f>
        <v>000.000.112-00</v>
      </c>
      <c r="X152" s="14" t="s">
        <v>511</v>
      </c>
      <c r="Y152" t="e" cm="1" vm="1">
        <f t="array" aca="1" ref="Y152" ca="1">_xlfn.TEXTSPLIT(X152," | ")</f>
        <v>#VALUE!</v>
      </c>
      <c r="Z152" s="26">
        <v>8200</v>
      </c>
      <c r="AA152">
        <v>8200</v>
      </c>
      <c r="AC152" s="25">
        <v>66000</v>
      </c>
      <c r="AD152">
        <v>66000</v>
      </c>
      <c r="AE152">
        <v>66000</v>
      </c>
    </row>
    <row r="153" spans="1:31">
      <c r="A153" s="29" t="s">
        <v>74</v>
      </c>
      <c r="B153" s="17" t="s">
        <v>512</v>
      </c>
      <c r="C153" s="30" t="s">
        <v>513</v>
      </c>
      <c r="D153" s="1">
        <v>51</v>
      </c>
      <c r="E153" s="35">
        <v>27505</v>
      </c>
      <c r="F153" s="17" t="s">
        <v>206</v>
      </c>
      <c r="G153" s="17" t="s">
        <v>207</v>
      </c>
      <c r="H153" s="31">
        <v>7200</v>
      </c>
      <c r="I153" s="31" t="s">
        <v>75</v>
      </c>
      <c r="J153" s="1" t="s">
        <v>51</v>
      </c>
      <c r="K153" s="28">
        <v>40</v>
      </c>
      <c r="L153" s="1" t="str" cm="1">
        <f t="array" ref="L153">_xlfn.IFS(Tabela6[[#This Row],[qtde_batalhas]]&lt;=15,"Baixo",Tabela6[[#This Row],[qtde_batalhas]]&gt;=30,"Alto",Tabela6[[#This Row],[qtde_batalhas]]&lt;30,"Médio")</f>
        <v>Alto</v>
      </c>
      <c r="M153" s="31">
        <v>5500</v>
      </c>
      <c r="O153" t="s">
        <v>207</v>
      </c>
      <c r="P153" t="str">
        <f t="shared" si="2"/>
        <v>Gargalo</v>
      </c>
      <c r="U153" t="s">
        <v>514</v>
      </c>
      <c r="V153" t="str">
        <f>TEXT(U153,"000\.000\.000\-00")</f>
        <v>000.000.113-00</v>
      </c>
      <c r="X153" s="15" t="s">
        <v>252</v>
      </c>
      <c r="Z153" s="26">
        <v>7200</v>
      </c>
      <c r="AA153">
        <v>7200</v>
      </c>
      <c r="AC153" s="24" t="s">
        <v>515</v>
      </c>
      <c r="AD153" t="s">
        <v>75</v>
      </c>
      <c r="AE153" t="s">
        <v>75</v>
      </c>
    </row>
    <row r="154" spans="1:31">
      <c r="A154" s="29" t="s">
        <v>74</v>
      </c>
      <c r="B154" s="17" t="s">
        <v>516</v>
      </c>
      <c r="C154" s="30" t="s">
        <v>517</v>
      </c>
      <c r="D154" s="1">
        <v>58</v>
      </c>
      <c r="E154" s="35">
        <v>24911</v>
      </c>
      <c r="F154" s="30" t="s">
        <v>91</v>
      </c>
      <c r="G154" s="17" t="s">
        <v>91</v>
      </c>
      <c r="H154" s="31">
        <v>25400</v>
      </c>
      <c r="I154" s="31">
        <v>70500</v>
      </c>
      <c r="J154" s="1" t="s">
        <v>51</v>
      </c>
      <c r="K154" s="28">
        <v>11</v>
      </c>
      <c r="L154" s="1" t="str" cm="1">
        <f t="array" ref="L154">_xlfn.IFS(Tabela6[[#This Row],[qtde_batalhas]]&lt;=15,"Baixo",Tabela6[[#This Row],[qtde_batalhas]]&gt;=30,"Alto",Tabela6[[#This Row],[qtde_batalhas]]&lt;30,"Médio")</f>
        <v>Baixo</v>
      </c>
      <c r="M154" s="31">
        <v>47000</v>
      </c>
      <c r="O154" t="s">
        <v>75</v>
      </c>
      <c r="P154" t="str">
        <f t="shared" si="2"/>
        <v>Null</v>
      </c>
      <c r="U154" t="s">
        <v>518</v>
      </c>
      <c r="V154" t="str">
        <f>TEXT(U154,"000\.000\.000\-00")</f>
        <v>000.000.114-00</v>
      </c>
      <c r="X154" s="15" t="s">
        <v>288</v>
      </c>
      <c r="Z154" s="26">
        <v>25400</v>
      </c>
      <c r="AA154">
        <v>25400</v>
      </c>
      <c r="AC154" s="25">
        <v>70500</v>
      </c>
      <c r="AD154">
        <v>70500</v>
      </c>
      <c r="AE154">
        <v>70500</v>
      </c>
    </row>
    <row r="155" spans="1:31">
      <c r="A155" s="29" t="s">
        <v>78</v>
      </c>
      <c r="B155" s="17" t="s">
        <v>519</v>
      </c>
      <c r="C155" s="30" t="s">
        <v>337</v>
      </c>
      <c r="D155" s="1">
        <v>30</v>
      </c>
      <c r="E155" s="35">
        <v>35213</v>
      </c>
      <c r="F155" s="17" t="s">
        <v>81</v>
      </c>
      <c r="G155" s="17" t="s">
        <v>82</v>
      </c>
      <c r="H155" s="31">
        <v>3900</v>
      </c>
      <c r="I155" s="31">
        <v>45000</v>
      </c>
      <c r="J155" s="1" t="s">
        <v>50</v>
      </c>
      <c r="K155" s="28">
        <v>34</v>
      </c>
      <c r="L155" s="1" t="str" cm="1">
        <f t="array" ref="L155">_xlfn.IFS(Tabela6[[#This Row],[qtde_batalhas]]&lt;=15,"Baixo",Tabela6[[#This Row],[qtde_batalhas]]&gt;=30,"Alto",Tabela6[[#This Row],[qtde_batalhas]]&lt;30,"Médio")</f>
        <v>Alto</v>
      </c>
      <c r="M155" s="31">
        <v>41500</v>
      </c>
      <c r="O155" t="s">
        <v>82</v>
      </c>
      <c r="P155" t="str">
        <f t="shared" si="2"/>
        <v>Campina</v>
      </c>
      <c r="U155" t="s">
        <v>361</v>
      </c>
      <c r="V155" t="str">
        <f>TEXT(U155,"000\.000\.000\-00")</f>
        <v>000.000.115-00</v>
      </c>
      <c r="X155" s="15" t="s">
        <v>231</v>
      </c>
      <c r="Z155" s="26">
        <v>3900</v>
      </c>
      <c r="AA155">
        <v>3900</v>
      </c>
      <c r="AC155" s="24">
        <v>45000</v>
      </c>
      <c r="AD155">
        <v>45000</v>
      </c>
      <c r="AE155">
        <v>45000</v>
      </c>
    </row>
    <row r="156" spans="1:31">
      <c r="A156" s="29" t="s">
        <v>74</v>
      </c>
      <c r="B156" s="17" t="s">
        <v>520</v>
      </c>
      <c r="C156" s="30" t="s">
        <v>521</v>
      </c>
      <c r="D156" s="1">
        <v>68</v>
      </c>
      <c r="E156" s="35">
        <v>21145</v>
      </c>
      <c r="F156" s="17" t="s">
        <v>215</v>
      </c>
      <c r="G156" s="17" t="s">
        <v>164</v>
      </c>
      <c r="H156" s="31">
        <v>29000</v>
      </c>
      <c r="I156" s="31">
        <v>67500</v>
      </c>
      <c r="J156" s="1" t="s">
        <v>50</v>
      </c>
      <c r="K156" s="28">
        <v>25</v>
      </c>
      <c r="L156" s="1" t="str" cm="1">
        <f t="array" ref="L156">_xlfn.IFS(Tabela6[[#This Row],[qtde_batalhas]]&lt;=15,"Baixo",Tabela6[[#This Row],[qtde_batalhas]]&gt;=30,"Alto",Tabela6[[#This Row],[qtde_batalhas]]&lt;30,"Médio")</f>
        <v>Médio</v>
      </c>
      <c r="M156" s="31">
        <v>18000</v>
      </c>
      <c r="O156" t="s">
        <v>164</v>
      </c>
      <c r="P156" t="str">
        <f t="shared" si="2"/>
        <v>Norte</v>
      </c>
      <c r="U156" t="s">
        <v>80</v>
      </c>
      <c r="V156" t="str">
        <f>TEXT(U156,"000\.000\.000\-00")</f>
        <v>000.000.118-00</v>
      </c>
      <c r="X156" s="15" t="s">
        <v>321</v>
      </c>
      <c r="Z156" s="26">
        <v>29000</v>
      </c>
      <c r="AA156">
        <v>29000</v>
      </c>
      <c r="AC156" s="25">
        <v>67500</v>
      </c>
      <c r="AD156">
        <v>67500</v>
      </c>
      <c r="AE156">
        <v>67500</v>
      </c>
    </row>
    <row r="157" spans="1:31">
      <c r="A157" s="29" t="s">
        <v>74</v>
      </c>
      <c r="B157" s="17" t="s">
        <v>522</v>
      </c>
      <c r="C157" s="30" t="s">
        <v>523</v>
      </c>
      <c r="D157" s="1">
        <v>49</v>
      </c>
      <c r="E157" s="35">
        <v>28067</v>
      </c>
      <c r="F157" s="30" t="s">
        <v>91</v>
      </c>
      <c r="G157" s="17" t="s">
        <v>91</v>
      </c>
      <c r="H157" s="31">
        <v>29800</v>
      </c>
      <c r="I157" s="31">
        <v>54500</v>
      </c>
      <c r="J157" s="1" t="s">
        <v>50</v>
      </c>
      <c r="K157" s="28">
        <v>34</v>
      </c>
      <c r="L157" s="1" t="str" cm="1">
        <f t="array" ref="L157">_xlfn.IFS(Tabela6[[#This Row],[qtde_batalhas]]&lt;=15,"Baixo",Tabela6[[#This Row],[qtde_batalhas]]&gt;=30,"Alto",Tabela6[[#This Row],[qtde_batalhas]]&lt;30,"Médio")</f>
        <v>Alto</v>
      </c>
      <c r="M157" s="31">
        <v>72000</v>
      </c>
      <c r="O157" t="s">
        <v>75</v>
      </c>
      <c r="P157" t="str">
        <f t="shared" si="2"/>
        <v>Null</v>
      </c>
      <c r="U157" t="s">
        <v>524</v>
      </c>
      <c r="V157" t="str">
        <f>TEXT(U157,"000\.000\.000\-00")</f>
        <v>000.000.119-00</v>
      </c>
      <c r="X157" s="15" t="s">
        <v>239</v>
      </c>
      <c r="Z157" s="26">
        <v>29800</v>
      </c>
      <c r="AA157">
        <v>29800</v>
      </c>
      <c r="AC157" s="24">
        <v>54500</v>
      </c>
      <c r="AD157">
        <v>54500</v>
      </c>
      <c r="AE157">
        <v>54500</v>
      </c>
    </row>
    <row r="158" spans="1:31">
      <c r="A158" s="29" t="s">
        <v>74</v>
      </c>
      <c r="B158" s="17" t="s">
        <v>525</v>
      </c>
      <c r="C158" s="30" t="s">
        <v>526</v>
      </c>
      <c r="D158" s="1">
        <v>38</v>
      </c>
      <c r="E158" s="35">
        <v>32152</v>
      </c>
      <c r="F158" s="30" t="s">
        <v>91</v>
      </c>
      <c r="G158" s="17" t="s">
        <v>91</v>
      </c>
      <c r="H158" s="31">
        <v>2000</v>
      </c>
      <c r="I158" s="31">
        <v>60000</v>
      </c>
      <c r="J158" s="1" t="s">
        <v>50</v>
      </c>
      <c r="K158" s="28">
        <v>18</v>
      </c>
      <c r="L158" s="1" t="str" cm="1">
        <f t="array" ref="L158">_xlfn.IFS(Tabela6[[#This Row],[qtde_batalhas]]&lt;=15,"Baixo",Tabela6[[#This Row],[qtde_batalhas]]&gt;=30,"Alto",Tabela6[[#This Row],[qtde_batalhas]]&lt;30,"Médio")</f>
        <v>Médio</v>
      </c>
      <c r="M158" s="31">
        <v>54000</v>
      </c>
      <c r="O158" t="s">
        <v>75</v>
      </c>
      <c r="P158" t="str">
        <f t="shared" si="2"/>
        <v>Null</v>
      </c>
      <c r="U158" t="s">
        <v>527</v>
      </c>
      <c r="V158" t="str">
        <f>TEXT(U158,"000\.000\.000\-00")</f>
        <v>000.000.120-00</v>
      </c>
      <c r="X158" s="15" t="s">
        <v>150</v>
      </c>
      <c r="Z158" s="26">
        <v>2000</v>
      </c>
      <c r="AA158">
        <v>2000</v>
      </c>
      <c r="AC158" s="25">
        <v>60000</v>
      </c>
      <c r="AD158">
        <v>60000</v>
      </c>
      <c r="AE158">
        <v>60000</v>
      </c>
    </row>
    <row r="159" spans="1:31">
      <c r="A159" s="29" t="s">
        <v>78</v>
      </c>
      <c r="B159" s="17" t="s">
        <v>528</v>
      </c>
      <c r="C159" s="30" t="s">
        <v>355</v>
      </c>
      <c r="D159" s="1">
        <v>30</v>
      </c>
      <c r="E159" s="35">
        <v>35200</v>
      </c>
      <c r="F159" s="30" t="s">
        <v>91</v>
      </c>
      <c r="G159" s="17" t="s">
        <v>91</v>
      </c>
      <c r="H159" s="31">
        <v>26500</v>
      </c>
      <c r="I159" s="31">
        <v>14500</v>
      </c>
      <c r="J159" s="1">
        <v>0</v>
      </c>
      <c r="K159" s="28">
        <v>15</v>
      </c>
      <c r="L159" s="1" t="str" cm="1">
        <f t="array" ref="L159">_xlfn.IFS(Tabela6[[#This Row],[qtde_batalhas]]&lt;=15,"Baixo",Tabela6[[#This Row],[qtde_batalhas]]&gt;=30,"Alto",Tabela6[[#This Row],[qtde_batalhas]]&lt;30,"Médio")</f>
        <v>Baixo</v>
      </c>
      <c r="M159" s="31">
        <v>65500</v>
      </c>
      <c r="O159" t="s">
        <v>75</v>
      </c>
      <c r="P159" t="str">
        <f t="shared" si="2"/>
        <v>Null</v>
      </c>
      <c r="U159" t="s">
        <v>112</v>
      </c>
      <c r="V159" t="str">
        <f>TEXT(U159,"000\.000\.000\-00")</f>
        <v>000.000.122-00</v>
      </c>
      <c r="X159" s="15" t="s">
        <v>101</v>
      </c>
      <c r="Z159" s="26">
        <v>26500</v>
      </c>
      <c r="AA159">
        <v>26500</v>
      </c>
      <c r="AC159" s="24">
        <v>14500</v>
      </c>
      <c r="AD159">
        <v>14500</v>
      </c>
      <c r="AE159">
        <v>14500</v>
      </c>
    </row>
    <row r="160" spans="1:31">
      <c r="A160" s="29" t="s">
        <v>74</v>
      </c>
      <c r="B160" s="17" t="s">
        <v>529</v>
      </c>
      <c r="C160" s="30" t="s">
        <v>530</v>
      </c>
      <c r="D160" s="1">
        <v>68</v>
      </c>
      <c r="E160" s="35" t="s">
        <v>75</v>
      </c>
      <c r="F160" s="17" t="s">
        <v>135</v>
      </c>
      <c r="G160" s="17" t="s">
        <v>136</v>
      </c>
      <c r="H160" s="31">
        <v>19900</v>
      </c>
      <c r="I160" s="31">
        <v>35000</v>
      </c>
      <c r="J160" s="1" t="s">
        <v>255</v>
      </c>
      <c r="K160" s="28">
        <v>25</v>
      </c>
      <c r="L160" s="1" t="str" cm="1">
        <f t="array" ref="L160">_xlfn.IFS(Tabela6[[#This Row],[qtde_batalhas]]&lt;=15,"Baixo",Tabela6[[#This Row],[qtde_batalhas]]&gt;=30,"Alto",Tabela6[[#This Row],[qtde_batalhas]]&lt;30,"Médio")</f>
        <v>Médio</v>
      </c>
      <c r="M160" s="31">
        <v>59500</v>
      </c>
      <c r="O160" t="s">
        <v>447</v>
      </c>
      <c r="P160" t="str">
        <f t="shared" si="2"/>
        <v>Terras Da Coroa</v>
      </c>
      <c r="U160" t="s">
        <v>531</v>
      </c>
      <c r="V160" t="str">
        <f>TEXT(U160,"000\.000\.000\-00")</f>
        <v>000.000.123-00</v>
      </c>
      <c r="X160" s="15" t="s">
        <v>532</v>
      </c>
      <c r="Z160" s="26">
        <v>19900</v>
      </c>
      <c r="AA160">
        <v>19900</v>
      </c>
      <c r="AC160" s="25">
        <v>35000</v>
      </c>
      <c r="AD160">
        <v>35000</v>
      </c>
      <c r="AE160">
        <v>35000</v>
      </c>
    </row>
    <row r="161" spans="1:31">
      <c r="A161" s="29" t="s">
        <v>74</v>
      </c>
      <c r="B161" s="17" t="s">
        <v>533</v>
      </c>
      <c r="C161" s="30" t="s">
        <v>534</v>
      </c>
      <c r="D161" s="1">
        <v>27</v>
      </c>
      <c r="E161" s="35">
        <v>36308</v>
      </c>
      <c r="F161" s="30" t="s">
        <v>91</v>
      </c>
      <c r="G161" s="17" t="s">
        <v>91</v>
      </c>
      <c r="H161" s="31">
        <v>5300</v>
      </c>
      <c r="I161" s="31" t="s">
        <v>75</v>
      </c>
      <c r="J161" s="1" t="s">
        <v>396</v>
      </c>
      <c r="K161" s="28">
        <v>11</v>
      </c>
      <c r="L161" s="1" t="str" cm="1">
        <f t="array" ref="L161">_xlfn.IFS(Tabela6[[#This Row],[qtde_batalhas]]&lt;=15,"Baixo",Tabela6[[#This Row],[qtde_batalhas]]&gt;=30,"Alto",Tabela6[[#This Row],[qtde_batalhas]]&lt;30,"Médio")</f>
        <v>Baixo</v>
      </c>
      <c r="M161" s="31">
        <v>28500</v>
      </c>
      <c r="O161" t="s">
        <v>75</v>
      </c>
      <c r="P161" t="str">
        <f t="shared" si="2"/>
        <v>Null</v>
      </c>
      <c r="U161" t="s">
        <v>535</v>
      </c>
      <c r="V161" t="str">
        <f>TEXT(U161,"000\.000\.000\-00")</f>
        <v>000.000.124-00</v>
      </c>
      <c r="X161" s="15" t="s">
        <v>156</v>
      </c>
      <c r="Z161" s="26">
        <v>5300</v>
      </c>
      <c r="AA161">
        <v>5300</v>
      </c>
      <c r="AC161" s="24" t="s">
        <v>536</v>
      </c>
      <c r="AD161" t="s">
        <v>75</v>
      </c>
      <c r="AE161" t="s">
        <v>75</v>
      </c>
    </row>
    <row r="162" spans="1:31">
      <c r="A162" s="29" t="s">
        <v>74</v>
      </c>
      <c r="B162" s="17" t="s">
        <v>537</v>
      </c>
      <c r="C162" s="30" t="s">
        <v>376</v>
      </c>
      <c r="D162" s="1">
        <v>69</v>
      </c>
      <c r="E162" s="35" t="s">
        <v>75</v>
      </c>
      <c r="F162" s="17" t="s">
        <v>115</v>
      </c>
      <c r="G162" s="17" t="s">
        <v>116</v>
      </c>
      <c r="H162" s="31">
        <v>4500</v>
      </c>
      <c r="I162" s="31">
        <v>0</v>
      </c>
      <c r="J162" s="1" t="s">
        <v>51</v>
      </c>
      <c r="K162" s="28">
        <v>32</v>
      </c>
      <c r="L162" s="1" t="str" cm="1">
        <f t="array" ref="L162">_xlfn.IFS(Tabela6[[#This Row],[qtde_batalhas]]&lt;=15,"Baixo",Tabela6[[#This Row],[qtde_batalhas]]&gt;=30,"Alto",Tabela6[[#This Row],[qtde_batalhas]]&lt;30,"Médio")</f>
        <v>Alto</v>
      </c>
      <c r="M162" s="31">
        <v>56500</v>
      </c>
      <c r="O162" t="s">
        <v>116</v>
      </c>
      <c r="P162" t="str">
        <f t="shared" si="2"/>
        <v>Essos</v>
      </c>
      <c r="U162" t="s">
        <v>357</v>
      </c>
      <c r="V162" t="str">
        <f>TEXT(U162,"000\.000\.000\-00")</f>
        <v>000.000.125-00</v>
      </c>
      <c r="X162" s="15" t="s">
        <v>86</v>
      </c>
      <c r="Z162" s="26">
        <v>4500</v>
      </c>
      <c r="AA162">
        <v>4500</v>
      </c>
      <c r="AC162" s="25">
        <v>0</v>
      </c>
      <c r="AD162">
        <v>0</v>
      </c>
      <c r="AE162">
        <v>0</v>
      </c>
    </row>
    <row r="163" spans="1:31">
      <c r="A163" s="29" t="s">
        <v>74</v>
      </c>
      <c r="B163" s="17" t="s">
        <v>538</v>
      </c>
      <c r="C163" s="30" t="s">
        <v>343</v>
      </c>
      <c r="D163" s="1">
        <v>45</v>
      </c>
      <c r="E163" s="35">
        <v>29769</v>
      </c>
      <c r="F163" s="30" t="s">
        <v>91</v>
      </c>
      <c r="G163" s="17" t="s">
        <v>91</v>
      </c>
      <c r="H163" s="31">
        <v>24400</v>
      </c>
      <c r="I163" s="31">
        <v>7500</v>
      </c>
      <c r="J163" s="1" t="s">
        <v>255</v>
      </c>
      <c r="K163" s="28">
        <v>13</v>
      </c>
      <c r="L163" s="1" t="str" cm="1">
        <f t="array" ref="L163">_xlfn.IFS(Tabela6[[#This Row],[qtde_batalhas]]&lt;=15,"Baixo",Tabela6[[#This Row],[qtde_batalhas]]&gt;=30,"Alto",Tabela6[[#This Row],[qtde_batalhas]]&lt;30,"Médio")</f>
        <v>Baixo</v>
      </c>
      <c r="M163" s="31">
        <v>95000</v>
      </c>
      <c r="O163" t="s">
        <v>75</v>
      </c>
      <c r="P163" t="str">
        <f t="shared" si="2"/>
        <v>Null</v>
      </c>
      <c r="U163" t="s">
        <v>539</v>
      </c>
      <c r="V163" t="str">
        <f>TEXT(U163,"000\.000\.000\-00")</f>
        <v>000.000.126-00</v>
      </c>
      <c r="X163" s="15" t="s">
        <v>226</v>
      </c>
      <c r="Z163" s="26">
        <v>24400</v>
      </c>
      <c r="AA163">
        <v>24400</v>
      </c>
      <c r="AC163" s="24">
        <v>7500</v>
      </c>
      <c r="AD163">
        <v>7500</v>
      </c>
      <c r="AE163">
        <v>7500</v>
      </c>
    </row>
    <row r="164" spans="1:31">
      <c r="A164" s="29" t="s">
        <v>74</v>
      </c>
      <c r="B164" s="17" t="s">
        <v>540</v>
      </c>
      <c r="C164" s="30" t="s">
        <v>541</v>
      </c>
      <c r="D164" s="1">
        <v>29</v>
      </c>
      <c r="E164" s="35">
        <v>35344</v>
      </c>
      <c r="F164" s="30" t="s">
        <v>91</v>
      </c>
      <c r="G164" s="17" t="s">
        <v>91</v>
      </c>
      <c r="H164" s="31">
        <v>19900</v>
      </c>
      <c r="I164" s="31">
        <v>49500</v>
      </c>
      <c r="J164" s="1" t="s">
        <v>51</v>
      </c>
      <c r="K164" s="28">
        <v>27</v>
      </c>
      <c r="L164" s="1" t="str" cm="1">
        <f t="array" ref="L164">_xlfn.IFS(Tabela6[[#This Row],[qtde_batalhas]]&lt;=15,"Baixo",Tabela6[[#This Row],[qtde_batalhas]]&gt;=30,"Alto",Tabela6[[#This Row],[qtde_batalhas]]&lt;30,"Médio")</f>
        <v>Médio</v>
      </c>
      <c r="M164" s="31">
        <v>23000</v>
      </c>
      <c r="O164" t="s">
        <v>75</v>
      </c>
      <c r="P164" t="str">
        <f t="shared" si="2"/>
        <v>Null</v>
      </c>
      <c r="U164" t="s">
        <v>446</v>
      </c>
      <c r="V164" t="str">
        <f>TEXT(U164,"000\.000\.000\-00")</f>
        <v>000.000.128-00</v>
      </c>
      <c r="X164" s="15" t="s">
        <v>321</v>
      </c>
      <c r="Z164" s="26">
        <v>19900</v>
      </c>
      <c r="AA164">
        <v>19900</v>
      </c>
      <c r="AC164" s="25">
        <v>49500</v>
      </c>
      <c r="AD164">
        <v>49500</v>
      </c>
      <c r="AE164">
        <v>49500</v>
      </c>
    </row>
    <row r="165" spans="1:31">
      <c r="A165" s="29" t="s">
        <v>74</v>
      </c>
      <c r="B165" s="17" t="s">
        <v>542</v>
      </c>
      <c r="C165" s="30" t="s">
        <v>543</v>
      </c>
      <c r="D165" s="1">
        <v>28</v>
      </c>
      <c r="E165" s="35" t="s">
        <v>75</v>
      </c>
      <c r="F165" s="30" t="s">
        <v>91</v>
      </c>
      <c r="G165" s="17" t="s">
        <v>91</v>
      </c>
      <c r="H165" s="31">
        <v>14500</v>
      </c>
      <c r="I165" s="31">
        <v>39500</v>
      </c>
      <c r="J165" s="1" t="s">
        <v>50</v>
      </c>
      <c r="K165" s="28">
        <v>18</v>
      </c>
      <c r="L165" s="1" t="str" cm="1">
        <f t="array" ref="L165">_xlfn.IFS(Tabela6[[#This Row],[qtde_batalhas]]&lt;=15,"Baixo",Tabela6[[#This Row],[qtde_batalhas]]&gt;=30,"Alto",Tabela6[[#This Row],[qtde_batalhas]]&lt;30,"Médio")</f>
        <v>Médio</v>
      </c>
      <c r="M165" s="31">
        <v>32000</v>
      </c>
      <c r="O165" t="s">
        <v>75</v>
      </c>
      <c r="P165" t="str">
        <f t="shared" si="2"/>
        <v>Null</v>
      </c>
      <c r="U165" t="s">
        <v>544</v>
      </c>
      <c r="V165" t="str">
        <f>TEXT(U165,"000\.000\.000\-00")</f>
        <v>000.000.129-00</v>
      </c>
      <c r="X165" s="15" t="s">
        <v>115</v>
      </c>
      <c r="Z165" s="26">
        <v>14500</v>
      </c>
      <c r="AA165">
        <v>14500</v>
      </c>
      <c r="AC165" s="24">
        <v>39500</v>
      </c>
      <c r="AD165">
        <v>39500</v>
      </c>
      <c r="AE165">
        <v>39500</v>
      </c>
    </row>
    <row r="166" spans="1:31">
      <c r="A166" s="29" t="s">
        <v>78</v>
      </c>
      <c r="B166" s="17" t="s">
        <v>545</v>
      </c>
      <c r="C166" s="30" t="s">
        <v>546</v>
      </c>
      <c r="D166" s="1">
        <v>73</v>
      </c>
      <c r="E166" s="35" t="s">
        <v>75</v>
      </c>
      <c r="F166" s="17" t="s">
        <v>219</v>
      </c>
      <c r="G166" s="17" t="s">
        <v>164</v>
      </c>
      <c r="H166" s="31">
        <v>19900</v>
      </c>
      <c r="I166" s="31">
        <v>47000</v>
      </c>
      <c r="J166" s="1" t="s">
        <v>50</v>
      </c>
      <c r="K166" s="28">
        <v>19</v>
      </c>
      <c r="L166" s="1" t="str" cm="1">
        <f t="array" ref="L166">_xlfn.IFS(Tabela6[[#This Row],[qtde_batalhas]]&lt;=15,"Baixo",Tabela6[[#This Row],[qtde_batalhas]]&gt;=30,"Alto",Tabela6[[#This Row],[qtde_batalhas]]&lt;30,"Médio")</f>
        <v>Médio</v>
      </c>
      <c r="M166" s="31">
        <v>20500</v>
      </c>
      <c r="O166" t="s">
        <v>164</v>
      </c>
      <c r="P166" t="str">
        <f t="shared" si="2"/>
        <v>Norte</v>
      </c>
      <c r="U166" t="s">
        <v>467</v>
      </c>
      <c r="V166" t="str">
        <f>TEXT(U166,"000\.000\.000\-00")</f>
        <v>000.000.130-00</v>
      </c>
      <c r="X166" s="15" t="s">
        <v>156</v>
      </c>
      <c r="Z166" s="26" t="s">
        <v>547</v>
      </c>
      <c r="AA166">
        <v>19900</v>
      </c>
      <c r="AC166" s="25">
        <v>47000</v>
      </c>
      <c r="AD166">
        <v>47000</v>
      </c>
      <c r="AE166">
        <v>47000</v>
      </c>
    </row>
    <row r="167" spans="1:31">
      <c r="A167" s="29" t="s">
        <v>74</v>
      </c>
      <c r="B167" s="17" t="s">
        <v>548</v>
      </c>
      <c r="C167" s="30" t="s">
        <v>549</v>
      </c>
      <c r="D167" s="1">
        <v>44</v>
      </c>
      <c r="E167" s="35">
        <v>29991</v>
      </c>
      <c r="F167" s="30" t="s">
        <v>91</v>
      </c>
      <c r="G167" s="17" t="s">
        <v>91</v>
      </c>
      <c r="H167" s="31">
        <v>6700</v>
      </c>
      <c r="I167" s="31">
        <v>16500</v>
      </c>
      <c r="J167" s="1" t="s">
        <v>51</v>
      </c>
      <c r="K167" s="28">
        <v>38</v>
      </c>
      <c r="L167" s="1" t="str" cm="1">
        <f t="array" ref="L167">_xlfn.IFS(Tabela6[[#This Row],[qtde_batalhas]]&lt;=15,"Baixo",Tabela6[[#This Row],[qtde_batalhas]]&gt;=30,"Alto",Tabela6[[#This Row],[qtde_batalhas]]&lt;30,"Médio")</f>
        <v>Alto</v>
      </c>
      <c r="M167" s="31">
        <v>15500</v>
      </c>
      <c r="O167" t="s">
        <v>75</v>
      </c>
      <c r="P167" t="str">
        <f t="shared" si="2"/>
        <v>Null</v>
      </c>
      <c r="U167" t="s">
        <v>550</v>
      </c>
      <c r="V167" t="str">
        <f>TEXT(U167,"000\.000\.000\-00")</f>
        <v>000.000.131-00</v>
      </c>
      <c r="X167" s="15" t="s">
        <v>256</v>
      </c>
      <c r="Z167" s="26">
        <v>6700</v>
      </c>
      <c r="AA167">
        <v>6700</v>
      </c>
      <c r="AC167" s="24">
        <v>16500</v>
      </c>
      <c r="AD167">
        <v>16500</v>
      </c>
      <c r="AE167">
        <v>16500</v>
      </c>
    </row>
    <row r="168" spans="1:31">
      <c r="A168" s="29" t="s">
        <v>74</v>
      </c>
      <c r="B168" s="17" t="s">
        <v>551</v>
      </c>
      <c r="C168" s="30" t="s">
        <v>552</v>
      </c>
      <c r="D168" s="1">
        <v>25</v>
      </c>
      <c r="E168" s="35">
        <v>37125</v>
      </c>
      <c r="F168" s="30" t="s">
        <v>91</v>
      </c>
      <c r="G168" s="17" t="s">
        <v>91</v>
      </c>
      <c r="H168" s="31">
        <v>2500</v>
      </c>
      <c r="I168" s="31">
        <v>72500</v>
      </c>
      <c r="J168" s="1" t="s">
        <v>50</v>
      </c>
      <c r="K168" s="28">
        <v>32</v>
      </c>
      <c r="L168" s="1" t="str" cm="1">
        <f t="array" ref="L168">_xlfn.IFS(Tabela6[[#This Row],[qtde_batalhas]]&lt;=15,"Baixo",Tabela6[[#This Row],[qtde_batalhas]]&gt;=30,"Alto",Tabela6[[#This Row],[qtde_batalhas]]&lt;30,"Médio")</f>
        <v>Alto</v>
      </c>
      <c r="M168" s="31">
        <v>97000</v>
      </c>
      <c r="O168" t="s">
        <v>75</v>
      </c>
      <c r="P168" t="str">
        <f t="shared" si="2"/>
        <v>Null</v>
      </c>
      <c r="U168" t="s">
        <v>107</v>
      </c>
      <c r="V168" t="str">
        <f>TEXT(U168,"000\.000\.000\-00")</f>
        <v>000.000.133-00</v>
      </c>
      <c r="X168" s="15" t="s">
        <v>231</v>
      </c>
      <c r="Z168" s="26">
        <v>2500</v>
      </c>
      <c r="AA168">
        <v>2500</v>
      </c>
      <c r="AC168" s="25">
        <v>72500</v>
      </c>
      <c r="AD168">
        <v>72500</v>
      </c>
      <c r="AE168">
        <v>72500</v>
      </c>
    </row>
    <row r="169" spans="1:31">
      <c r="A169" s="29" t="s">
        <v>78</v>
      </c>
      <c r="B169" s="17" t="s">
        <v>553</v>
      </c>
      <c r="C169" s="30" t="s">
        <v>554</v>
      </c>
      <c r="D169" s="1">
        <v>31</v>
      </c>
      <c r="E169" s="35">
        <v>34738</v>
      </c>
      <c r="F169" s="30" t="s">
        <v>91</v>
      </c>
      <c r="G169" s="17" t="s">
        <v>91</v>
      </c>
      <c r="H169" s="31">
        <v>22600</v>
      </c>
      <c r="I169" s="31">
        <v>58000</v>
      </c>
      <c r="J169" s="1" t="s">
        <v>255</v>
      </c>
      <c r="K169" s="28">
        <v>5</v>
      </c>
      <c r="L169" s="1" t="str" cm="1">
        <f t="array" ref="L169">_xlfn.IFS(Tabela6[[#This Row],[qtde_batalhas]]&lt;=15,"Baixo",Tabela6[[#This Row],[qtde_batalhas]]&gt;=30,"Alto",Tabela6[[#This Row],[qtde_batalhas]]&lt;30,"Médio")</f>
        <v>Baixo</v>
      </c>
      <c r="M169" s="31">
        <v>26500</v>
      </c>
      <c r="O169" t="s">
        <v>75</v>
      </c>
      <c r="P169" t="str">
        <f t="shared" si="2"/>
        <v>Null</v>
      </c>
      <c r="U169" t="s">
        <v>555</v>
      </c>
      <c r="V169" t="str">
        <f>TEXT(U169,"000\.000\.000\-00")</f>
        <v>000.000.134-00</v>
      </c>
      <c r="X169" s="15" t="s">
        <v>239</v>
      </c>
      <c r="Z169" s="26">
        <v>22600</v>
      </c>
      <c r="AA169">
        <v>22600</v>
      </c>
      <c r="AC169" s="24">
        <v>58000</v>
      </c>
      <c r="AD169">
        <v>58000</v>
      </c>
      <c r="AE169">
        <v>58000</v>
      </c>
    </row>
    <row r="170" spans="1:31">
      <c r="A170" s="29" t="s">
        <v>74</v>
      </c>
      <c r="B170" s="17" t="s">
        <v>556</v>
      </c>
      <c r="C170" s="30" t="s">
        <v>557</v>
      </c>
      <c r="D170" s="1">
        <v>36</v>
      </c>
      <c r="E170" s="35">
        <v>32791</v>
      </c>
      <c r="F170" s="30" t="s">
        <v>91</v>
      </c>
      <c r="G170" s="17" t="s">
        <v>91</v>
      </c>
      <c r="H170" s="31">
        <v>23900</v>
      </c>
      <c r="I170" s="31">
        <v>58000</v>
      </c>
      <c r="J170" s="1" t="s">
        <v>50</v>
      </c>
      <c r="K170" s="28">
        <v>27</v>
      </c>
      <c r="L170" s="1" t="str" cm="1">
        <f t="array" ref="L170">_xlfn.IFS(Tabela6[[#This Row],[qtde_batalhas]]&lt;=15,"Baixo",Tabela6[[#This Row],[qtde_batalhas]]&gt;=30,"Alto",Tabela6[[#This Row],[qtde_batalhas]]&lt;30,"Médio")</f>
        <v>Médio</v>
      </c>
      <c r="M170" s="31">
        <v>38000</v>
      </c>
      <c r="O170" t="s">
        <v>75</v>
      </c>
      <c r="P170" t="str">
        <f t="shared" si="2"/>
        <v>Null</v>
      </c>
      <c r="U170" t="s">
        <v>558</v>
      </c>
      <c r="V170" t="str">
        <f>TEXT(U170,"000\.000\.000\-00")</f>
        <v>000.000.135-00</v>
      </c>
      <c r="X170" s="15" t="s">
        <v>288</v>
      </c>
      <c r="Z170" s="26">
        <v>23900</v>
      </c>
      <c r="AA170">
        <v>23900</v>
      </c>
      <c r="AC170" s="25">
        <v>58000</v>
      </c>
      <c r="AD170">
        <v>58000</v>
      </c>
      <c r="AE170">
        <v>58000</v>
      </c>
    </row>
    <row r="171" spans="1:31">
      <c r="A171" s="29" t="s">
        <v>78</v>
      </c>
      <c r="B171" s="17" t="s">
        <v>559</v>
      </c>
      <c r="C171" s="30" t="s">
        <v>560</v>
      </c>
      <c r="D171" s="1">
        <v>50</v>
      </c>
      <c r="E171" s="35">
        <v>27833</v>
      </c>
      <c r="F171" s="17" t="s">
        <v>86</v>
      </c>
      <c r="G171" s="17" t="s">
        <v>87</v>
      </c>
      <c r="H171" s="31">
        <v>16200</v>
      </c>
      <c r="I171" s="31">
        <v>25000</v>
      </c>
      <c r="J171" s="1" t="s">
        <v>396</v>
      </c>
      <c r="K171" s="28">
        <v>26</v>
      </c>
      <c r="L171" s="1" t="str" cm="1">
        <f t="array" ref="L171">_xlfn.IFS(Tabela6[[#This Row],[qtde_batalhas]]&lt;=15,"Baixo",Tabela6[[#This Row],[qtde_batalhas]]&gt;=30,"Alto",Tabela6[[#This Row],[qtde_batalhas]]&lt;30,"Médio")</f>
        <v>Médio</v>
      </c>
      <c r="M171" s="31">
        <v>65000</v>
      </c>
      <c r="O171" t="s">
        <v>87</v>
      </c>
      <c r="P171" t="str">
        <f t="shared" si="2"/>
        <v>Terras Fluviais</v>
      </c>
      <c r="U171" t="s">
        <v>456</v>
      </c>
      <c r="V171" t="str">
        <f>TEXT(U171,"000\.000\.000\-00")</f>
        <v>000.000.136-00</v>
      </c>
      <c r="X171" s="15" t="s">
        <v>150</v>
      </c>
      <c r="Z171" s="26">
        <v>16200</v>
      </c>
      <c r="AA171">
        <v>16200</v>
      </c>
      <c r="AC171" s="24">
        <v>25000</v>
      </c>
      <c r="AD171">
        <v>25000</v>
      </c>
      <c r="AE171">
        <v>25000</v>
      </c>
    </row>
    <row r="172" spans="1:31">
      <c r="A172" s="34" t="s">
        <v>75</v>
      </c>
      <c r="B172" s="17" t="s">
        <v>561</v>
      </c>
      <c r="C172" s="30" t="s">
        <v>562</v>
      </c>
      <c r="D172" s="1">
        <v>63</v>
      </c>
      <c r="E172" s="35">
        <v>23231</v>
      </c>
      <c r="F172" s="30" t="s">
        <v>91</v>
      </c>
      <c r="G172" s="17" t="s">
        <v>91</v>
      </c>
      <c r="H172" s="31">
        <v>16800</v>
      </c>
      <c r="I172" s="31">
        <v>0</v>
      </c>
      <c r="K172" s="28">
        <v>32</v>
      </c>
      <c r="L172" s="1" t="str" cm="1">
        <f t="array" ref="L172">_xlfn.IFS(Tabela6[[#This Row],[qtde_batalhas]]&lt;=15,"Baixo",Tabela6[[#This Row],[qtde_batalhas]]&gt;=30,"Alto",Tabela6[[#This Row],[qtde_batalhas]]&lt;30,"Médio")</f>
        <v>Alto</v>
      </c>
      <c r="M172" s="31">
        <v>61500</v>
      </c>
      <c r="O172" t="s">
        <v>75</v>
      </c>
      <c r="P172" t="str">
        <f t="shared" si="2"/>
        <v>Null</v>
      </c>
      <c r="U172" t="s">
        <v>339</v>
      </c>
      <c r="V172" t="str">
        <f>TEXT(U172,"000\.000\.000\-00")</f>
        <v>000.000.138-00</v>
      </c>
      <c r="X172" s="15" t="s">
        <v>115</v>
      </c>
      <c r="Z172" s="26">
        <v>16800</v>
      </c>
      <c r="AA172">
        <v>16800</v>
      </c>
      <c r="AC172" s="25">
        <v>0</v>
      </c>
      <c r="AD172">
        <v>0</v>
      </c>
      <c r="AE172">
        <v>0</v>
      </c>
    </row>
    <row r="173" spans="1:31">
      <c r="A173" s="29" t="s">
        <v>74</v>
      </c>
      <c r="B173" s="17" t="s">
        <v>563</v>
      </c>
      <c r="C173" s="30" t="s">
        <v>564</v>
      </c>
      <c r="D173" s="1">
        <v>22</v>
      </c>
      <c r="E173" s="35">
        <v>38079</v>
      </c>
      <c r="F173" s="17" t="s">
        <v>231</v>
      </c>
      <c r="G173" s="17" t="s">
        <v>180</v>
      </c>
      <c r="H173" s="31">
        <v>9200</v>
      </c>
      <c r="I173" s="31">
        <v>5000</v>
      </c>
      <c r="J173" s="1" t="s">
        <v>50</v>
      </c>
      <c r="K173" s="28">
        <v>42</v>
      </c>
      <c r="L173" s="1" t="str" cm="1">
        <f t="array" ref="L173">_xlfn.IFS(Tabela6[[#This Row],[qtde_batalhas]]&lt;=15,"Baixo",Tabela6[[#This Row],[qtde_batalhas]]&gt;=30,"Alto",Tabela6[[#This Row],[qtde_batalhas]]&lt;30,"Médio")</f>
        <v>Alto</v>
      </c>
      <c r="M173" s="31">
        <v>63500</v>
      </c>
      <c r="O173" t="s">
        <v>232</v>
      </c>
      <c r="P173" t="str">
        <f t="shared" si="2"/>
        <v>Terras Da Tempestade</v>
      </c>
      <c r="U173" t="s">
        <v>459</v>
      </c>
      <c r="V173" t="str">
        <f>TEXT(U173,"000\.000\.000\-00")</f>
        <v>000.000.139-00</v>
      </c>
      <c r="X173" s="15" t="s">
        <v>223</v>
      </c>
      <c r="Z173" s="26">
        <v>9200</v>
      </c>
      <c r="AA173">
        <v>9200</v>
      </c>
      <c r="AC173" s="24">
        <v>5000</v>
      </c>
      <c r="AD173">
        <v>5000</v>
      </c>
      <c r="AE173">
        <v>5000</v>
      </c>
    </row>
    <row r="174" spans="1:31">
      <c r="A174" s="29" t="s">
        <v>74</v>
      </c>
      <c r="B174" s="17" t="s">
        <v>565</v>
      </c>
      <c r="C174" s="30" t="s">
        <v>566</v>
      </c>
      <c r="D174" s="1">
        <v>34</v>
      </c>
      <c r="E174" s="35">
        <v>33624</v>
      </c>
      <c r="F174" s="30" t="s">
        <v>91</v>
      </c>
      <c r="G174" s="17" t="s">
        <v>91</v>
      </c>
      <c r="H174" s="31">
        <v>8000</v>
      </c>
      <c r="I174" s="31">
        <v>14500</v>
      </c>
      <c r="J174" s="1" t="s">
        <v>51</v>
      </c>
      <c r="K174" s="28">
        <v>9</v>
      </c>
      <c r="L174" s="1" t="str" cm="1">
        <f t="array" ref="L174">_xlfn.IFS(Tabela6[[#This Row],[qtde_batalhas]]&lt;=15,"Baixo",Tabela6[[#This Row],[qtde_batalhas]]&gt;=30,"Alto",Tabela6[[#This Row],[qtde_batalhas]]&lt;30,"Médio")</f>
        <v>Baixo</v>
      </c>
      <c r="M174" s="31">
        <v>17500</v>
      </c>
      <c r="O174" t="s">
        <v>75</v>
      </c>
      <c r="P174" t="str">
        <f t="shared" si="2"/>
        <v>Null</v>
      </c>
      <c r="U174" t="s">
        <v>567</v>
      </c>
      <c r="V174" t="str">
        <f>TEXT(U174,"000\.000\.000\-00")</f>
        <v>000.000.141-00</v>
      </c>
      <c r="X174" s="15" t="s">
        <v>239</v>
      </c>
      <c r="Z174" s="26">
        <v>8000</v>
      </c>
      <c r="AA174">
        <v>8000</v>
      </c>
      <c r="AC174" s="25">
        <v>14500</v>
      </c>
      <c r="AD174">
        <v>14500</v>
      </c>
      <c r="AE174">
        <v>14500</v>
      </c>
    </row>
    <row r="175" spans="1:31">
      <c r="A175" s="29" t="s">
        <v>78</v>
      </c>
      <c r="B175" s="17" t="s">
        <v>568</v>
      </c>
      <c r="C175" s="30" t="s">
        <v>499</v>
      </c>
      <c r="D175" s="1">
        <v>31</v>
      </c>
      <c r="E175" s="35">
        <v>34824</v>
      </c>
      <c r="F175" s="30" t="s">
        <v>91</v>
      </c>
      <c r="G175" s="17" t="s">
        <v>91</v>
      </c>
      <c r="H175" s="31">
        <v>29500</v>
      </c>
      <c r="I175" s="31">
        <v>5000</v>
      </c>
      <c r="J175" s="1" t="s">
        <v>50</v>
      </c>
      <c r="K175" s="28">
        <v>22</v>
      </c>
      <c r="L175" s="1" t="str" cm="1">
        <f t="array" ref="L175">_xlfn.IFS(Tabela6[[#This Row],[qtde_batalhas]]&lt;=15,"Baixo",Tabela6[[#This Row],[qtde_batalhas]]&gt;=30,"Alto",Tabela6[[#This Row],[qtde_batalhas]]&lt;30,"Médio")</f>
        <v>Médio</v>
      </c>
      <c r="M175" s="31">
        <v>18000</v>
      </c>
      <c r="O175" t="s">
        <v>75</v>
      </c>
      <c r="P175" t="str">
        <f t="shared" si="2"/>
        <v>Null</v>
      </c>
      <c r="U175" t="s">
        <v>202</v>
      </c>
      <c r="V175" t="str">
        <f>TEXT(U175,"000\.000\.000\-00")</f>
        <v>000.000.143-00</v>
      </c>
      <c r="X175" s="15" t="s">
        <v>239</v>
      </c>
      <c r="Z175" s="26">
        <v>29500</v>
      </c>
      <c r="AA175">
        <v>29500</v>
      </c>
      <c r="AC175" s="24">
        <v>5000</v>
      </c>
      <c r="AD175">
        <v>5000</v>
      </c>
      <c r="AE175">
        <v>5000</v>
      </c>
    </row>
    <row r="176" spans="1:31">
      <c r="A176" s="34" t="s">
        <v>75</v>
      </c>
      <c r="B176" s="17" t="s">
        <v>569</v>
      </c>
      <c r="C176" s="30" t="s">
        <v>550</v>
      </c>
      <c r="D176" s="1">
        <v>63</v>
      </c>
      <c r="E176" s="35">
        <v>22974</v>
      </c>
      <c r="F176" s="30" t="s">
        <v>91</v>
      </c>
      <c r="G176" s="17" t="s">
        <v>91</v>
      </c>
      <c r="H176" s="31">
        <v>14700</v>
      </c>
      <c r="I176" s="31">
        <v>0</v>
      </c>
      <c r="J176" s="1" t="s">
        <v>412</v>
      </c>
      <c r="K176" s="28">
        <v>40</v>
      </c>
      <c r="L176" s="1" t="str" cm="1">
        <f t="array" ref="L176">_xlfn.IFS(Tabela6[[#This Row],[qtde_batalhas]]&lt;=15,"Baixo",Tabela6[[#This Row],[qtde_batalhas]]&gt;=30,"Alto",Tabela6[[#This Row],[qtde_batalhas]]&lt;30,"Médio")</f>
        <v>Alto</v>
      </c>
      <c r="M176" s="31">
        <v>83500</v>
      </c>
      <c r="O176" t="s">
        <v>75</v>
      </c>
      <c r="P176" t="str">
        <f t="shared" si="2"/>
        <v>Null</v>
      </c>
      <c r="U176" t="s">
        <v>273</v>
      </c>
      <c r="V176" t="str">
        <f>TEXT(U176,"000\.000\.000\-00")</f>
        <v>000.000.144-00</v>
      </c>
      <c r="X176" s="15" t="s">
        <v>226</v>
      </c>
      <c r="Z176" s="26">
        <v>14700</v>
      </c>
      <c r="AA176">
        <v>14700</v>
      </c>
      <c r="AC176" s="25">
        <v>0</v>
      </c>
      <c r="AD176">
        <v>0</v>
      </c>
      <c r="AE176">
        <v>0</v>
      </c>
    </row>
    <row r="177" spans="1:31">
      <c r="A177" s="29" t="s">
        <v>74</v>
      </c>
      <c r="B177" s="17" t="s">
        <v>570</v>
      </c>
      <c r="C177" s="30" t="s">
        <v>571</v>
      </c>
      <c r="D177" s="1">
        <v>53</v>
      </c>
      <c r="E177" s="35">
        <v>26584</v>
      </c>
      <c r="F177" s="30" t="s">
        <v>91</v>
      </c>
      <c r="G177" s="17" t="s">
        <v>91</v>
      </c>
      <c r="H177" s="31">
        <v>12200</v>
      </c>
      <c r="I177" s="31">
        <v>79500</v>
      </c>
      <c r="J177" s="1" t="s">
        <v>255</v>
      </c>
      <c r="K177" s="28">
        <v>45</v>
      </c>
      <c r="L177" s="1" t="str" cm="1">
        <f t="array" ref="L177">_xlfn.IFS(Tabela6[[#This Row],[qtde_batalhas]]&lt;=15,"Baixo",Tabela6[[#This Row],[qtde_batalhas]]&gt;=30,"Alto",Tabela6[[#This Row],[qtde_batalhas]]&lt;30,"Médio")</f>
        <v>Alto</v>
      </c>
      <c r="M177" s="31">
        <v>57000</v>
      </c>
      <c r="O177" t="s">
        <v>75</v>
      </c>
      <c r="P177" t="str">
        <f t="shared" si="2"/>
        <v>Null</v>
      </c>
      <c r="U177" t="s">
        <v>564</v>
      </c>
      <c r="V177" t="str">
        <f>TEXT(U177,"000\.000\.000\-00")</f>
        <v>000.000.146-00</v>
      </c>
      <c r="X177" s="15" t="s">
        <v>246</v>
      </c>
      <c r="Z177" s="26">
        <v>12200</v>
      </c>
      <c r="AA177">
        <v>12200</v>
      </c>
      <c r="AC177" s="24">
        <v>79500</v>
      </c>
      <c r="AD177">
        <v>79500</v>
      </c>
      <c r="AE177">
        <v>79500</v>
      </c>
    </row>
    <row r="178" spans="1:31">
      <c r="A178" s="29" t="s">
        <v>74</v>
      </c>
      <c r="B178" s="17" t="s">
        <v>572</v>
      </c>
      <c r="C178" s="30" t="s">
        <v>573</v>
      </c>
      <c r="D178" s="1" t="s">
        <v>75</v>
      </c>
      <c r="E178" s="35">
        <v>19168</v>
      </c>
      <c r="F178" s="17" t="s">
        <v>101</v>
      </c>
      <c r="G178" s="17" t="s">
        <v>102</v>
      </c>
      <c r="H178" s="31">
        <v>25000</v>
      </c>
      <c r="I178" s="31">
        <v>0</v>
      </c>
      <c r="J178" s="1" t="s">
        <v>50</v>
      </c>
      <c r="K178" s="28">
        <v>3</v>
      </c>
      <c r="L178" s="1" t="str" cm="1">
        <f t="array" ref="L178">_xlfn.IFS(Tabela6[[#This Row],[qtde_batalhas]]&lt;=15,"Baixo",Tabela6[[#This Row],[qtde_batalhas]]&gt;=30,"Alto",Tabela6[[#This Row],[qtde_batalhas]]&lt;30,"Médio")</f>
        <v>Baixo</v>
      </c>
      <c r="M178" s="31">
        <v>2500</v>
      </c>
      <c r="O178" t="s">
        <v>130</v>
      </c>
      <c r="P178" t="str">
        <f t="shared" si="2"/>
        <v>Ilhas De Ferro</v>
      </c>
      <c r="U178" t="s">
        <v>268</v>
      </c>
      <c r="V178" t="str">
        <f>TEXT(U178,"000\.000\.000\-00")</f>
        <v>000.000.147-00</v>
      </c>
      <c r="X178" s="15" t="s">
        <v>219</v>
      </c>
      <c r="Z178" s="26">
        <v>25000</v>
      </c>
      <c r="AA178">
        <v>25000</v>
      </c>
      <c r="AC178" s="25">
        <v>0</v>
      </c>
      <c r="AD178">
        <v>0</v>
      </c>
      <c r="AE178">
        <v>0</v>
      </c>
    </row>
    <row r="179" spans="1:31">
      <c r="A179" s="29" t="s">
        <v>74</v>
      </c>
      <c r="B179" s="17" t="s">
        <v>574</v>
      </c>
      <c r="C179" s="30" t="s">
        <v>575</v>
      </c>
      <c r="D179" s="1">
        <v>69</v>
      </c>
      <c r="E179" s="35">
        <v>21051</v>
      </c>
      <c r="F179" s="17" t="s">
        <v>231</v>
      </c>
      <c r="G179" s="17" t="s">
        <v>180</v>
      </c>
      <c r="H179" s="31">
        <v>25100</v>
      </c>
      <c r="I179" s="31">
        <v>40500</v>
      </c>
      <c r="J179" s="1" t="s">
        <v>50</v>
      </c>
      <c r="K179" s="28">
        <v>43</v>
      </c>
      <c r="L179" s="1" t="str" cm="1">
        <f t="array" ref="L179">_xlfn.IFS(Tabela6[[#This Row],[qtde_batalhas]]&lt;=15,"Baixo",Tabela6[[#This Row],[qtde_batalhas]]&gt;=30,"Alto",Tabela6[[#This Row],[qtde_batalhas]]&lt;30,"Médio")</f>
        <v>Alto</v>
      </c>
      <c r="M179" s="31">
        <v>24500</v>
      </c>
      <c r="O179" t="s">
        <v>232</v>
      </c>
      <c r="P179" t="str">
        <f t="shared" si="2"/>
        <v>Terras Da Tempestade</v>
      </c>
      <c r="U179" t="s">
        <v>348</v>
      </c>
      <c r="V179" t="str">
        <f>TEXT(U179,"000\.000\.000\-00")</f>
        <v>000.000.148-00</v>
      </c>
      <c r="X179" s="15" t="s">
        <v>321</v>
      </c>
      <c r="Z179" s="26" t="s">
        <v>576</v>
      </c>
      <c r="AA179">
        <v>25100</v>
      </c>
      <c r="AC179" s="24">
        <v>40500</v>
      </c>
      <c r="AD179">
        <v>40500</v>
      </c>
      <c r="AE179">
        <v>40500</v>
      </c>
    </row>
    <row r="180" spans="1:31">
      <c r="A180" s="34" t="s">
        <v>75</v>
      </c>
      <c r="B180" s="17" t="s">
        <v>577</v>
      </c>
      <c r="C180" s="30" t="s">
        <v>578</v>
      </c>
      <c r="D180" s="1">
        <v>22</v>
      </c>
      <c r="E180" s="35" t="s">
        <v>75</v>
      </c>
      <c r="F180" s="17" t="s">
        <v>156</v>
      </c>
      <c r="G180" s="17" t="s">
        <v>116</v>
      </c>
      <c r="H180" s="31">
        <v>14400</v>
      </c>
      <c r="I180" s="31">
        <v>0</v>
      </c>
      <c r="J180" s="1" t="s">
        <v>50</v>
      </c>
      <c r="K180" s="28">
        <v>27</v>
      </c>
      <c r="L180" s="1" t="str" cm="1">
        <f t="array" ref="L180">_xlfn.IFS(Tabela6[[#This Row],[qtde_batalhas]]&lt;=15,"Baixo",Tabela6[[#This Row],[qtde_batalhas]]&gt;=30,"Alto",Tabela6[[#This Row],[qtde_batalhas]]&lt;30,"Médio")</f>
        <v>Médio</v>
      </c>
      <c r="M180" s="31">
        <v>33500</v>
      </c>
      <c r="O180" t="s">
        <v>116</v>
      </c>
      <c r="P180" t="str">
        <f t="shared" si="2"/>
        <v>Essos</v>
      </c>
      <c r="U180" t="s">
        <v>366</v>
      </c>
      <c r="V180" t="str">
        <f>TEXT(U180,"000\.000\.000\-00")</f>
        <v>000.000.149-00</v>
      </c>
      <c r="X180" s="15" t="s">
        <v>150</v>
      </c>
      <c r="Z180" s="26">
        <v>14400</v>
      </c>
      <c r="AA180">
        <v>14400</v>
      </c>
      <c r="AC180" s="25">
        <v>0</v>
      </c>
      <c r="AD180">
        <v>0</v>
      </c>
      <c r="AE180">
        <v>0</v>
      </c>
    </row>
    <row r="181" spans="1:31">
      <c r="A181" s="29" t="s">
        <v>74</v>
      </c>
      <c r="B181" s="17" t="s">
        <v>579</v>
      </c>
      <c r="C181" s="30" t="s">
        <v>393</v>
      </c>
      <c r="D181" s="1">
        <v>40</v>
      </c>
      <c r="E181" s="35">
        <v>31647</v>
      </c>
      <c r="F181" s="30" t="s">
        <v>91</v>
      </c>
      <c r="G181" s="17" t="s">
        <v>91</v>
      </c>
      <c r="H181" s="31">
        <v>18700</v>
      </c>
      <c r="I181" s="31">
        <v>15000</v>
      </c>
      <c r="K181" s="28">
        <v>26</v>
      </c>
      <c r="L181" s="1" t="str" cm="1">
        <f t="array" ref="L181">_xlfn.IFS(Tabela6[[#This Row],[qtde_batalhas]]&lt;=15,"Baixo",Tabela6[[#This Row],[qtde_batalhas]]&gt;=30,"Alto",Tabela6[[#This Row],[qtde_batalhas]]&lt;30,"Médio")</f>
        <v>Médio</v>
      </c>
      <c r="M181" s="31">
        <v>89500</v>
      </c>
      <c r="O181" t="s">
        <v>75</v>
      </c>
      <c r="P181" t="str">
        <f t="shared" si="2"/>
        <v>Null</v>
      </c>
      <c r="U181" t="s">
        <v>575</v>
      </c>
      <c r="V181" t="str">
        <f>TEXT(U181,"000\.000\.000\-00")</f>
        <v>000.000.152-00</v>
      </c>
      <c r="X181" s="15" t="s">
        <v>226</v>
      </c>
      <c r="Z181" s="26">
        <v>18700</v>
      </c>
      <c r="AA181">
        <v>18700</v>
      </c>
      <c r="AC181" s="24">
        <v>15000</v>
      </c>
      <c r="AD181">
        <v>15000</v>
      </c>
      <c r="AE181">
        <v>15000</v>
      </c>
    </row>
    <row r="182" spans="1:31">
      <c r="A182" s="29" t="s">
        <v>74</v>
      </c>
      <c r="B182" s="17" t="s">
        <v>580</v>
      </c>
      <c r="C182" s="30" t="s">
        <v>527</v>
      </c>
      <c r="D182" s="1">
        <v>29</v>
      </c>
      <c r="E182" s="35">
        <v>35392</v>
      </c>
      <c r="F182" s="30" t="s">
        <v>91</v>
      </c>
      <c r="G182" s="17" t="s">
        <v>91</v>
      </c>
      <c r="H182" s="31">
        <v>6400</v>
      </c>
      <c r="I182" s="31">
        <v>19500</v>
      </c>
      <c r="J182" s="1" t="s">
        <v>50</v>
      </c>
      <c r="K182" s="28">
        <v>30</v>
      </c>
      <c r="L182" s="1" t="str" cm="1">
        <f t="array" ref="L182">_xlfn.IFS(Tabela6[[#This Row],[qtde_batalhas]]&lt;=15,"Baixo",Tabela6[[#This Row],[qtde_batalhas]]&gt;=30,"Alto",Tabela6[[#This Row],[qtde_batalhas]]&lt;30,"Médio")</f>
        <v>Alto</v>
      </c>
      <c r="M182" s="31">
        <v>51000</v>
      </c>
      <c r="O182" t="s">
        <v>75</v>
      </c>
      <c r="P182" t="str">
        <f t="shared" si="2"/>
        <v>Null</v>
      </c>
      <c r="U182" t="s">
        <v>372</v>
      </c>
      <c r="V182" t="str">
        <f>TEXT(U182,"000\.000\.000\-00")</f>
        <v>000.000.153-00</v>
      </c>
      <c r="X182" s="15" t="s">
        <v>246</v>
      </c>
      <c r="Z182" s="26" t="s">
        <v>581</v>
      </c>
      <c r="AA182">
        <v>6400</v>
      </c>
      <c r="AC182" s="25">
        <v>19500</v>
      </c>
      <c r="AD182">
        <v>19500</v>
      </c>
      <c r="AE182">
        <v>19500</v>
      </c>
    </row>
    <row r="183" spans="1:31">
      <c r="A183" s="29" t="s">
        <v>78</v>
      </c>
      <c r="B183" s="17" t="s">
        <v>582</v>
      </c>
      <c r="C183" s="30" t="s">
        <v>583</v>
      </c>
      <c r="D183" s="1">
        <v>53</v>
      </c>
      <c r="E183" s="35">
        <v>26629</v>
      </c>
      <c r="F183" s="30" t="s">
        <v>91</v>
      </c>
      <c r="G183" s="17" t="s">
        <v>91</v>
      </c>
      <c r="H183" s="31">
        <v>16500</v>
      </c>
      <c r="I183" s="31">
        <v>4000</v>
      </c>
      <c r="J183" s="1" t="s">
        <v>50</v>
      </c>
      <c r="K183" s="28">
        <v>14</v>
      </c>
      <c r="L183" s="1" t="str" cm="1">
        <f t="array" ref="L183">_xlfn.IFS(Tabela6[[#This Row],[qtde_batalhas]]&lt;=15,"Baixo",Tabela6[[#This Row],[qtde_batalhas]]&gt;=30,"Alto",Tabela6[[#This Row],[qtde_batalhas]]&lt;30,"Médio")</f>
        <v>Baixo</v>
      </c>
      <c r="M183" s="31">
        <v>36000</v>
      </c>
      <c r="O183" t="s">
        <v>75</v>
      </c>
      <c r="P183" t="str">
        <f t="shared" si="2"/>
        <v>Null</v>
      </c>
      <c r="U183" t="s">
        <v>584</v>
      </c>
      <c r="V183" t="str">
        <f>TEXT(U183,"000\.000\.000\-00")</f>
        <v>000.000.155-00</v>
      </c>
      <c r="X183" s="15" t="s">
        <v>288</v>
      </c>
      <c r="Z183" s="26">
        <v>16500</v>
      </c>
      <c r="AA183">
        <v>16500</v>
      </c>
      <c r="AC183" s="24">
        <v>4000</v>
      </c>
      <c r="AD183">
        <v>4000</v>
      </c>
      <c r="AE183">
        <v>4000</v>
      </c>
    </row>
    <row r="184" spans="1:31">
      <c r="A184" s="29" t="s">
        <v>78</v>
      </c>
      <c r="B184" s="17" t="s">
        <v>585</v>
      </c>
      <c r="C184" s="30" t="s">
        <v>586</v>
      </c>
      <c r="D184" s="1">
        <v>31</v>
      </c>
      <c r="E184" s="35">
        <v>34885</v>
      </c>
      <c r="F184" s="30" t="s">
        <v>91</v>
      </c>
      <c r="G184" s="17" t="s">
        <v>91</v>
      </c>
      <c r="H184" s="31">
        <v>16400</v>
      </c>
      <c r="I184" s="31" t="s">
        <v>75</v>
      </c>
      <c r="J184" s="1" t="s">
        <v>349</v>
      </c>
      <c r="K184" s="28">
        <v>6</v>
      </c>
      <c r="L184" s="1" t="str" cm="1">
        <f t="array" ref="L184">_xlfn.IFS(Tabela6[[#This Row],[qtde_batalhas]]&lt;=15,"Baixo",Tabela6[[#This Row],[qtde_batalhas]]&gt;=30,"Alto",Tabela6[[#This Row],[qtde_batalhas]]&lt;30,"Médio")</f>
        <v>Baixo</v>
      </c>
      <c r="M184" s="31">
        <v>49500</v>
      </c>
      <c r="O184" t="s">
        <v>75</v>
      </c>
      <c r="P184" t="str">
        <f t="shared" si="2"/>
        <v>Null</v>
      </c>
      <c r="U184" t="s">
        <v>351</v>
      </c>
      <c r="V184" t="str">
        <f>TEXT(U184,"000\.000\.000\-00")</f>
        <v>000.000.157-00</v>
      </c>
      <c r="X184" s="15" t="s">
        <v>101</v>
      </c>
      <c r="Z184" s="26">
        <v>16400</v>
      </c>
      <c r="AA184">
        <v>16400</v>
      </c>
      <c r="AC184" s="25" t="s">
        <v>587</v>
      </c>
      <c r="AD184" t="s">
        <v>75</v>
      </c>
      <c r="AE184" t="s">
        <v>75</v>
      </c>
    </row>
    <row r="185" spans="1:31">
      <c r="A185" s="29" t="s">
        <v>74</v>
      </c>
      <c r="B185" s="17" t="s">
        <v>588</v>
      </c>
      <c r="C185" s="30" t="s">
        <v>589</v>
      </c>
      <c r="D185" s="1">
        <v>22</v>
      </c>
      <c r="E185" s="35">
        <v>38204</v>
      </c>
      <c r="F185" s="17" t="s">
        <v>362</v>
      </c>
      <c r="G185" s="17" t="s">
        <v>363</v>
      </c>
      <c r="H185" s="31">
        <v>10500</v>
      </c>
      <c r="I185" s="31">
        <v>50500</v>
      </c>
      <c r="J185" s="1" t="s">
        <v>50</v>
      </c>
      <c r="K185" s="28">
        <v>16</v>
      </c>
      <c r="L185" s="1" t="str" cm="1">
        <f t="array" ref="L185">_xlfn.IFS(Tabela6[[#This Row],[qtde_batalhas]]&lt;=15,"Baixo",Tabela6[[#This Row],[qtde_batalhas]]&gt;=30,"Alto",Tabela6[[#This Row],[qtde_batalhas]]&lt;30,"Médio")</f>
        <v>Médio</v>
      </c>
      <c r="M185" s="31">
        <v>41500</v>
      </c>
      <c r="O185" t="s">
        <v>363</v>
      </c>
      <c r="P185" t="str">
        <f t="shared" si="2"/>
        <v>Vale</v>
      </c>
      <c r="U185" t="s">
        <v>254</v>
      </c>
      <c r="V185" t="str">
        <f>TEXT(U185,"000\.000\.000\-00")</f>
        <v>000.000.158-00</v>
      </c>
      <c r="X185" s="15" t="s">
        <v>101</v>
      </c>
      <c r="Z185" s="26">
        <v>10500</v>
      </c>
      <c r="AA185">
        <v>10500</v>
      </c>
      <c r="AC185" s="24">
        <v>50500</v>
      </c>
      <c r="AD185">
        <v>50500</v>
      </c>
      <c r="AE185">
        <v>50500</v>
      </c>
    </row>
    <row r="186" spans="1:31">
      <c r="A186" s="29" t="s">
        <v>74</v>
      </c>
      <c r="B186" s="17" t="s">
        <v>590</v>
      </c>
      <c r="C186" s="30" t="s">
        <v>591</v>
      </c>
      <c r="D186" s="1">
        <v>31</v>
      </c>
      <c r="E186" s="35">
        <v>34852</v>
      </c>
      <c r="F186" s="17" t="s">
        <v>215</v>
      </c>
      <c r="G186" s="17" t="s">
        <v>164</v>
      </c>
      <c r="H186" s="31">
        <v>20500</v>
      </c>
      <c r="I186" s="31">
        <v>47500</v>
      </c>
      <c r="J186" s="1" t="s">
        <v>50</v>
      </c>
      <c r="K186" s="28">
        <v>11</v>
      </c>
      <c r="L186" s="1" t="str" cm="1">
        <f t="array" ref="L186">_xlfn.IFS(Tabela6[[#This Row],[qtde_batalhas]]&lt;=15,"Baixo",Tabela6[[#This Row],[qtde_batalhas]]&gt;=30,"Alto",Tabela6[[#This Row],[qtde_batalhas]]&lt;30,"Médio")</f>
        <v>Baixo</v>
      </c>
      <c r="M186" s="31">
        <v>18500</v>
      </c>
      <c r="O186" t="s">
        <v>164</v>
      </c>
      <c r="P186" t="str">
        <f t="shared" si="2"/>
        <v>Norte</v>
      </c>
      <c r="U186" t="s">
        <v>433</v>
      </c>
      <c r="V186" t="str">
        <f>TEXT(U186,"000\.000\.000\-00")</f>
        <v>000.000.162-00</v>
      </c>
      <c r="X186" s="15" t="s">
        <v>219</v>
      </c>
      <c r="Z186" s="26">
        <v>20500</v>
      </c>
      <c r="AA186">
        <v>20500</v>
      </c>
      <c r="AC186" s="25">
        <v>47500</v>
      </c>
      <c r="AD186">
        <v>47500</v>
      </c>
      <c r="AE186">
        <v>47500</v>
      </c>
    </row>
    <row r="187" spans="1:31">
      <c r="A187" s="29" t="s">
        <v>74</v>
      </c>
      <c r="B187" s="17" t="s">
        <v>592</v>
      </c>
      <c r="C187" s="30" t="s">
        <v>593</v>
      </c>
      <c r="D187" s="1">
        <v>58</v>
      </c>
      <c r="E187" s="35">
        <v>24905</v>
      </c>
      <c r="F187" s="30" t="s">
        <v>91</v>
      </c>
      <c r="G187" s="17" t="s">
        <v>91</v>
      </c>
      <c r="H187" s="31">
        <v>12400</v>
      </c>
      <c r="I187" s="31">
        <v>21500</v>
      </c>
      <c r="J187" s="1" t="s">
        <v>51</v>
      </c>
      <c r="K187" s="28">
        <v>24</v>
      </c>
      <c r="L187" s="1" t="str" cm="1">
        <f t="array" ref="L187">_xlfn.IFS(Tabela6[[#This Row],[qtde_batalhas]]&lt;=15,"Baixo",Tabela6[[#This Row],[qtde_batalhas]]&gt;=30,"Alto",Tabela6[[#This Row],[qtde_batalhas]]&lt;30,"Médio")</f>
        <v>Médio</v>
      </c>
      <c r="M187" s="31">
        <v>80000</v>
      </c>
      <c r="O187" t="s">
        <v>75</v>
      </c>
      <c r="P187" t="str">
        <f t="shared" si="2"/>
        <v>Null</v>
      </c>
      <c r="U187" t="s">
        <v>594</v>
      </c>
      <c r="V187" t="str">
        <f>TEXT(U187,"000\.000\.000\-00")</f>
        <v>000.000.164-00</v>
      </c>
      <c r="X187" s="15" t="s">
        <v>239</v>
      </c>
      <c r="Z187" s="26">
        <v>12400</v>
      </c>
      <c r="AA187">
        <v>12400</v>
      </c>
      <c r="AC187" s="24">
        <v>21500</v>
      </c>
      <c r="AD187">
        <v>21500</v>
      </c>
      <c r="AE187">
        <v>21500</v>
      </c>
    </row>
    <row r="188" spans="1:31">
      <c r="A188" s="29" t="s">
        <v>74</v>
      </c>
      <c r="B188" s="17" t="s">
        <v>595</v>
      </c>
      <c r="C188" s="30" t="s">
        <v>596</v>
      </c>
      <c r="D188" s="1">
        <v>56</v>
      </c>
      <c r="E188" s="35">
        <v>25671</v>
      </c>
      <c r="F188" s="30" t="s">
        <v>91</v>
      </c>
      <c r="G188" s="17" t="s">
        <v>91</v>
      </c>
      <c r="H188" s="31">
        <v>28300</v>
      </c>
      <c r="I188" s="31">
        <v>56000</v>
      </c>
      <c r="J188" s="1" t="s">
        <v>50</v>
      </c>
      <c r="K188" s="28">
        <v>6</v>
      </c>
      <c r="L188" s="1" t="str" cm="1">
        <f t="array" ref="L188">_xlfn.IFS(Tabela6[[#This Row],[qtde_batalhas]]&lt;=15,"Baixo",Tabela6[[#This Row],[qtde_batalhas]]&gt;=30,"Alto",Tabela6[[#This Row],[qtde_batalhas]]&lt;30,"Médio")</f>
        <v>Baixo</v>
      </c>
      <c r="M188" s="31">
        <v>77000</v>
      </c>
      <c r="O188" t="s">
        <v>75</v>
      </c>
      <c r="P188" t="str">
        <f t="shared" si="2"/>
        <v>Null</v>
      </c>
      <c r="U188" t="s">
        <v>375</v>
      </c>
      <c r="V188" t="str">
        <f>TEXT(U188,"000\.000\.000\-00")</f>
        <v>000.000.167-00</v>
      </c>
      <c r="X188" s="15" t="s">
        <v>239</v>
      </c>
      <c r="Z188" s="26">
        <v>28300</v>
      </c>
      <c r="AA188">
        <v>28300</v>
      </c>
      <c r="AC188" s="25">
        <v>56000</v>
      </c>
      <c r="AD188">
        <v>56000</v>
      </c>
      <c r="AE188">
        <v>56000</v>
      </c>
    </row>
    <row r="189" spans="1:31">
      <c r="A189" s="29" t="s">
        <v>74</v>
      </c>
      <c r="B189" s="17" t="s">
        <v>597</v>
      </c>
      <c r="C189" s="30" t="s">
        <v>598</v>
      </c>
      <c r="D189" s="1">
        <v>62</v>
      </c>
      <c r="E189" s="35">
        <v>23278</v>
      </c>
      <c r="F189" s="30" t="s">
        <v>91</v>
      </c>
      <c r="G189" s="17" t="s">
        <v>91</v>
      </c>
      <c r="H189" s="31">
        <v>17000</v>
      </c>
      <c r="I189" s="31">
        <v>64000</v>
      </c>
      <c r="J189" s="1" t="s">
        <v>51</v>
      </c>
      <c r="K189" s="28">
        <v>21</v>
      </c>
      <c r="L189" s="1" t="str" cm="1">
        <f t="array" ref="L189">_xlfn.IFS(Tabela6[[#This Row],[qtde_batalhas]]&lt;=15,"Baixo",Tabela6[[#This Row],[qtde_batalhas]]&gt;=30,"Alto",Tabela6[[#This Row],[qtde_batalhas]]&lt;30,"Médio")</f>
        <v>Médio</v>
      </c>
      <c r="M189" s="31">
        <v>19000</v>
      </c>
      <c r="O189" t="s">
        <v>75</v>
      </c>
      <c r="P189" t="str">
        <f t="shared" si="2"/>
        <v>Null</v>
      </c>
      <c r="U189" t="s">
        <v>498</v>
      </c>
      <c r="V189" t="str">
        <f>TEXT(U189,"000\.000\.000\-00")</f>
        <v>000.000.168-00</v>
      </c>
      <c r="X189" s="15" t="s">
        <v>231</v>
      </c>
      <c r="Z189" s="26">
        <v>17000</v>
      </c>
      <c r="AA189">
        <v>17000</v>
      </c>
      <c r="AC189" s="24">
        <v>64000</v>
      </c>
      <c r="AD189">
        <v>64000</v>
      </c>
      <c r="AE189">
        <v>64000</v>
      </c>
    </row>
    <row r="190" spans="1:31">
      <c r="A190" s="29" t="s">
        <v>74</v>
      </c>
      <c r="B190" s="17" t="s">
        <v>599</v>
      </c>
      <c r="C190" s="30" t="s">
        <v>382</v>
      </c>
      <c r="D190" s="1">
        <v>42</v>
      </c>
      <c r="E190" s="35">
        <v>30666</v>
      </c>
      <c r="F190" s="30" t="s">
        <v>91</v>
      </c>
      <c r="G190" s="17" t="s">
        <v>91</v>
      </c>
      <c r="H190" s="31">
        <v>6000</v>
      </c>
      <c r="I190" s="31">
        <v>55000</v>
      </c>
      <c r="J190" s="1" t="s">
        <v>50</v>
      </c>
      <c r="K190" s="28">
        <v>5</v>
      </c>
      <c r="L190" s="1" t="str" cm="1">
        <f t="array" ref="L190">_xlfn.IFS(Tabela6[[#This Row],[qtde_batalhas]]&lt;=15,"Baixo",Tabela6[[#This Row],[qtde_batalhas]]&gt;=30,"Alto",Tabela6[[#This Row],[qtde_batalhas]]&lt;30,"Médio")</f>
        <v>Baixo</v>
      </c>
      <c r="M190" s="31">
        <v>10000</v>
      </c>
      <c r="O190" t="s">
        <v>75</v>
      </c>
      <c r="P190" t="str">
        <f t="shared" si="2"/>
        <v>Null</v>
      </c>
      <c r="U190" t="s">
        <v>600</v>
      </c>
      <c r="V190" t="str">
        <f>TEXT(U190,"000\.000\.000\-00")</f>
        <v>000.000.169-00</v>
      </c>
      <c r="X190" s="15" t="s">
        <v>215</v>
      </c>
      <c r="Z190" s="26">
        <v>6000</v>
      </c>
      <c r="AA190">
        <v>6000</v>
      </c>
      <c r="AC190" s="25">
        <v>55000</v>
      </c>
      <c r="AD190">
        <v>55000</v>
      </c>
      <c r="AE190">
        <v>55000</v>
      </c>
    </row>
    <row r="191" spans="1:31">
      <c r="A191" s="29" t="s">
        <v>74</v>
      </c>
      <c r="B191" s="17" t="s">
        <v>601</v>
      </c>
      <c r="C191" s="30" t="s">
        <v>508</v>
      </c>
      <c r="D191" s="1">
        <v>47</v>
      </c>
      <c r="E191" s="35">
        <v>29007</v>
      </c>
      <c r="F191" s="30" t="s">
        <v>91</v>
      </c>
      <c r="G191" s="17" t="s">
        <v>91</v>
      </c>
      <c r="H191" s="31">
        <v>5000</v>
      </c>
      <c r="I191" s="31">
        <v>75500</v>
      </c>
      <c r="J191" s="1" t="s">
        <v>51</v>
      </c>
      <c r="K191" s="28">
        <v>2</v>
      </c>
      <c r="L191" s="1" t="str" cm="1">
        <f t="array" ref="L191">_xlfn.IFS(Tabela6[[#This Row],[qtde_batalhas]]&lt;=15,"Baixo",Tabela6[[#This Row],[qtde_batalhas]]&gt;=30,"Alto",Tabela6[[#This Row],[qtde_batalhas]]&lt;30,"Médio")</f>
        <v>Baixo</v>
      </c>
      <c r="M191" s="31">
        <v>89500</v>
      </c>
      <c r="O191" t="s">
        <v>75</v>
      </c>
      <c r="P191" t="str">
        <f t="shared" si="2"/>
        <v>Null</v>
      </c>
      <c r="U191" t="s">
        <v>591</v>
      </c>
      <c r="V191" t="str">
        <f>TEXT(U191,"000\.000\.000\-00")</f>
        <v>000.000.170-00</v>
      </c>
      <c r="X191" s="15" t="s">
        <v>215</v>
      </c>
      <c r="Z191" s="26">
        <v>5000</v>
      </c>
      <c r="AA191">
        <v>5000</v>
      </c>
      <c r="AC191" s="24">
        <v>75500</v>
      </c>
      <c r="AD191">
        <v>75500</v>
      </c>
      <c r="AE191">
        <v>75500</v>
      </c>
    </row>
    <row r="192" spans="1:31">
      <c r="A192" s="29" t="s">
        <v>78</v>
      </c>
      <c r="B192" s="30" t="s">
        <v>602</v>
      </c>
      <c r="C192" s="30" t="s">
        <v>603</v>
      </c>
      <c r="D192" s="1">
        <v>55</v>
      </c>
      <c r="E192" s="35">
        <v>25892</v>
      </c>
      <c r="F192" s="30" t="s">
        <v>91</v>
      </c>
      <c r="G192" s="17" t="s">
        <v>91</v>
      </c>
      <c r="H192" s="31">
        <v>5300</v>
      </c>
      <c r="I192" s="31">
        <v>6500</v>
      </c>
      <c r="J192" s="1" t="s">
        <v>50</v>
      </c>
      <c r="K192" s="28">
        <v>42</v>
      </c>
      <c r="L192" s="1" t="str" cm="1">
        <f t="array" ref="L192">_xlfn.IFS(Tabela6[[#This Row],[qtde_batalhas]]&lt;=15,"Baixo",Tabela6[[#This Row],[qtde_batalhas]]&gt;=30,"Alto",Tabela6[[#This Row],[qtde_batalhas]]&lt;30,"Médio")</f>
        <v>Alto</v>
      </c>
      <c r="M192" s="31">
        <v>96000</v>
      </c>
      <c r="O192" t="s">
        <v>75</v>
      </c>
      <c r="P192" t="str">
        <f t="shared" si="2"/>
        <v>Null</v>
      </c>
      <c r="U192" t="s">
        <v>133</v>
      </c>
      <c r="V192" t="str">
        <f>TEXT(U192,"000\.000\.000\-00")</f>
        <v>000.000.172-00</v>
      </c>
      <c r="X192" s="15" t="s">
        <v>604</v>
      </c>
      <c r="Y192" t="e" cm="1" vm="1">
        <f t="array" aca="1" ref="Y192" ca="1">_xlfn.TEXTSPLIT(X192," | ")</f>
        <v>#VALUE!</v>
      </c>
      <c r="Z192" s="26">
        <v>5300</v>
      </c>
      <c r="AA192">
        <v>5300</v>
      </c>
      <c r="AB192" t="s">
        <v>116</v>
      </c>
      <c r="AC192" s="25">
        <v>6500</v>
      </c>
      <c r="AD192">
        <v>6500</v>
      </c>
      <c r="AE192">
        <v>6500</v>
      </c>
    </row>
    <row r="193" spans="1:31">
      <c r="A193" s="29" t="s">
        <v>74</v>
      </c>
      <c r="B193" s="17" t="s">
        <v>605</v>
      </c>
      <c r="C193" s="30" t="s">
        <v>606</v>
      </c>
      <c r="D193" s="1">
        <v>49</v>
      </c>
      <c r="E193" s="35">
        <v>28330</v>
      </c>
      <c r="F193" s="30" t="s">
        <v>91</v>
      </c>
      <c r="G193" s="17" t="s">
        <v>91</v>
      </c>
      <c r="H193" s="31">
        <v>11500</v>
      </c>
      <c r="I193" s="31">
        <v>44500</v>
      </c>
      <c r="J193" s="1" t="s">
        <v>50</v>
      </c>
      <c r="K193" s="28">
        <v>45</v>
      </c>
      <c r="L193" s="1" t="str" cm="1">
        <f t="array" ref="L193">_xlfn.IFS(Tabela6[[#This Row],[qtde_batalhas]]&lt;=15,"Baixo",Tabela6[[#This Row],[qtde_batalhas]]&gt;=30,"Alto",Tabela6[[#This Row],[qtde_batalhas]]&lt;30,"Médio")</f>
        <v>Alto</v>
      </c>
      <c r="M193" s="31">
        <v>3000</v>
      </c>
      <c r="O193" t="s">
        <v>75</v>
      </c>
      <c r="P193" t="str">
        <f t="shared" si="2"/>
        <v>Null</v>
      </c>
      <c r="U193" t="s">
        <v>276</v>
      </c>
      <c r="V193" t="str">
        <f>TEXT(U193,"000\.000\.000\-00")</f>
        <v>000.000.173-00</v>
      </c>
      <c r="X193" s="15" t="s">
        <v>223</v>
      </c>
      <c r="Z193" s="26">
        <v>11500</v>
      </c>
      <c r="AA193">
        <v>11500</v>
      </c>
      <c r="AC193" s="24">
        <v>44500</v>
      </c>
      <c r="AD193">
        <v>44500</v>
      </c>
      <c r="AE193">
        <v>44500</v>
      </c>
    </row>
    <row r="194" spans="1:31">
      <c r="A194" s="29" t="s">
        <v>74</v>
      </c>
      <c r="B194" s="17" t="s">
        <v>607</v>
      </c>
      <c r="C194" s="30" t="s">
        <v>608</v>
      </c>
      <c r="D194" s="1">
        <v>48</v>
      </c>
      <c r="E194" s="35">
        <v>28647</v>
      </c>
      <c r="F194" s="30" t="s">
        <v>91</v>
      </c>
      <c r="G194" s="17" t="s">
        <v>91</v>
      </c>
      <c r="H194" s="31">
        <v>13200</v>
      </c>
      <c r="I194" s="31" t="s">
        <v>75</v>
      </c>
      <c r="J194" s="1" t="s">
        <v>50</v>
      </c>
      <c r="K194" s="28">
        <v>1</v>
      </c>
      <c r="L194" s="1" t="str" cm="1">
        <f t="array" ref="L194">_xlfn.IFS(Tabela6[[#This Row],[qtde_batalhas]]&lt;=15,"Baixo",Tabela6[[#This Row],[qtde_batalhas]]&gt;=30,"Alto",Tabela6[[#This Row],[qtde_batalhas]]&lt;30,"Médio")</f>
        <v>Baixo</v>
      </c>
      <c r="M194" s="31">
        <v>32500</v>
      </c>
      <c r="O194" t="s">
        <v>75</v>
      </c>
      <c r="P194" t="str">
        <f t="shared" si="2"/>
        <v>Null</v>
      </c>
      <c r="U194" t="s">
        <v>228</v>
      </c>
      <c r="V194" t="str">
        <f>TEXT(U194,"000\.000\.000\-00")</f>
        <v>000.000.177-00</v>
      </c>
      <c r="X194" s="15" t="s">
        <v>101</v>
      </c>
      <c r="Z194" s="26">
        <v>13200</v>
      </c>
      <c r="AA194">
        <v>13200</v>
      </c>
      <c r="AC194" s="25" t="s">
        <v>609</v>
      </c>
      <c r="AD194" t="s">
        <v>75</v>
      </c>
      <c r="AE194" t="s">
        <v>75</v>
      </c>
    </row>
    <row r="195" spans="1:31">
      <c r="A195" s="29" t="s">
        <v>74</v>
      </c>
      <c r="B195" s="17" t="s">
        <v>610</v>
      </c>
      <c r="C195" s="30" t="s">
        <v>611</v>
      </c>
      <c r="D195" s="1">
        <v>45</v>
      </c>
      <c r="E195" s="35">
        <v>29598</v>
      </c>
      <c r="F195" s="30" t="s">
        <v>91</v>
      </c>
      <c r="G195" s="17" t="s">
        <v>91</v>
      </c>
      <c r="H195" s="31">
        <v>22800</v>
      </c>
      <c r="I195" s="31" t="s">
        <v>75</v>
      </c>
      <c r="J195" s="1" t="s">
        <v>50</v>
      </c>
      <c r="K195" s="28">
        <v>10</v>
      </c>
      <c r="L195" s="1" t="str" cm="1">
        <f t="array" ref="L195">_xlfn.IFS(Tabela6[[#This Row],[qtde_batalhas]]&lt;=15,"Baixo",Tabela6[[#This Row],[qtde_batalhas]]&gt;=30,"Alto",Tabela6[[#This Row],[qtde_batalhas]]&lt;30,"Médio")</f>
        <v>Baixo</v>
      </c>
      <c r="M195" s="31">
        <v>31000</v>
      </c>
      <c r="O195" t="s">
        <v>75</v>
      </c>
      <c r="P195" t="str">
        <f t="shared" si="2"/>
        <v>Null</v>
      </c>
      <c r="U195" t="s">
        <v>612</v>
      </c>
      <c r="V195" t="str">
        <f>TEXT(U195,"000\.000\.000\-00")</f>
        <v>000.000.178-00</v>
      </c>
      <c r="X195" s="15" t="s">
        <v>223</v>
      </c>
      <c r="Z195" s="26">
        <v>22800</v>
      </c>
      <c r="AA195">
        <v>22800</v>
      </c>
      <c r="AC195" s="24"/>
      <c r="AD195" t="s">
        <v>75</v>
      </c>
      <c r="AE195" t="s">
        <v>75</v>
      </c>
    </row>
    <row r="196" spans="1:31">
      <c r="A196" s="29" t="s">
        <v>74</v>
      </c>
      <c r="B196" s="17" t="s">
        <v>613</v>
      </c>
      <c r="C196" s="30" t="s">
        <v>614</v>
      </c>
      <c r="D196" s="1" t="s">
        <v>285</v>
      </c>
      <c r="E196" s="35" t="s">
        <v>75</v>
      </c>
      <c r="F196" s="17" t="s">
        <v>219</v>
      </c>
      <c r="G196" s="17" t="s">
        <v>164</v>
      </c>
      <c r="H196" s="31">
        <v>21300</v>
      </c>
      <c r="I196" s="31">
        <v>60500</v>
      </c>
      <c r="K196" s="28">
        <v>15</v>
      </c>
      <c r="L196" s="1" t="str" cm="1">
        <f t="array" ref="L196">_xlfn.IFS(Tabela6[[#This Row],[qtde_batalhas]]&lt;=15,"Baixo",Tabela6[[#This Row],[qtde_batalhas]]&gt;=30,"Alto",Tabela6[[#This Row],[qtde_batalhas]]&lt;30,"Médio")</f>
        <v>Baixo</v>
      </c>
      <c r="M196" s="31">
        <v>74500</v>
      </c>
      <c r="O196" t="s">
        <v>164</v>
      </c>
      <c r="P196" t="str">
        <f t="shared" ref="P196:P259" si="3">PROPER(O196)</f>
        <v>Norte</v>
      </c>
      <c r="U196" t="s">
        <v>324</v>
      </c>
      <c r="V196" t="str">
        <f>TEXT(U196,"000\.000\.000\-00")</f>
        <v>000.000.181-00</v>
      </c>
      <c r="X196" s="15" t="s">
        <v>86</v>
      </c>
      <c r="Z196" s="26">
        <v>21300</v>
      </c>
      <c r="AA196">
        <v>21300</v>
      </c>
      <c r="AC196" s="25">
        <v>60500</v>
      </c>
      <c r="AD196">
        <v>60500</v>
      </c>
      <c r="AE196">
        <v>60500</v>
      </c>
    </row>
    <row r="197" spans="1:31">
      <c r="A197" s="29" t="s">
        <v>74</v>
      </c>
      <c r="B197" s="17" t="s">
        <v>615</v>
      </c>
      <c r="C197" s="30" t="s">
        <v>616</v>
      </c>
      <c r="D197" s="1">
        <v>40</v>
      </c>
      <c r="E197" s="35">
        <v>31408</v>
      </c>
      <c r="F197" s="17" t="s">
        <v>115</v>
      </c>
      <c r="G197" s="17" t="s">
        <v>116</v>
      </c>
      <c r="H197" s="31">
        <v>17400</v>
      </c>
      <c r="I197" s="31">
        <v>53000</v>
      </c>
      <c r="J197" s="1" t="s">
        <v>51</v>
      </c>
      <c r="K197" s="28">
        <v>20</v>
      </c>
      <c r="L197" s="1" t="str" cm="1">
        <f t="array" ref="L197">_xlfn.IFS(Tabela6[[#This Row],[qtde_batalhas]]&lt;=15,"Baixo",Tabela6[[#This Row],[qtde_batalhas]]&gt;=30,"Alto",Tabela6[[#This Row],[qtde_batalhas]]&lt;30,"Médio")</f>
        <v>Médio</v>
      </c>
      <c r="M197" s="31">
        <v>52500</v>
      </c>
      <c r="O197" t="s">
        <v>116</v>
      </c>
      <c r="P197" t="str">
        <f t="shared" si="3"/>
        <v>Essos</v>
      </c>
      <c r="U197" t="s">
        <v>392</v>
      </c>
      <c r="V197" t="str">
        <f>TEXT(U197,"000\.000\.000\-00")</f>
        <v>000.000.182-00</v>
      </c>
      <c r="X197" s="14" t="s">
        <v>449</v>
      </c>
      <c r="Y197" t="e" cm="1" vm="1">
        <f t="array" aca="1" ref="Y197" ca="1">_xlfn.TEXTSPLIT(X197," | ")</f>
        <v>#VALUE!</v>
      </c>
      <c r="Z197" s="26">
        <v>17400</v>
      </c>
      <c r="AA197">
        <v>17400</v>
      </c>
      <c r="AC197" s="24">
        <v>53000</v>
      </c>
      <c r="AD197">
        <v>53000</v>
      </c>
      <c r="AE197">
        <v>53000</v>
      </c>
    </row>
    <row r="198" spans="1:31">
      <c r="A198" s="29" t="s">
        <v>74</v>
      </c>
      <c r="B198" s="17" t="s">
        <v>617</v>
      </c>
      <c r="C198" s="30" t="s">
        <v>618</v>
      </c>
      <c r="D198" s="1">
        <v>42</v>
      </c>
      <c r="E198" s="35">
        <v>30898</v>
      </c>
      <c r="F198" s="30" t="s">
        <v>91</v>
      </c>
      <c r="G198" s="17" t="s">
        <v>91</v>
      </c>
      <c r="H198" s="31">
        <v>20800</v>
      </c>
      <c r="I198" s="31">
        <v>54000</v>
      </c>
      <c r="J198" s="1" t="s">
        <v>50</v>
      </c>
      <c r="K198" s="28">
        <v>4</v>
      </c>
      <c r="L198" s="1" t="str" cm="1">
        <f t="array" ref="L198">_xlfn.IFS(Tabela6[[#This Row],[qtde_batalhas]]&lt;=15,"Baixo",Tabela6[[#This Row],[qtde_batalhas]]&gt;=30,"Alto",Tabela6[[#This Row],[qtde_batalhas]]&lt;30,"Médio")</f>
        <v>Baixo</v>
      </c>
      <c r="M198" s="31">
        <v>73500</v>
      </c>
      <c r="O198" t="s">
        <v>75</v>
      </c>
      <c r="P198" t="str">
        <f t="shared" si="3"/>
        <v>Null</v>
      </c>
      <c r="U198" t="s">
        <v>619</v>
      </c>
      <c r="V198" t="str">
        <f>TEXT(U198,"000\.000\.000\-00")</f>
        <v>000.000.184-00</v>
      </c>
      <c r="X198" s="15" t="s">
        <v>246</v>
      </c>
      <c r="Z198" s="26">
        <v>20800</v>
      </c>
      <c r="AA198">
        <v>20800</v>
      </c>
      <c r="AC198" s="25">
        <v>54000</v>
      </c>
      <c r="AD198">
        <v>54000</v>
      </c>
      <c r="AE198">
        <v>54000</v>
      </c>
    </row>
    <row r="199" spans="1:31">
      <c r="A199" s="29" t="s">
        <v>78</v>
      </c>
      <c r="B199" s="17" t="s">
        <v>620</v>
      </c>
      <c r="C199" s="30" t="s">
        <v>621</v>
      </c>
      <c r="D199" s="1" t="s">
        <v>75</v>
      </c>
      <c r="E199" s="35">
        <v>19234</v>
      </c>
      <c r="F199" s="17" t="s">
        <v>81</v>
      </c>
      <c r="G199" s="17" t="s">
        <v>82</v>
      </c>
      <c r="H199" s="31">
        <v>8900</v>
      </c>
      <c r="I199" s="31">
        <v>4000</v>
      </c>
      <c r="J199" s="1" t="s">
        <v>50</v>
      </c>
      <c r="K199" s="28">
        <v>38</v>
      </c>
      <c r="L199" s="1" t="str" cm="1">
        <f t="array" ref="L199">_xlfn.IFS(Tabela6[[#This Row],[qtde_batalhas]]&lt;=15,"Baixo",Tabela6[[#This Row],[qtde_batalhas]]&gt;=30,"Alto",Tabela6[[#This Row],[qtde_batalhas]]&lt;30,"Médio")</f>
        <v>Alto</v>
      </c>
      <c r="M199" s="31">
        <v>22500</v>
      </c>
      <c r="O199" t="s">
        <v>82</v>
      </c>
      <c r="P199" t="str">
        <f t="shared" si="3"/>
        <v>Campina</v>
      </c>
      <c r="U199" t="s">
        <v>622</v>
      </c>
      <c r="V199" t="str">
        <f>TEXT(U199,"000\.000\.000\-00")</f>
        <v>000.000.186-00</v>
      </c>
      <c r="X199" s="15" t="s">
        <v>156</v>
      </c>
      <c r="Z199" s="26">
        <v>8900</v>
      </c>
      <c r="AA199">
        <v>8900</v>
      </c>
      <c r="AC199" s="24">
        <v>4000</v>
      </c>
      <c r="AD199">
        <v>4000</v>
      </c>
      <c r="AE199">
        <v>4000</v>
      </c>
    </row>
    <row r="200" spans="1:31">
      <c r="A200" s="29" t="s">
        <v>78</v>
      </c>
      <c r="B200" s="17" t="s">
        <v>623</v>
      </c>
      <c r="C200" s="30" t="s">
        <v>624</v>
      </c>
      <c r="D200" s="1" t="s">
        <v>75</v>
      </c>
      <c r="E200" s="35">
        <v>32890</v>
      </c>
      <c r="F200" s="17" t="s">
        <v>86</v>
      </c>
      <c r="G200" s="17" t="s">
        <v>87</v>
      </c>
      <c r="H200" s="31">
        <v>28100</v>
      </c>
      <c r="I200" s="31">
        <v>36500</v>
      </c>
      <c r="J200" s="1" t="s">
        <v>50</v>
      </c>
      <c r="K200" s="28">
        <v>13</v>
      </c>
      <c r="L200" s="1" t="str" cm="1">
        <f t="array" ref="L200">_xlfn.IFS(Tabela6[[#This Row],[qtde_batalhas]]&lt;=15,"Baixo",Tabela6[[#This Row],[qtde_batalhas]]&gt;=30,"Alto",Tabela6[[#This Row],[qtde_batalhas]]&lt;30,"Médio")</f>
        <v>Baixo</v>
      </c>
      <c r="M200" s="31">
        <v>5000</v>
      </c>
      <c r="O200" t="s">
        <v>88</v>
      </c>
      <c r="P200" t="str">
        <f t="shared" si="3"/>
        <v>Terras Fluviais</v>
      </c>
      <c r="U200" t="s">
        <v>625</v>
      </c>
      <c r="V200" t="str">
        <f>TEXT(U200,"000\.000\.000\-00")</f>
        <v>000.000.187-00</v>
      </c>
      <c r="X200" s="15" t="s">
        <v>626</v>
      </c>
      <c r="Z200" s="26">
        <v>28100</v>
      </c>
      <c r="AA200">
        <v>28100</v>
      </c>
      <c r="AC200" s="25">
        <v>36500</v>
      </c>
      <c r="AD200">
        <v>36500</v>
      </c>
      <c r="AE200">
        <v>36500</v>
      </c>
    </row>
    <row r="201" spans="1:31">
      <c r="A201" s="29" t="s">
        <v>74</v>
      </c>
      <c r="B201" s="17" t="s">
        <v>627</v>
      </c>
      <c r="C201" s="30" t="s">
        <v>628</v>
      </c>
      <c r="D201" s="1">
        <v>67</v>
      </c>
      <c r="E201" s="35">
        <v>21619</v>
      </c>
      <c r="F201" s="17" t="s">
        <v>231</v>
      </c>
      <c r="G201" s="17" t="s">
        <v>180</v>
      </c>
      <c r="H201" s="31">
        <v>20200</v>
      </c>
      <c r="I201" s="31">
        <v>6500</v>
      </c>
      <c r="J201" s="1" t="s">
        <v>50</v>
      </c>
      <c r="K201" s="28">
        <v>1</v>
      </c>
      <c r="L201" s="1" t="str" cm="1">
        <f t="array" ref="L201">_xlfn.IFS(Tabela6[[#This Row],[qtde_batalhas]]&lt;=15,"Baixo",Tabela6[[#This Row],[qtde_batalhas]]&gt;=30,"Alto",Tabela6[[#This Row],[qtde_batalhas]]&lt;30,"Médio")</f>
        <v>Baixo</v>
      </c>
      <c r="M201" s="31">
        <v>98500</v>
      </c>
      <c r="O201" t="s">
        <v>629</v>
      </c>
      <c r="P201" t="str">
        <f t="shared" si="3"/>
        <v>Terras Da Tempestade</v>
      </c>
      <c r="U201" t="s">
        <v>162</v>
      </c>
      <c r="V201" t="str">
        <f>TEXT(U201,"000\.000\.000\-00")</f>
        <v>000.000.189-00</v>
      </c>
      <c r="X201" s="15" t="s">
        <v>101</v>
      </c>
      <c r="Z201" s="26">
        <v>20200</v>
      </c>
      <c r="AA201">
        <v>20200</v>
      </c>
      <c r="AC201" s="24">
        <v>6500</v>
      </c>
      <c r="AD201">
        <v>6500</v>
      </c>
      <c r="AE201">
        <v>6500</v>
      </c>
    </row>
    <row r="202" spans="1:31">
      <c r="A202" s="29" t="s">
        <v>74</v>
      </c>
      <c r="B202" s="17" t="s">
        <v>630</v>
      </c>
      <c r="C202" s="30" t="s">
        <v>631</v>
      </c>
      <c r="D202" s="1">
        <v>36</v>
      </c>
      <c r="E202" s="35">
        <v>33117</v>
      </c>
      <c r="F202" s="30" t="s">
        <v>91</v>
      </c>
      <c r="G202" s="17" t="s">
        <v>91</v>
      </c>
      <c r="H202" s="31">
        <v>11600</v>
      </c>
      <c r="I202" s="31">
        <v>78500</v>
      </c>
      <c r="J202" s="1" t="s">
        <v>50</v>
      </c>
      <c r="K202" s="28">
        <v>1</v>
      </c>
      <c r="L202" s="1" t="str" cm="1">
        <f t="array" ref="L202">_xlfn.IFS(Tabela6[[#This Row],[qtde_batalhas]]&lt;=15,"Baixo",Tabela6[[#This Row],[qtde_batalhas]]&gt;=30,"Alto",Tabela6[[#This Row],[qtde_batalhas]]&lt;30,"Médio")</f>
        <v>Baixo</v>
      </c>
      <c r="M202" s="31">
        <v>42000</v>
      </c>
      <c r="O202" t="s">
        <v>75</v>
      </c>
      <c r="P202" t="str">
        <f t="shared" si="3"/>
        <v>Null</v>
      </c>
      <c r="U202" t="s">
        <v>608</v>
      </c>
      <c r="V202" t="str">
        <f>TEXT(U202,"000\.000\.000\-00")</f>
        <v>000.000.191-00</v>
      </c>
      <c r="X202" s="15" t="s">
        <v>219</v>
      </c>
      <c r="Z202" s="26">
        <v>11600</v>
      </c>
      <c r="AA202">
        <v>11600</v>
      </c>
      <c r="AC202" s="25">
        <v>78500</v>
      </c>
      <c r="AD202">
        <v>78500</v>
      </c>
      <c r="AE202">
        <v>78500</v>
      </c>
    </row>
    <row r="203" spans="1:31">
      <c r="A203" s="29" t="s">
        <v>74</v>
      </c>
      <c r="B203" s="17" t="s">
        <v>632</v>
      </c>
      <c r="C203" s="30" t="s">
        <v>479</v>
      </c>
      <c r="D203" s="1">
        <v>61</v>
      </c>
      <c r="E203" s="35">
        <v>23964</v>
      </c>
      <c r="F203" s="30" t="s">
        <v>91</v>
      </c>
      <c r="G203" s="17" t="s">
        <v>91</v>
      </c>
      <c r="H203" s="31">
        <v>7000</v>
      </c>
      <c r="I203" s="31">
        <v>1500</v>
      </c>
      <c r="J203" s="1" t="s">
        <v>51</v>
      </c>
      <c r="K203" s="28">
        <v>32</v>
      </c>
      <c r="L203" s="1" t="str" cm="1">
        <f t="array" ref="L203">_xlfn.IFS(Tabela6[[#This Row],[qtde_batalhas]]&lt;=15,"Baixo",Tabela6[[#This Row],[qtde_batalhas]]&gt;=30,"Alto",Tabela6[[#This Row],[qtde_batalhas]]&lt;30,"Médio")</f>
        <v>Alto</v>
      </c>
      <c r="M203" s="31">
        <v>53000</v>
      </c>
      <c r="O203" t="s">
        <v>75</v>
      </c>
      <c r="P203" t="str">
        <f t="shared" si="3"/>
        <v>Null</v>
      </c>
      <c r="U203" t="s">
        <v>345</v>
      </c>
      <c r="V203" t="str">
        <f>TEXT(U203,"000\.000\.000\-00")</f>
        <v>000.000.194-00</v>
      </c>
      <c r="X203" s="15" t="s">
        <v>317</v>
      </c>
      <c r="Z203" s="26">
        <v>7000</v>
      </c>
      <c r="AA203">
        <v>7000</v>
      </c>
      <c r="AC203" s="24">
        <v>1500</v>
      </c>
      <c r="AD203">
        <v>1500</v>
      </c>
      <c r="AE203">
        <v>1500</v>
      </c>
    </row>
    <row r="204" spans="1:31">
      <c r="A204" s="29" t="s">
        <v>74</v>
      </c>
      <c r="B204" s="17" t="s">
        <v>633</v>
      </c>
      <c r="C204" s="30" t="s">
        <v>558</v>
      </c>
      <c r="D204" s="1" t="s">
        <v>75</v>
      </c>
      <c r="E204" s="35">
        <v>34411</v>
      </c>
      <c r="F204" s="17" t="s">
        <v>226</v>
      </c>
      <c r="G204" s="17" t="s">
        <v>226</v>
      </c>
      <c r="H204" s="31" t="s">
        <v>75</v>
      </c>
      <c r="I204" s="31">
        <v>0</v>
      </c>
      <c r="J204" s="1" t="s">
        <v>50</v>
      </c>
      <c r="K204" s="28">
        <v>20</v>
      </c>
      <c r="L204" s="1" t="str" cm="1">
        <f t="array" ref="L204">_xlfn.IFS(Tabela6[[#This Row],[qtde_batalhas]]&lt;=15,"Baixo",Tabela6[[#This Row],[qtde_batalhas]]&gt;=30,"Alto",Tabela6[[#This Row],[qtde_batalhas]]&lt;30,"Médio")</f>
        <v>Médio</v>
      </c>
      <c r="M204" s="31">
        <v>42000</v>
      </c>
      <c r="O204" t="s">
        <v>226</v>
      </c>
      <c r="P204" t="str">
        <f t="shared" si="3"/>
        <v>Dorne</v>
      </c>
      <c r="U204" t="s">
        <v>114</v>
      </c>
      <c r="V204" t="str">
        <f>TEXT(U204,"000\.000\.000\-00")</f>
        <v>000.000.195-00</v>
      </c>
      <c r="X204" s="15" t="s">
        <v>215</v>
      </c>
      <c r="AC204" s="25">
        <v>0</v>
      </c>
      <c r="AD204">
        <v>0</v>
      </c>
      <c r="AE204">
        <v>0</v>
      </c>
    </row>
    <row r="205" spans="1:31">
      <c r="A205" s="29" t="s">
        <v>74</v>
      </c>
      <c r="B205" s="17" t="s">
        <v>634</v>
      </c>
      <c r="C205" s="30" t="s">
        <v>635</v>
      </c>
      <c r="D205" s="1">
        <v>25</v>
      </c>
      <c r="E205" s="35">
        <v>36831</v>
      </c>
      <c r="F205" s="30" t="s">
        <v>91</v>
      </c>
      <c r="G205" s="17" t="s">
        <v>91</v>
      </c>
      <c r="H205" s="31">
        <v>9400</v>
      </c>
      <c r="I205" s="31">
        <v>51500</v>
      </c>
      <c r="J205" s="1" t="s">
        <v>50</v>
      </c>
      <c r="K205" s="28">
        <v>14</v>
      </c>
      <c r="L205" s="1" t="str" cm="1">
        <f t="array" ref="L205">_xlfn.IFS(Tabela6[[#This Row],[qtde_batalhas]]&lt;=15,"Baixo",Tabela6[[#This Row],[qtde_batalhas]]&gt;=30,"Alto",Tabela6[[#This Row],[qtde_batalhas]]&lt;30,"Médio")</f>
        <v>Baixo</v>
      </c>
      <c r="M205" s="31">
        <v>29500</v>
      </c>
      <c r="O205" t="s">
        <v>75</v>
      </c>
      <c r="P205" t="str">
        <f t="shared" si="3"/>
        <v>Null</v>
      </c>
      <c r="U205" t="s">
        <v>593</v>
      </c>
      <c r="V205" t="str">
        <f>TEXT(U205,"000\.000\.000\-00")</f>
        <v>000.000.196-00</v>
      </c>
      <c r="X205" s="15" t="s">
        <v>223</v>
      </c>
      <c r="Z205" s="26">
        <v>9400</v>
      </c>
      <c r="AA205">
        <v>9400</v>
      </c>
      <c r="AC205" s="24">
        <v>51500</v>
      </c>
      <c r="AD205">
        <v>51500</v>
      </c>
      <c r="AE205">
        <v>51500</v>
      </c>
    </row>
    <row r="206" spans="1:31">
      <c r="A206" s="29" t="s">
        <v>74</v>
      </c>
      <c r="B206" s="17" t="s">
        <v>636</v>
      </c>
      <c r="C206" s="30" t="s">
        <v>637</v>
      </c>
      <c r="D206" s="1">
        <v>60</v>
      </c>
      <c r="E206" s="35">
        <v>24021</v>
      </c>
      <c r="F206" s="30" t="s">
        <v>91</v>
      </c>
      <c r="G206" s="17" t="s">
        <v>91</v>
      </c>
      <c r="H206" s="31">
        <v>22900</v>
      </c>
      <c r="I206" s="31">
        <v>4500</v>
      </c>
      <c r="J206" s="1" t="s">
        <v>51</v>
      </c>
      <c r="K206" s="28">
        <v>29</v>
      </c>
      <c r="L206" s="1" t="str" cm="1">
        <f t="array" ref="L206">_xlfn.IFS(Tabela6[[#This Row],[qtde_batalhas]]&lt;=15,"Baixo",Tabela6[[#This Row],[qtde_batalhas]]&gt;=30,"Alto",Tabela6[[#This Row],[qtde_batalhas]]&lt;30,"Médio")</f>
        <v>Médio</v>
      </c>
      <c r="M206" s="31">
        <v>43500</v>
      </c>
      <c r="O206" t="s">
        <v>75</v>
      </c>
      <c r="P206" t="str">
        <f t="shared" si="3"/>
        <v>Null</v>
      </c>
      <c r="U206" t="s">
        <v>638</v>
      </c>
      <c r="V206" t="str">
        <f>TEXT(U206,"000\.000\.000\-00")</f>
        <v>000.000.197-00</v>
      </c>
      <c r="X206" s="15" t="s">
        <v>639</v>
      </c>
      <c r="Z206" s="26">
        <v>22900</v>
      </c>
      <c r="AA206">
        <v>22900</v>
      </c>
      <c r="AC206" s="25">
        <v>4500</v>
      </c>
      <c r="AD206">
        <v>4500</v>
      </c>
      <c r="AE206">
        <v>4500</v>
      </c>
    </row>
    <row r="207" spans="1:31">
      <c r="A207" s="29" t="s">
        <v>74</v>
      </c>
      <c r="B207" s="17" t="s">
        <v>640</v>
      </c>
      <c r="C207" s="30" t="s">
        <v>468</v>
      </c>
      <c r="D207" s="1">
        <v>32</v>
      </c>
      <c r="E207" s="35">
        <v>34457</v>
      </c>
      <c r="F207" s="30" t="s">
        <v>91</v>
      </c>
      <c r="G207" s="17" t="s">
        <v>91</v>
      </c>
      <c r="H207" s="31">
        <v>21300</v>
      </c>
      <c r="I207" s="31">
        <v>48000</v>
      </c>
      <c r="J207" s="1" t="s">
        <v>50</v>
      </c>
      <c r="K207" s="28">
        <v>11</v>
      </c>
      <c r="L207" s="1" t="str" cm="1">
        <f t="array" ref="L207">_xlfn.IFS(Tabela6[[#This Row],[qtde_batalhas]]&lt;=15,"Baixo",Tabela6[[#This Row],[qtde_batalhas]]&gt;=30,"Alto",Tabela6[[#This Row],[qtde_batalhas]]&lt;30,"Médio")</f>
        <v>Baixo</v>
      </c>
      <c r="M207" s="31">
        <v>35000</v>
      </c>
      <c r="O207" t="s">
        <v>75</v>
      </c>
      <c r="P207" t="str">
        <f t="shared" si="3"/>
        <v>Null</v>
      </c>
      <c r="U207" t="s">
        <v>440</v>
      </c>
      <c r="V207" t="str">
        <f>TEXT(U207,"000\.000\.000\-00")</f>
        <v>000.000.199-00</v>
      </c>
      <c r="X207" s="15" t="s">
        <v>115</v>
      </c>
      <c r="Z207" s="26">
        <v>21300</v>
      </c>
      <c r="AA207">
        <v>21300</v>
      </c>
      <c r="AC207" s="24">
        <v>48000</v>
      </c>
      <c r="AD207">
        <v>48000</v>
      </c>
      <c r="AE207">
        <v>48000</v>
      </c>
    </row>
    <row r="208" spans="1:31">
      <c r="A208" s="34" t="s">
        <v>75</v>
      </c>
      <c r="B208" s="17" t="s">
        <v>641</v>
      </c>
      <c r="C208" s="30" t="s">
        <v>390</v>
      </c>
      <c r="D208" s="1">
        <v>39</v>
      </c>
      <c r="E208" s="35">
        <v>31879</v>
      </c>
      <c r="F208" s="30" t="s">
        <v>91</v>
      </c>
      <c r="G208" s="17" t="s">
        <v>91</v>
      </c>
      <c r="H208" s="31">
        <v>29900</v>
      </c>
      <c r="I208" s="31">
        <v>0</v>
      </c>
      <c r="J208" s="1" t="s">
        <v>50</v>
      </c>
      <c r="K208" s="28">
        <v>39</v>
      </c>
      <c r="L208" s="1" t="str" cm="1">
        <f t="array" ref="L208">_xlfn.IFS(Tabela6[[#This Row],[qtde_batalhas]]&lt;=15,"Baixo",Tabela6[[#This Row],[qtde_batalhas]]&gt;=30,"Alto",Tabela6[[#This Row],[qtde_batalhas]]&lt;30,"Médio")</f>
        <v>Alto</v>
      </c>
      <c r="M208" s="31">
        <v>75000</v>
      </c>
      <c r="O208" t="s">
        <v>75</v>
      </c>
      <c r="P208" t="str">
        <f t="shared" si="3"/>
        <v>Null</v>
      </c>
      <c r="U208" t="s">
        <v>214</v>
      </c>
      <c r="V208" t="str">
        <f>TEXT(U208,"000\.000\.000\-00")</f>
        <v>000.000.200-00</v>
      </c>
      <c r="X208" s="15" t="s">
        <v>321</v>
      </c>
      <c r="Z208" s="26" t="s">
        <v>642</v>
      </c>
      <c r="AA208">
        <v>29900</v>
      </c>
      <c r="AC208" s="25">
        <v>0</v>
      </c>
      <c r="AD208">
        <v>0</v>
      </c>
      <c r="AE208">
        <v>0</v>
      </c>
    </row>
    <row r="209" spans="1:31">
      <c r="A209" s="29" t="s">
        <v>74</v>
      </c>
      <c r="B209" s="17" t="s">
        <v>643</v>
      </c>
      <c r="C209" s="30" t="s">
        <v>644</v>
      </c>
      <c r="D209" s="1">
        <v>55</v>
      </c>
      <c r="E209" s="35">
        <v>26103</v>
      </c>
      <c r="F209" s="30" t="s">
        <v>91</v>
      </c>
      <c r="G209" s="17" t="s">
        <v>91</v>
      </c>
      <c r="H209" s="31">
        <v>9600</v>
      </c>
      <c r="I209" s="31">
        <v>43000</v>
      </c>
      <c r="J209" s="1" t="s">
        <v>50</v>
      </c>
      <c r="K209" s="28">
        <v>36</v>
      </c>
      <c r="L209" s="1" t="str" cm="1">
        <f t="array" ref="L209">_xlfn.IFS(Tabela6[[#This Row],[qtde_batalhas]]&lt;=15,"Baixo",Tabela6[[#This Row],[qtde_batalhas]]&gt;=30,"Alto",Tabela6[[#This Row],[qtde_batalhas]]&lt;30,"Médio")</f>
        <v>Alto</v>
      </c>
      <c r="M209" s="31">
        <v>67500</v>
      </c>
      <c r="O209" t="s">
        <v>75</v>
      </c>
      <c r="P209" t="str">
        <f t="shared" si="3"/>
        <v>Null</v>
      </c>
      <c r="U209" t="s">
        <v>645</v>
      </c>
      <c r="V209" t="str">
        <f>TEXT(U209,"000\.000\.000\-00")</f>
        <v>000.000.201-00</v>
      </c>
      <c r="X209" s="15" t="s">
        <v>243</v>
      </c>
      <c r="Z209" s="26">
        <v>9600</v>
      </c>
      <c r="AA209">
        <v>9600</v>
      </c>
      <c r="AC209" s="24">
        <v>43000</v>
      </c>
      <c r="AD209">
        <v>43000</v>
      </c>
      <c r="AE209">
        <v>43000</v>
      </c>
    </row>
    <row r="210" spans="1:31">
      <c r="A210" s="29" t="s">
        <v>74</v>
      </c>
      <c r="B210" s="17" t="s">
        <v>646</v>
      </c>
      <c r="C210" s="30" t="s">
        <v>399</v>
      </c>
      <c r="D210" s="1">
        <v>55</v>
      </c>
      <c r="E210" s="35">
        <v>25874</v>
      </c>
      <c r="F210" s="30" t="s">
        <v>91</v>
      </c>
      <c r="G210" s="17" t="s">
        <v>91</v>
      </c>
      <c r="H210" s="31">
        <v>29100</v>
      </c>
      <c r="I210" s="31" t="s">
        <v>75</v>
      </c>
      <c r="J210" s="1" t="s">
        <v>50</v>
      </c>
      <c r="K210" s="28">
        <v>11</v>
      </c>
      <c r="L210" s="1" t="str" cm="1">
        <f t="array" ref="L210">_xlfn.IFS(Tabela6[[#This Row],[qtde_batalhas]]&lt;=15,"Baixo",Tabela6[[#This Row],[qtde_batalhas]]&gt;=30,"Alto",Tabela6[[#This Row],[qtde_batalhas]]&lt;30,"Médio")</f>
        <v>Baixo</v>
      </c>
      <c r="M210" s="31">
        <v>56000</v>
      </c>
      <c r="O210" t="s">
        <v>75</v>
      </c>
      <c r="P210" t="str">
        <f t="shared" si="3"/>
        <v>Null</v>
      </c>
      <c r="U210" t="s">
        <v>184</v>
      </c>
      <c r="V210" t="str">
        <f>TEXT(U210,"000\.000\.000\-00")</f>
        <v>000.000.202-00</v>
      </c>
      <c r="X210" s="15" t="s">
        <v>321</v>
      </c>
      <c r="Z210" s="26">
        <v>29100</v>
      </c>
      <c r="AA210">
        <v>29100</v>
      </c>
      <c r="AC210" s="25" t="s">
        <v>307</v>
      </c>
      <c r="AD210" t="s">
        <v>75</v>
      </c>
      <c r="AE210" t="s">
        <v>75</v>
      </c>
    </row>
    <row r="211" spans="1:31">
      <c r="A211" s="29" t="s">
        <v>74</v>
      </c>
      <c r="B211" s="17" t="s">
        <v>647</v>
      </c>
      <c r="C211" s="30" t="s">
        <v>310</v>
      </c>
      <c r="D211" s="1">
        <v>65</v>
      </c>
      <c r="E211" s="35">
        <v>22236</v>
      </c>
      <c r="F211" s="30" t="s">
        <v>91</v>
      </c>
      <c r="G211" s="17" t="s">
        <v>91</v>
      </c>
      <c r="H211" s="31">
        <v>23400</v>
      </c>
      <c r="I211" s="31">
        <v>28000</v>
      </c>
      <c r="J211" s="1" t="s">
        <v>50</v>
      </c>
      <c r="K211" s="28">
        <v>34</v>
      </c>
      <c r="L211" s="1" t="str" cm="1">
        <f t="array" ref="L211">_xlfn.IFS(Tabela6[[#This Row],[qtde_batalhas]]&lt;=15,"Baixo",Tabela6[[#This Row],[qtde_batalhas]]&gt;=30,"Alto",Tabela6[[#This Row],[qtde_batalhas]]&lt;30,"Médio")</f>
        <v>Alto</v>
      </c>
      <c r="M211" s="31">
        <v>74000</v>
      </c>
      <c r="O211" t="s">
        <v>75</v>
      </c>
      <c r="P211" t="str">
        <f t="shared" si="3"/>
        <v>Null</v>
      </c>
      <c r="U211" t="s">
        <v>492</v>
      </c>
      <c r="V211" t="str">
        <f>TEXT(U211,"000\.000\.000\-00")</f>
        <v>000.000.204-00</v>
      </c>
      <c r="X211" s="15" t="s">
        <v>280</v>
      </c>
      <c r="Z211" s="26" t="s">
        <v>648</v>
      </c>
      <c r="AA211">
        <v>23400</v>
      </c>
      <c r="AC211" s="24">
        <v>28000</v>
      </c>
      <c r="AD211">
        <v>28000</v>
      </c>
      <c r="AE211">
        <v>28000</v>
      </c>
    </row>
    <row r="212" spans="1:31">
      <c r="A212" s="34" t="s">
        <v>75</v>
      </c>
      <c r="B212" s="17" t="s">
        <v>649</v>
      </c>
      <c r="C212" s="30" t="s">
        <v>600</v>
      </c>
      <c r="D212" s="1">
        <v>61</v>
      </c>
      <c r="E212" s="35">
        <v>23813</v>
      </c>
      <c r="F212" s="30" t="s">
        <v>91</v>
      </c>
      <c r="G212" s="17" t="s">
        <v>91</v>
      </c>
      <c r="H212" s="31">
        <v>26300</v>
      </c>
      <c r="I212" s="31">
        <v>40000</v>
      </c>
      <c r="J212" s="1" t="s">
        <v>51</v>
      </c>
      <c r="K212" s="28">
        <v>10</v>
      </c>
      <c r="L212" s="1" t="str" cm="1">
        <f t="array" ref="L212">_xlfn.IFS(Tabela6[[#This Row],[qtde_batalhas]]&lt;=15,"Baixo",Tabela6[[#This Row],[qtde_batalhas]]&gt;=30,"Alto",Tabela6[[#This Row],[qtde_batalhas]]&lt;30,"Médio")</f>
        <v>Baixo</v>
      </c>
      <c r="M212" s="31">
        <v>16500</v>
      </c>
      <c r="O212" t="s">
        <v>75</v>
      </c>
      <c r="P212" t="str">
        <f t="shared" si="3"/>
        <v>Null</v>
      </c>
      <c r="U212" t="s">
        <v>650</v>
      </c>
      <c r="V212" t="str">
        <f>TEXT(U212,"000\.000\.000\-00")</f>
        <v>000.000.205-00</v>
      </c>
      <c r="X212" s="15" t="s">
        <v>101</v>
      </c>
      <c r="Z212" s="26">
        <v>26300</v>
      </c>
      <c r="AA212">
        <v>26300</v>
      </c>
      <c r="AC212" s="25">
        <v>40000</v>
      </c>
      <c r="AD212">
        <v>40000</v>
      </c>
      <c r="AE212">
        <v>40000</v>
      </c>
    </row>
    <row r="213" spans="1:31">
      <c r="A213" s="29" t="s">
        <v>74</v>
      </c>
      <c r="B213" s="17" t="s">
        <v>651</v>
      </c>
      <c r="C213" s="30" t="s">
        <v>652</v>
      </c>
      <c r="D213" s="1">
        <v>35</v>
      </c>
      <c r="E213" s="35">
        <v>33440</v>
      </c>
      <c r="F213" s="30" t="s">
        <v>91</v>
      </c>
      <c r="G213" s="17" t="s">
        <v>91</v>
      </c>
      <c r="H213" s="31">
        <v>2000</v>
      </c>
      <c r="I213" s="31">
        <v>5500</v>
      </c>
      <c r="J213" s="1" t="s">
        <v>50</v>
      </c>
      <c r="K213" s="28">
        <v>34</v>
      </c>
      <c r="L213" s="1" t="str" cm="1">
        <f t="array" ref="L213">_xlfn.IFS(Tabela6[[#This Row],[qtde_batalhas]]&lt;=15,"Baixo",Tabela6[[#This Row],[qtde_batalhas]]&gt;=30,"Alto",Tabela6[[#This Row],[qtde_batalhas]]&lt;30,"Médio")</f>
        <v>Alto</v>
      </c>
      <c r="M213" s="31">
        <v>71000</v>
      </c>
      <c r="O213" t="s">
        <v>75</v>
      </c>
      <c r="P213" t="str">
        <f t="shared" si="3"/>
        <v>Null</v>
      </c>
      <c r="U213" t="s">
        <v>481</v>
      </c>
      <c r="V213" t="str">
        <f>TEXT(U213,"000\.000\.000\-00")</f>
        <v>000.000.208-00</v>
      </c>
      <c r="X213" s="15" t="s">
        <v>288</v>
      </c>
      <c r="Z213" s="26">
        <v>2000</v>
      </c>
      <c r="AA213">
        <v>2000</v>
      </c>
      <c r="AC213" s="24">
        <v>5500</v>
      </c>
      <c r="AD213">
        <v>5500</v>
      </c>
      <c r="AE213">
        <v>5500</v>
      </c>
    </row>
    <row r="214" spans="1:31">
      <c r="A214" s="29" t="s">
        <v>78</v>
      </c>
      <c r="B214" s="17" t="s">
        <v>653</v>
      </c>
      <c r="C214" s="30" t="s">
        <v>496</v>
      </c>
      <c r="D214" s="1">
        <v>20</v>
      </c>
      <c r="E214" s="35">
        <v>38704</v>
      </c>
      <c r="F214" s="17" t="s">
        <v>179</v>
      </c>
      <c r="G214" s="17" t="s">
        <v>180</v>
      </c>
      <c r="H214" s="31">
        <v>12900</v>
      </c>
      <c r="I214" s="31">
        <v>26500</v>
      </c>
      <c r="J214" s="1" t="s">
        <v>50</v>
      </c>
      <c r="K214" s="28">
        <v>13</v>
      </c>
      <c r="L214" s="1" t="str" cm="1">
        <f t="array" ref="L214">_xlfn.IFS(Tabela6[[#This Row],[qtde_batalhas]]&lt;=15,"Baixo",Tabela6[[#This Row],[qtde_batalhas]]&gt;=30,"Alto",Tabela6[[#This Row],[qtde_batalhas]]&lt;30,"Médio")</f>
        <v>Baixo</v>
      </c>
      <c r="M214" s="31">
        <v>2000</v>
      </c>
      <c r="O214" t="s">
        <v>629</v>
      </c>
      <c r="P214" t="str">
        <f t="shared" si="3"/>
        <v>Terras Da Tempestade</v>
      </c>
      <c r="U214" t="s">
        <v>488</v>
      </c>
      <c r="V214" t="str">
        <f>TEXT(U214,"000\.000\.000\-00")</f>
        <v>000.000.210-00</v>
      </c>
      <c r="X214" s="15" t="s">
        <v>243</v>
      </c>
      <c r="Z214" s="26">
        <v>12900</v>
      </c>
      <c r="AA214">
        <v>12900</v>
      </c>
      <c r="AC214" s="25">
        <v>26500</v>
      </c>
      <c r="AD214">
        <v>26500</v>
      </c>
      <c r="AE214">
        <v>26500</v>
      </c>
    </row>
    <row r="215" spans="1:31">
      <c r="A215" s="29" t="s">
        <v>74</v>
      </c>
      <c r="B215" s="17" t="s">
        <v>654</v>
      </c>
      <c r="C215" s="30" t="s">
        <v>655</v>
      </c>
      <c r="D215" s="1">
        <v>24</v>
      </c>
      <c r="E215" s="35" t="s">
        <v>75</v>
      </c>
      <c r="F215" s="17" t="s">
        <v>219</v>
      </c>
      <c r="G215" s="17" t="s">
        <v>164</v>
      </c>
      <c r="H215" s="31">
        <v>29300</v>
      </c>
      <c r="I215" s="31">
        <v>32000</v>
      </c>
      <c r="J215" s="1" t="s">
        <v>51</v>
      </c>
      <c r="K215" s="28">
        <v>26</v>
      </c>
      <c r="L215" s="1" t="str" cm="1">
        <f t="array" ref="L215">_xlfn.IFS(Tabela6[[#This Row],[qtde_batalhas]]&lt;=15,"Baixo",Tabela6[[#This Row],[qtde_batalhas]]&gt;=30,"Alto",Tabela6[[#This Row],[qtde_batalhas]]&lt;30,"Médio")</f>
        <v>Médio</v>
      </c>
      <c r="M215" s="31">
        <v>59000</v>
      </c>
      <c r="O215" t="s">
        <v>164</v>
      </c>
      <c r="P215" t="str">
        <f t="shared" si="3"/>
        <v>Norte</v>
      </c>
      <c r="U215" t="s">
        <v>554</v>
      </c>
      <c r="V215" t="str">
        <f>TEXT(U215,"000\.000\.000\-00")</f>
        <v>000.000.211-00</v>
      </c>
      <c r="X215" s="15" t="s">
        <v>274</v>
      </c>
      <c r="Z215" s="26">
        <v>29300</v>
      </c>
      <c r="AA215">
        <v>29300</v>
      </c>
      <c r="AC215" s="24">
        <v>32000</v>
      </c>
      <c r="AD215">
        <v>32000</v>
      </c>
      <c r="AE215">
        <v>32000</v>
      </c>
    </row>
    <row r="216" spans="1:31">
      <c r="A216" s="29" t="s">
        <v>78</v>
      </c>
      <c r="B216" s="17" t="s">
        <v>656</v>
      </c>
      <c r="C216" s="30" t="s">
        <v>423</v>
      </c>
      <c r="D216" s="1" t="s">
        <v>75</v>
      </c>
      <c r="E216" s="35">
        <v>19672</v>
      </c>
      <c r="F216" s="17" t="s">
        <v>226</v>
      </c>
      <c r="G216" s="17" t="s">
        <v>226</v>
      </c>
      <c r="H216" s="31">
        <v>21000</v>
      </c>
      <c r="I216" s="31">
        <v>0</v>
      </c>
      <c r="J216" s="1" t="s">
        <v>255</v>
      </c>
      <c r="K216" s="28">
        <v>11</v>
      </c>
      <c r="L216" s="1" t="str" cm="1">
        <f t="array" ref="L216">_xlfn.IFS(Tabela6[[#This Row],[qtde_batalhas]]&lt;=15,"Baixo",Tabela6[[#This Row],[qtde_batalhas]]&gt;=30,"Alto",Tabela6[[#This Row],[qtde_batalhas]]&lt;30,"Médio")</f>
        <v>Baixo</v>
      </c>
      <c r="M216" s="31">
        <v>75500</v>
      </c>
      <c r="O216" t="s">
        <v>226</v>
      </c>
      <c r="P216" t="str">
        <f t="shared" si="3"/>
        <v>Dorne</v>
      </c>
      <c r="U216" t="s">
        <v>230</v>
      </c>
      <c r="V216" t="str">
        <f>TEXT(U216,"000\.000\.000\-00")</f>
        <v>000.000.213-00</v>
      </c>
      <c r="X216" s="15" t="s">
        <v>223</v>
      </c>
      <c r="Z216" s="26">
        <v>21000</v>
      </c>
      <c r="AA216">
        <v>21000</v>
      </c>
      <c r="AC216" s="25">
        <v>0</v>
      </c>
      <c r="AD216">
        <v>0</v>
      </c>
      <c r="AE216">
        <v>0</v>
      </c>
    </row>
    <row r="217" spans="1:31">
      <c r="A217" s="29" t="s">
        <v>74</v>
      </c>
      <c r="B217" s="17" t="s">
        <v>657</v>
      </c>
      <c r="C217" s="30" t="s">
        <v>658</v>
      </c>
      <c r="D217" s="1">
        <v>34</v>
      </c>
      <c r="E217" s="35">
        <v>33525</v>
      </c>
      <c r="F217" s="30" t="s">
        <v>91</v>
      </c>
      <c r="G217" s="17" t="s">
        <v>91</v>
      </c>
      <c r="H217" s="31">
        <v>28000</v>
      </c>
      <c r="I217" s="31">
        <v>36500</v>
      </c>
      <c r="J217" s="1" t="s">
        <v>50</v>
      </c>
      <c r="K217" s="28">
        <v>33</v>
      </c>
      <c r="L217" s="1" t="str" cm="1">
        <f t="array" ref="L217">_xlfn.IFS(Tabela6[[#This Row],[qtde_batalhas]]&lt;=15,"Baixo",Tabela6[[#This Row],[qtde_batalhas]]&gt;=30,"Alto",Tabela6[[#This Row],[qtde_batalhas]]&lt;30,"Médio")</f>
        <v>Alto</v>
      </c>
      <c r="M217" s="31">
        <v>60000</v>
      </c>
      <c r="O217" t="s">
        <v>75</v>
      </c>
      <c r="P217" t="str">
        <f t="shared" si="3"/>
        <v>Null</v>
      </c>
      <c r="U217" t="s">
        <v>659</v>
      </c>
      <c r="V217" t="str">
        <f>TEXT(U217,"000\.000\.000\-00")</f>
        <v>000.000.215-00</v>
      </c>
      <c r="X217" s="15" t="s">
        <v>86</v>
      </c>
      <c r="Z217" s="26">
        <v>28000</v>
      </c>
      <c r="AA217">
        <v>28000</v>
      </c>
      <c r="AC217" s="24">
        <v>36500</v>
      </c>
      <c r="AD217">
        <v>36500</v>
      </c>
      <c r="AE217">
        <v>36500</v>
      </c>
    </row>
    <row r="218" spans="1:31">
      <c r="A218" s="29" t="s">
        <v>74</v>
      </c>
      <c r="B218" s="17" t="s">
        <v>660</v>
      </c>
      <c r="C218" s="30" t="s">
        <v>661</v>
      </c>
      <c r="D218" s="1">
        <v>57</v>
      </c>
      <c r="E218" s="35">
        <v>25199</v>
      </c>
      <c r="F218" s="30" t="s">
        <v>91</v>
      </c>
      <c r="G218" s="17" t="s">
        <v>91</v>
      </c>
      <c r="H218" s="31">
        <v>20700</v>
      </c>
      <c r="I218" s="31">
        <v>64500</v>
      </c>
      <c r="J218" s="1" t="s">
        <v>50</v>
      </c>
      <c r="K218" s="28">
        <v>19</v>
      </c>
      <c r="L218" s="1" t="str" cm="1">
        <f t="array" ref="L218">_xlfn.IFS(Tabela6[[#This Row],[qtde_batalhas]]&lt;=15,"Baixo",Tabela6[[#This Row],[qtde_batalhas]]&gt;=30,"Alto",Tabela6[[#This Row],[qtde_batalhas]]&lt;30,"Médio")</f>
        <v>Médio</v>
      </c>
      <c r="M218" s="31">
        <v>54500</v>
      </c>
      <c r="O218" t="s">
        <v>75</v>
      </c>
      <c r="P218" t="str">
        <f t="shared" si="3"/>
        <v>Null</v>
      </c>
      <c r="U218" t="s">
        <v>662</v>
      </c>
      <c r="V218" t="str">
        <f>TEXT(U218,"000\.000\.000\-00")</f>
        <v>000.000.216-00</v>
      </c>
      <c r="X218" s="15" t="s">
        <v>663</v>
      </c>
      <c r="Y218" t="e" cm="1" vm="1">
        <f t="array" aca="1" ref="Y218" ca="1">_xlfn.TEXTSPLIT(X218," | ")</f>
        <v>#VALUE!</v>
      </c>
      <c r="Z218" s="26">
        <v>20700</v>
      </c>
      <c r="AA218">
        <v>20700</v>
      </c>
      <c r="AB218" t="s">
        <v>82</v>
      </c>
      <c r="AC218" s="25">
        <v>64500</v>
      </c>
      <c r="AD218">
        <v>64500</v>
      </c>
      <c r="AE218">
        <v>64500</v>
      </c>
    </row>
    <row r="219" spans="1:31">
      <c r="A219" s="29" t="s">
        <v>78</v>
      </c>
      <c r="B219" s="17" t="s">
        <v>664</v>
      </c>
      <c r="C219" s="30" t="s">
        <v>385</v>
      </c>
      <c r="D219" s="1">
        <v>66</v>
      </c>
      <c r="E219" s="35">
        <v>21954</v>
      </c>
      <c r="F219" s="30" t="s">
        <v>91</v>
      </c>
      <c r="G219" s="17" t="s">
        <v>91</v>
      </c>
      <c r="H219" s="31">
        <v>3400</v>
      </c>
      <c r="I219" s="31">
        <v>78000</v>
      </c>
      <c r="J219" s="1" t="s">
        <v>50</v>
      </c>
      <c r="K219" s="28">
        <v>9</v>
      </c>
      <c r="L219" s="1" t="str" cm="1">
        <f t="array" ref="L219">_xlfn.IFS(Tabela6[[#This Row],[qtde_batalhas]]&lt;=15,"Baixo",Tabela6[[#This Row],[qtde_batalhas]]&gt;=30,"Alto",Tabela6[[#This Row],[qtde_batalhas]]&lt;30,"Médio")</f>
        <v>Baixo</v>
      </c>
      <c r="M219" s="31">
        <v>51500</v>
      </c>
      <c r="O219" t="s">
        <v>75</v>
      </c>
      <c r="P219" t="str">
        <f t="shared" si="3"/>
        <v>Null</v>
      </c>
      <c r="U219" t="s">
        <v>510</v>
      </c>
      <c r="V219" t="str">
        <f>TEXT(U219,"000\.000\.000\-00")</f>
        <v>000.000.217-00</v>
      </c>
      <c r="X219" s="15" t="s">
        <v>101</v>
      </c>
      <c r="Z219" s="26">
        <v>3400</v>
      </c>
      <c r="AA219">
        <v>3400</v>
      </c>
      <c r="AC219" s="24">
        <v>78000</v>
      </c>
      <c r="AD219">
        <v>78000</v>
      </c>
      <c r="AE219">
        <v>78000</v>
      </c>
    </row>
    <row r="220" spans="1:31">
      <c r="A220" s="29" t="s">
        <v>74</v>
      </c>
      <c r="B220" s="17" t="s">
        <v>665</v>
      </c>
      <c r="C220" s="30" t="s">
        <v>666</v>
      </c>
      <c r="D220" s="1">
        <v>18</v>
      </c>
      <c r="E220" s="35">
        <v>39342</v>
      </c>
      <c r="F220" s="17" t="s">
        <v>223</v>
      </c>
      <c r="G220" s="17" t="s">
        <v>82</v>
      </c>
      <c r="H220" s="31">
        <v>28900</v>
      </c>
      <c r="I220" s="31">
        <v>22000</v>
      </c>
      <c r="J220" s="1" t="s">
        <v>50</v>
      </c>
      <c r="K220" s="28">
        <v>23</v>
      </c>
      <c r="L220" s="1" t="str" cm="1">
        <f t="array" ref="L220">_xlfn.IFS(Tabela6[[#This Row],[qtde_batalhas]]&lt;=15,"Baixo",Tabela6[[#This Row],[qtde_batalhas]]&gt;=30,"Alto",Tabela6[[#This Row],[qtde_batalhas]]&lt;30,"Médio")</f>
        <v>Médio</v>
      </c>
      <c r="M220" s="31">
        <v>90000</v>
      </c>
      <c r="O220" t="s">
        <v>82</v>
      </c>
      <c r="P220" t="str">
        <f t="shared" si="3"/>
        <v>Campina</v>
      </c>
      <c r="U220" t="s">
        <v>159</v>
      </c>
      <c r="V220" t="str">
        <f>TEXT(U220,"000\.000\.000\-00")</f>
        <v>000.000.218-00</v>
      </c>
      <c r="X220" s="15" t="s">
        <v>280</v>
      </c>
      <c r="Z220" s="26">
        <v>28900</v>
      </c>
      <c r="AA220">
        <v>28900</v>
      </c>
      <c r="AC220" s="25">
        <v>22000</v>
      </c>
      <c r="AD220">
        <v>22000</v>
      </c>
      <c r="AE220">
        <v>22000</v>
      </c>
    </row>
    <row r="221" spans="1:31">
      <c r="A221" s="29" t="s">
        <v>74</v>
      </c>
      <c r="B221" s="17" t="s">
        <v>667</v>
      </c>
      <c r="C221" s="30" t="s">
        <v>668</v>
      </c>
      <c r="D221" s="1">
        <v>44</v>
      </c>
      <c r="E221" s="35">
        <v>30081</v>
      </c>
      <c r="F221" s="30" t="s">
        <v>91</v>
      </c>
      <c r="G221" s="17" t="s">
        <v>91</v>
      </c>
      <c r="H221" s="31">
        <v>9600</v>
      </c>
      <c r="I221" s="31">
        <v>66000</v>
      </c>
      <c r="K221" s="28">
        <v>11</v>
      </c>
      <c r="L221" s="1" t="str" cm="1">
        <f t="array" ref="L221">_xlfn.IFS(Tabela6[[#This Row],[qtde_batalhas]]&lt;=15,"Baixo",Tabela6[[#This Row],[qtde_batalhas]]&gt;=30,"Alto",Tabela6[[#This Row],[qtde_batalhas]]&lt;30,"Médio")</f>
        <v>Baixo</v>
      </c>
      <c r="M221" s="31">
        <v>4500</v>
      </c>
      <c r="O221" t="s">
        <v>75</v>
      </c>
      <c r="P221" t="str">
        <f t="shared" si="3"/>
        <v>Null</v>
      </c>
      <c r="U221" t="s">
        <v>387</v>
      </c>
      <c r="V221" t="str">
        <f>TEXT(U221,"000\.000\.000\-00")</f>
        <v>000.000.220-00</v>
      </c>
      <c r="X221" s="15" t="s">
        <v>226</v>
      </c>
      <c r="Z221" s="26">
        <v>9600</v>
      </c>
      <c r="AA221">
        <v>9600</v>
      </c>
      <c r="AC221" s="24">
        <v>66000</v>
      </c>
      <c r="AD221">
        <v>66000</v>
      </c>
      <c r="AE221">
        <v>66000</v>
      </c>
    </row>
    <row r="222" spans="1:31">
      <c r="A222" s="29" t="s">
        <v>78</v>
      </c>
      <c r="B222" s="17" t="s">
        <v>669</v>
      </c>
      <c r="C222" s="30" t="s">
        <v>670</v>
      </c>
      <c r="D222" s="1">
        <v>27</v>
      </c>
      <c r="E222" s="35">
        <v>36151</v>
      </c>
      <c r="F222" s="30" t="s">
        <v>91</v>
      </c>
      <c r="G222" s="17" t="s">
        <v>91</v>
      </c>
      <c r="H222" s="31">
        <v>25900</v>
      </c>
      <c r="I222" s="31">
        <v>0</v>
      </c>
      <c r="J222" s="1" t="s">
        <v>51</v>
      </c>
      <c r="K222" s="28">
        <v>10</v>
      </c>
      <c r="L222" s="1" t="str" cm="1">
        <f t="array" ref="L222">_xlfn.IFS(Tabela6[[#This Row],[qtde_batalhas]]&lt;=15,"Baixo",Tabela6[[#This Row],[qtde_batalhas]]&gt;=30,"Alto",Tabela6[[#This Row],[qtde_batalhas]]&lt;30,"Médio")</f>
        <v>Baixo</v>
      </c>
      <c r="M222" s="31">
        <v>5000</v>
      </c>
      <c r="O222" t="s">
        <v>75</v>
      </c>
      <c r="P222" t="str">
        <f t="shared" si="3"/>
        <v>Null</v>
      </c>
      <c r="U222" t="s">
        <v>395</v>
      </c>
      <c r="V222" t="str">
        <f>TEXT(U222,"000\.000\.000\-00")</f>
        <v>000.000.221-00</v>
      </c>
      <c r="X222" s="15" t="s">
        <v>231</v>
      </c>
      <c r="Z222" s="26">
        <v>25900</v>
      </c>
      <c r="AA222">
        <v>25900</v>
      </c>
      <c r="AC222" s="25">
        <v>0</v>
      </c>
      <c r="AD222">
        <v>0</v>
      </c>
      <c r="AE222">
        <v>0</v>
      </c>
    </row>
    <row r="223" spans="1:31">
      <c r="A223" s="29" t="s">
        <v>74</v>
      </c>
      <c r="B223" s="17" t="s">
        <v>671</v>
      </c>
      <c r="C223" s="30" t="s">
        <v>672</v>
      </c>
      <c r="D223" s="1">
        <v>35</v>
      </c>
      <c r="E223" s="35">
        <v>33309</v>
      </c>
      <c r="F223" s="30" t="s">
        <v>91</v>
      </c>
      <c r="G223" s="17" t="s">
        <v>91</v>
      </c>
      <c r="H223" s="31">
        <v>28500</v>
      </c>
      <c r="I223" s="31">
        <v>48500</v>
      </c>
      <c r="J223" s="1" t="s">
        <v>50</v>
      </c>
      <c r="K223" s="28">
        <v>24</v>
      </c>
      <c r="L223" s="1" t="str" cm="1">
        <f t="array" ref="L223">_xlfn.IFS(Tabela6[[#This Row],[qtde_batalhas]]&lt;=15,"Baixo",Tabela6[[#This Row],[qtde_batalhas]]&gt;=30,"Alto",Tabela6[[#This Row],[qtde_batalhas]]&lt;30,"Médio")</f>
        <v>Médio</v>
      </c>
      <c r="M223" s="31">
        <v>80500</v>
      </c>
      <c r="O223" t="s">
        <v>75</v>
      </c>
      <c r="P223" t="str">
        <f t="shared" si="3"/>
        <v>Null</v>
      </c>
      <c r="U223" t="s">
        <v>562</v>
      </c>
      <c r="V223" t="str">
        <f>TEXT(U223,"000\.000\.000\-00")</f>
        <v>000.000.222-00</v>
      </c>
      <c r="X223" s="15" t="s">
        <v>115</v>
      </c>
      <c r="Z223" s="26">
        <v>28500</v>
      </c>
      <c r="AA223">
        <v>28500</v>
      </c>
      <c r="AC223" s="24">
        <v>48500</v>
      </c>
      <c r="AD223">
        <v>48500</v>
      </c>
      <c r="AE223">
        <v>48500</v>
      </c>
    </row>
    <row r="224" spans="1:31">
      <c r="A224" s="29" t="s">
        <v>74</v>
      </c>
      <c r="B224" s="17" t="s">
        <v>673</v>
      </c>
      <c r="C224" s="30" t="s">
        <v>612</v>
      </c>
      <c r="D224" s="1">
        <v>30</v>
      </c>
      <c r="E224" s="35">
        <v>35109</v>
      </c>
      <c r="F224" s="30" t="s">
        <v>91</v>
      </c>
      <c r="G224" s="17" t="s">
        <v>91</v>
      </c>
      <c r="H224" s="31">
        <v>2600</v>
      </c>
      <c r="I224" s="31">
        <v>62000</v>
      </c>
      <c r="J224" s="1" t="s">
        <v>50</v>
      </c>
      <c r="K224" s="28">
        <v>22</v>
      </c>
      <c r="L224" s="1" t="str" cm="1">
        <f t="array" ref="L224">_xlfn.IFS(Tabela6[[#This Row],[qtde_batalhas]]&lt;=15,"Baixo",Tabela6[[#This Row],[qtde_batalhas]]&gt;=30,"Alto",Tabela6[[#This Row],[qtde_batalhas]]&lt;30,"Médio")</f>
        <v>Médio</v>
      </c>
      <c r="M224" s="31">
        <v>62000</v>
      </c>
      <c r="O224" t="s">
        <v>75</v>
      </c>
      <c r="P224" t="str">
        <f t="shared" si="3"/>
        <v>Null</v>
      </c>
      <c r="U224" t="s">
        <v>644</v>
      </c>
      <c r="V224" t="str">
        <f>TEXT(U224,"000\.000\.000\-00")</f>
        <v>000.000.224-00</v>
      </c>
      <c r="X224" s="15" t="s">
        <v>156</v>
      </c>
      <c r="Z224" s="26">
        <v>2600</v>
      </c>
      <c r="AA224">
        <v>2600</v>
      </c>
      <c r="AC224" s="25">
        <v>62000</v>
      </c>
      <c r="AD224">
        <v>62000</v>
      </c>
      <c r="AE224">
        <v>62000</v>
      </c>
    </row>
    <row r="225" spans="1:31">
      <c r="A225" s="29" t="s">
        <v>74</v>
      </c>
      <c r="B225" s="17" t="s">
        <v>674</v>
      </c>
      <c r="C225" s="30" t="s">
        <v>675</v>
      </c>
      <c r="D225" s="1">
        <v>24</v>
      </c>
      <c r="E225" s="35">
        <v>37290</v>
      </c>
      <c r="F225" s="30" t="s">
        <v>91</v>
      </c>
      <c r="G225" s="17" t="s">
        <v>91</v>
      </c>
      <c r="H225" s="31">
        <v>6400</v>
      </c>
      <c r="I225" s="31">
        <v>41000</v>
      </c>
      <c r="J225" s="1" t="s">
        <v>50</v>
      </c>
      <c r="K225" s="28">
        <v>22</v>
      </c>
      <c r="L225" s="1" t="str" cm="1">
        <f t="array" ref="L225">_xlfn.IFS(Tabela6[[#This Row],[qtde_batalhas]]&lt;=15,"Baixo",Tabela6[[#This Row],[qtde_batalhas]]&gt;=30,"Alto",Tabela6[[#This Row],[qtde_batalhas]]&lt;30,"Médio")</f>
        <v>Médio</v>
      </c>
      <c r="M225" s="31">
        <v>74500</v>
      </c>
      <c r="O225" t="s">
        <v>75</v>
      </c>
      <c r="P225" t="str">
        <f t="shared" si="3"/>
        <v>Null</v>
      </c>
      <c r="U225" t="s">
        <v>611</v>
      </c>
      <c r="V225" t="str">
        <f>TEXT(U225,"000\.000\.000\-00")</f>
        <v>000.000.225-00</v>
      </c>
      <c r="X225" s="15" t="s">
        <v>256</v>
      </c>
      <c r="Z225" s="26">
        <v>6400</v>
      </c>
      <c r="AA225">
        <v>6400</v>
      </c>
      <c r="AC225" s="24">
        <v>41000</v>
      </c>
      <c r="AD225">
        <v>41000</v>
      </c>
      <c r="AE225">
        <v>41000</v>
      </c>
    </row>
    <row r="226" spans="1:31">
      <c r="A226" s="29" t="s">
        <v>74</v>
      </c>
      <c r="B226" s="17" t="s">
        <v>676</v>
      </c>
      <c r="C226" s="30" t="s">
        <v>502</v>
      </c>
      <c r="D226" s="1">
        <v>64</v>
      </c>
      <c r="E226" s="35">
        <v>22845</v>
      </c>
      <c r="F226" s="30" t="s">
        <v>91</v>
      </c>
      <c r="G226" s="17" t="s">
        <v>91</v>
      </c>
      <c r="H226" s="31">
        <v>12700</v>
      </c>
      <c r="I226" s="31">
        <v>0</v>
      </c>
      <c r="J226" s="1" t="s">
        <v>50</v>
      </c>
      <c r="K226" s="28">
        <v>21</v>
      </c>
      <c r="L226" s="1" t="str" cm="1">
        <f t="array" ref="L226">_xlfn.IFS(Tabela6[[#This Row],[qtde_batalhas]]&lt;=15,"Baixo",Tabela6[[#This Row],[qtde_batalhas]]&gt;=30,"Alto",Tabela6[[#This Row],[qtde_batalhas]]&lt;30,"Médio")</f>
        <v>Médio</v>
      </c>
      <c r="M226" s="31">
        <v>50500</v>
      </c>
      <c r="O226" t="s">
        <v>75</v>
      </c>
      <c r="P226" t="str">
        <f t="shared" si="3"/>
        <v>Null</v>
      </c>
      <c r="U226" t="s">
        <v>251</v>
      </c>
      <c r="V226" t="str">
        <f>TEXT(U226,"000\.000\.000\-00")</f>
        <v>000.000.226-00</v>
      </c>
      <c r="X226" s="15" t="s">
        <v>156</v>
      </c>
      <c r="Z226" s="26">
        <v>12700</v>
      </c>
      <c r="AA226">
        <v>12700</v>
      </c>
      <c r="AC226" s="25">
        <v>0</v>
      </c>
      <c r="AD226">
        <v>0</v>
      </c>
      <c r="AE226">
        <v>0</v>
      </c>
    </row>
    <row r="227" spans="1:31">
      <c r="A227" s="29" t="s">
        <v>74</v>
      </c>
      <c r="B227" s="17" t="s">
        <v>677</v>
      </c>
      <c r="C227" s="30" t="s">
        <v>678</v>
      </c>
      <c r="D227" s="1">
        <v>60</v>
      </c>
      <c r="E227" s="35">
        <v>24272</v>
      </c>
      <c r="F227" s="30" t="s">
        <v>91</v>
      </c>
      <c r="G227" s="17" t="s">
        <v>91</v>
      </c>
      <c r="H227" s="31">
        <v>17300</v>
      </c>
      <c r="I227" s="31">
        <v>15000</v>
      </c>
      <c r="J227" s="1" t="s">
        <v>50</v>
      </c>
      <c r="K227" s="28">
        <v>17</v>
      </c>
      <c r="L227" s="1" t="str" cm="1">
        <f t="array" ref="L227">_xlfn.IFS(Tabela6[[#This Row],[qtde_batalhas]]&lt;=15,"Baixo",Tabela6[[#This Row],[qtde_batalhas]]&gt;=30,"Alto",Tabela6[[#This Row],[qtde_batalhas]]&lt;30,"Médio")</f>
        <v>Médio</v>
      </c>
      <c r="M227" s="31">
        <v>69000</v>
      </c>
      <c r="O227" t="s">
        <v>75</v>
      </c>
      <c r="P227" t="str">
        <f t="shared" si="3"/>
        <v>Null</v>
      </c>
      <c r="U227" t="s">
        <v>679</v>
      </c>
      <c r="V227" t="str">
        <f>TEXT(U227,"000\.000\.000\-00")</f>
        <v>000.000.227-00</v>
      </c>
      <c r="X227" s="15" t="s">
        <v>280</v>
      </c>
      <c r="Z227" s="26">
        <v>17300</v>
      </c>
      <c r="AA227">
        <v>17300</v>
      </c>
      <c r="AC227" s="24">
        <v>15000</v>
      </c>
      <c r="AD227">
        <v>15000</v>
      </c>
      <c r="AE227">
        <v>15000</v>
      </c>
    </row>
    <row r="228" spans="1:31">
      <c r="A228" s="29" t="s">
        <v>78</v>
      </c>
      <c r="B228" s="17" t="s">
        <v>680</v>
      </c>
      <c r="C228" s="30" t="s">
        <v>524</v>
      </c>
      <c r="D228" s="1">
        <v>33</v>
      </c>
      <c r="E228" s="35">
        <v>34082</v>
      </c>
      <c r="F228" s="30" t="s">
        <v>91</v>
      </c>
      <c r="G228" s="17" t="s">
        <v>91</v>
      </c>
      <c r="H228" s="31">
        <v>23600</v>
      </c>
      <c r="I228" s="31">
        <v>75500</v>
      </c>
      <c r="J228" s="1" t="s">
        <v>50</v>
      </c>
      <c r="K228" s="28">
        <v>16</v>
      </c>
      <c r="L228" s="1" t="str" cm="1">
        <f t="array" ref="L228">_xlfn.IFS(Tabela6[[#This Row],[qtde_batalhas]]&lt;=15,"Baixo",Tabela6[[#This Row],[qtde_batalhas]]&gt;=30,"Alto",Tabela6[[#This Row],[qtde_batalhas]]&lt;30,"Médio")</f>
        <v>Médio</v>
      </c>
      <c r="M228" s="31">
        <v>88000</v>
      </c>
      <c r="O228" t="s">
        <v>75</v>
      </c>
      <c r="P228" t="str">
        <f t="shared" si="3"/>
        <v>Null</v>
      </c>
      <c r="U228" t="s">
        <v>681</v>
      </c>
      <c r="V228" t="str">
        <f>TEXT(U228,"000\.000\.000\-00")</f>
        <v>000.000.228-00</v>
      </c>
      <c r="X228" s="15" t="s">
        <v>243</v>
      </c>
      <c r="Z228" s="26">
        <v>23600</v>
      </c>
      <c r="AA228">
        <v>23600</v>
      </c>
      <c r="AC228" s="25">
        <v>75500</v>
      </c>
      <c r="AD228">
        <v>75500</v>
      </c>
      <c r="AE228">
        <v>75500</v>
      </c>
    </row>
    <row r="229" spans="1:31">
      <c r="A229" s="29" t="s">
        <v>74</v>
      </c>
      <c r="B229" s="17" t="s">
        <v>682</v>
      </c>
      <c r="C229" s="30" t="s">
        <v>683</v>
      </c>
      <c r="D229" s="1">
        <v>26</v>
      </c>
      <c r="E229" s="35">
        <v>36596</v>
      </c>
      <c r="F229" s="30" t="s">
        <v>91</v>
      </c>
      <c r="G229" s="17" t="s">
        <v>91</v>
      </c>
      <c r="H229" s="31">
        <v>3500</v>
      </c>
      <c r="I229" s="31">
        <v>50000</v>
      </c>
      <c r="J229" s="1">
        <v>0</v>
      </c>
      <c r="K229" s="28">
        <v>40</v>
      </c>
      <c r="L229" s="1" t="str" cm="1">
        <f t="array" ref="L229">_xlfn.IFS(Tabela6[[#This Row],[qtde_batalhas]]&lt;=15,"Baixo",Tabela6[[#This Row],[qtde_batalhas]]&gt;=30,"Alto",Tabela6[[#This Row],[qtde_batalhas]]&lt;30,"Médio")</f>
        <v>Alto</v>
      </c>
      <c r="M229" s="31">
        <v>46500</v>
      </c>
      <c r="O229" t="s">
        <v>75</v>
      </c>
      <c r="P229" t="str">
        <f t="shared" si="3"/>
        <v>Null</v>
      </c>
      <c r="U229" t="s">
        <v>484</v>
      </c>
      <c r="V229" t="str">
        <f>TEXT(U229,"000\.000\.000\-00")</f>
        <v>000.000.229-00</v>
      </c>
      <c r="X229" s="15" t="s">
        <v>219</v>
      </c>
      <c r="Z229" s="26">
        <v>3500</v>
      </c>
      <c r="AA229">
        <v>3500</v>
      </c>
      <c r="AC229" s="24">
        <v>50000</v>
      </c>
      <c r="AD229">
        <v>50000</v>
      </c>
      <c r="AE229">
        <v>50000</v>
      </c>
    </row>
    <row r="230" spans="1:31">
      <c r="A230" s="29" t="s">
        <v>74</v>
      </c>
      <c r="B230" s="17" t="s">
        <v>684</v>
      </c>
      <c r="C230" s="30" t="s">
        <v>685</v>
      </c>
      <c r="D230" s="1">
        <v>51</v>
      </c>
      <c r="E230" s="35">
        <v>27413</v>
      </c>
      <c r="F230" s="30" t="s">
        <v>91</v>
      </c>
      <c r="G230" s="17" t="s">
        <v>91</v>
      </c>
      <c r="H230" s="31">
        <v>18500</v>
      </c>
      <c r="I230" s="31">
        <v>69500</v>
      </c>
      <c r="J230" s="1" t="s">
        <v>50</v>
      </c>
      <c r="K230" s="28">
        <v>31</v>
      </c>
      <c r="L230" s="1" t="str" cm="1">
        <f t="array" ref="L230">_xlfn.IFS(Tabela6[[#This Row],[qtde_batalhas]]&lt;=15,"Baixo",Tabela6[[#This Row],[qtde_batalhas]]&gt;=30,"Alto",Tabela6[[#This Row],[qtde_batalhas]]&lt;30,"Médio")</f>
        <v>Alto</v>
      </c>
      <c r="M230" s="31">
        <v>18000</v>
      </c>
      <c r="O230" t="s">
        <v>75</v>
      </c>
      <c r="P230" t="str">
        <f t="shared" si="3"/>
        <v>Null</v>
      </c>
      <c r="U230" t="s">
        <v>583</v>
      </c>
      <c r="V230" t="str">
        <f>TEXT(U230,"000\.000\.000\-00")</f>
        <v>000.000.231-00</v>
      </c>
      <c r="X230" s="15" t="s">
        <v>150</v>
      </c>
      <c r="Z230" s="26">
        <v>18500</v>
      </c>
      <c r="AA230">
        <v>18500</v>
      </c>
      <c r="AC230" s="25">
        <v>69500</v>
      </c>
      <c r="AD230">
        <v>69500</v>
      </c>
      <c r="AE230">
        <v>69500</v>
      </c>
    </row>
    <row r="231" spans="1:31">
      <c r="A231" s="29" t="s">
        <v>74</v>
      </c>
      <c r="B231" s="17" t="s">
        <v>686</v>
      </c>
      <c r="C231" s="30" t="s">
        <v>687</v>
      </c>
      <c r="D231" s="1">
        <v>19</v>
      </c>
      <c r="E231" s="35">
        <v>39220</v>
      </c>
      <c r="F231" s="17" t="s">
        <v>223</v>
      </c>
      <c r="G231" s="17" t="s">
        <v>82</v>
      </c>
      <c r="H231" s="31">
        <v>18000</v>
      </c>
      <c r="I231" s="31">
        <v>50500</v>
      </c>
      <c r="J231" s="1" t="s">
        <v>412</v>
      </c>
      <c r="K231" s="28">
        <v>11</v>
      </c>
      <c r="L231" s="1" t="str" cm="1">
        <f t="array" ref="L231">_xlfn.IFS(Tabela6[[#This Row],[qtde_batalhas]]&lt;=15,"Baixo",Tabela6[[#This Row],[qtde_batalhas]]&gt;=30,"Alto",Tabela6[[#This Row],[qtde_batalhas]]&lt;30,"Médio")</f>
        <v>Baixo</v>
      </c>
      <c r="M231" s="31">
        <v>26000</v>
      </c>
      <c r="O231" t="s">
        <v>82</v>
      </c>
      <c r="P231" t="str">
        <f t="shared" si="3"/>
        <v>Campina</v>
      </c>
      <c r="U231" t="s">
        <v>543</v>
      </c>
      <c r="V231" t="str">
        <f>TEXT(U231,"000\.000\.000\-00")</f>
        <v>000.000.232-00</v>
      </c>
      <c r="X231" s="15" t="s">
        <v>219</v>
      </c>
      <c r="Z231" s="26">
        <v>18000</v>
      </c>
      <c r="AA231">
        <v>18000</v>
      </c>
      <c r="AC231" s="24">
        <v>50500</v>
      </c>
      <c r="AD231">
        <v>50500</v>
      </c>
      <c r="AE231">
        <v>50500</v>
      </c>
    </row>
    <row r="232" spans="1:31">
      <c r="A232" s="29" t="s">
        <v>74</v>
      </c>
      <c r="B232" s="17" t="s">
        <v>688</v>
      </c>
      <c r="C232" s="30" t="s">
        <v>427</v>
      </c>
      <c r="D232" s="1">
        <v>24</v>
      </c>
      <c r="E232" s="35">
        <v>37435</v>
      </c>
      <c r="F232" s="30" t="s">
        <v>91</v>
      </c>
      <c r="G232" s="17" t="s">
        <v>91</v>
      </c>
      <c r="H232" s="31">
        <v>6100</v>
      </c>
      <c r="I232" s="31" t="s">
        <v>75</v>
      </c>
      <c r="J232" s="1" t="s">
        <v>396</v>
      </c>
      <c r="K232" s="28">
        <v>15</v>
      </c>
      <c r="L232" s="1" t="str" cm="1">
        <f t="array" ref="L232">_xlfn.IFS(Tabela6[[#This Row],[qtde_batalhas]]&lt;=15,"Baixo",Tabela6[[#This Row],[qtde_batalhas]]&gt;=30,"Alto",Tabela6[[#This Row],[qtde_batalhas]]&lt;30,"Médio")</f>
        <v>Baixo</v>
      </c>
      <c r="M232" s="31">
        <v>67000</v>
      </c>
      <c r="O232" t="s">
        <v>75</v>
      </c>
      <c r="P232" t="str">
        <f t="shared" si="3"/>
        <v>Null</v>
      </c>
      <c r="U232" t="s">
        <v>689</v>
      </c>
      <c r="V232" t="str">
        <f>TEXT(U232,"000\.000\.000\-00")</f>
        <v>000.000.234-00</v>
      </c>
      <c r="X232" s="15" t="s">
        <v>288</v>
      </c>
      <c r="Z232" s="26">
        <v>6100</v>
      </c>
      <c r="AA232">
        <v>6100</v>
      </c>
      <c r="AC232" s="25"/>
      <c r="AD232" t="s">
        <v>75</v>
      </c>
      <c r="AE232" t="s">
        <v>75</v>
      </c>
    </row>
    <row r="233" spans="1:31">
      <c r="A233" s="29" t="s">
        <v>74</v>
      </c>
      <c r="B233" s="17" t="s">
        <v>690</v>
      </c>
      <c r="C233" s="30" t="s">
        <v>325</v>
      </c>
      <c r="D233" s="1">
        <v>60</v>
      </c>
      <c r="E233" s="35">
        <v>24202</v>
      </c>
      <c r="F233" s="30" t="s">
        <v>91</v>
      </c>
      <c r="G233" s="17" t="s">
        <v>91</v>
      </c>
      <c r="H233" s="31">
        <v>5500</v>
      </c>
      <c r="I233" s="31">
        <v>0</v>
      </c>
      <c r="J233" s="1" t="s">
        <v>255</v>
      </c>
      <c r="K233" s="28">
        <v>26</v>
      </c>
      <c r="L233" s="1" t="str" cm="1">
        <f t="array" ref="L233">_xlfn.IFS(Tabela6[[#This Row],[qtde_batalhas]]&lt;=15,"Baixo",Tabela6[[#This Row],[qtde_batalhas]]&gt;=30,"Alto",Tabela6[[#This Row],[qtde_batalhas]]&lt;30,"Médio")</f>
        <v>Médio</v>
      </c>
      <c r="M233" s="31">
        <v>52500</v>
      </c>
      <c r="O233" t="s">
        <v>75</v>
      </c>
      <c r="P233" t="str">
        <f t="shared" si="3"/>
        <v>Null</v>
      </c>
      <c r="U233" t="s">
        <v>691</v>
      </c>
      <c r="V233" t="str">
        <f>TEXT(U233,"000\.000\.000\-00")</f>
        <v>000.000.235-00</v>
      </c>
      <c r="X233" s="15" t="s">
        <v>226</v>
      </c>
      <c r="Z233" s="26">
        <v>5500</v>
      </c>
      <c r="AA233">
        <v>5500</v>
      </c>
      <c r="AC233" s="24">
        <v>0</v>
      </c>
      <c r="AD233">
        <v>0</v>
      </c>
      <c r="AE233">
        <v>0</v>
      </c>
    </row>
    <row r="234" spans="1:31">
      <c r="A234" s="29" t="s">
        <v>74</v>
      </c>
      <c r="B234" s="17" t="s">
        <v>692</v>
      </c>
      <c r="C234" s="30" t="s">
        <v>465</v>
      </c>
      <c r="D234" s="1">
        <v>74</v>
      </c>
      <c r="E234" s="35">
        <v>19121</v>
      </c>
      <c r="F234" s="17" t="s">
        <v>219</v>
      </c>
      <c r="G234" s="17" t="s">
        <v>164</v>
      </c>
      <c r="H234" s="31">
        <v>7300</v>
      </c>
      <c r="I234" s="31">
        <v>1000</v>
      </c>
      <c r="J234" s="1" t="s">
        <v>50</v>
      </c>
      <c r="K234" s="28">
        <v>3</v>
      </c>
      <c r="L234" s="1" t="str" cm="1">
        <f t="array" ref="L234">_xlfn.IFS(Tabela6[[#This Row],[qtde_batalhas]]&lt;=15,"Baixo",Tabela6[[#This Row],[qtde_batalhas]]&gt;=30,"Alto",Tabela6[[#This Row],[qtde_batalhas]]&lt;30,"Médio")</f>
        <v>Baixo</v>
      </c>
      <c r="M234" s="31">
        <v>50500</v>
      </c>
      <c r="O234" t="s">
        <v>164</v>
      </c>
      <c r="P234" t="str">
        <f t="shared" si="3"/>
        <v>Norte</v>
      </c>
      <c r="U234" t="s">
        <v>693</v>
      </c>
      <c r="V234" t="str">
        <f>TEXT(U234,"000\.000\.000\-00")</f>
        <v>000.000.236-00</v>
      </c>
      <c r="X234" s="15" t="s">
        <v>86</v>
      </c>
      <c r="Z234" s="26">
        <v>7300</v>
      </c>
      <c r="AA234">
        <v>7300</v>
      </c>
      <c r="AC234" s="25">
        <v>1000</v>
      </c>
      <c r="AD234">
        <v>1000</v>
      </c>
      <c r="AE234">
        <v>1000</v>
      </c>
    </row>
    <row r="235" spans="1:31">
      <c r="A235" s="29" t="s">
        <v>74</v>
      </c>
      <c r="B235" s="17" t="s">
        <v>694</v>
      </c>
      <c r="C235" s="30" t="s">
        <v>638</v>
      </c>
      <c r="D235" s="1">
        <v>53</v>
      </c>
      <c r="E235" s="35">
        <v>26898</v>
      </c>
      <c r="F235" s="30" t="s">
        <v>91</v>
      </c>
      <c r="G235" s="17" t="s">
        <v>91</v>
      </c>
      <c r="H235" s="31">
        <v>27100</v>
      </c>
      <c r="I235" s="31">
        <v>68000</v>
      </c>
      <c r="J235" s="1" t="s">
        <v>50</v>
      </c>
      <c r="K235" s="28">
        <v>40</v>
      </c>
      <c r="L235" s="1" t="str" cm="1">
        <f t="array" ref="L235">_xlfn.IFS(Tabela6[[#This Row],[qtde_batalhas]]&lt;=15,"Baixo",Tabela6[[#This Row],[qtde_batalhas]]&gt;=30,"Alto",Tabela6[[#This Row],[qtde_batalhas]]&lt;30,"Médio")</f>
        <v>Alto</v>
      </c>
      <c r="M235" s="31">
        <v>49500</v>
      </c>
      <c r="O235" t="s">
        <v>75</v>
      </c>
      <c r="P235" t="str">
        <f t="shared" si="3"/>
        <v>Null</v>
      </c>
      <c r="U235" t="s">
        <v>312</v>
      </c>
      <c r="V235" t="str">
        <f>TEXT(U235,"000\.000\.000\-00")</f>
        <v>000.000.238-00</v>
      </c>
      <c r="X235" s="15" t="s">
        <v>274</v>
      </c>
      <c r="Z235" s="26">
        <v>27100</v>
      </c>
      <c r="AA235">
        <v>27100</v>
      </c>
      <c r="AC235" s="24">
        <v>68000</v>
      </c>
      <c r="AD235">
        <v>68000</v>
      </c>
      <c r="AE235">
        <v>68000</v>
      </c>
    </row>
    <row r="236" spans="1:31">
      <c r="A236" s="29" t="s">
        <v>74</v>
      </c>
      <c r="B236" s="17" t="s">
        <v>695</v>
      </c>
      <c r="C236" s="30" t="s">
        <v>696</v>
      </c>
      <c r="D236" s="1">
        <v>73</v>
      </c>
      <c r="E236" s="35">
        <v>19588</v>
      </c>
      <c r="F236" s="17" t="s">
        <v>215</v>
      </c>
      <c r="G236" s="17" t="s">
        <v>164</v>
      </c>
      <c r="H236" s="31">
        <v>28600</v>
      </c>
      <c r="I236" s="31">
        <v>40500</v>
      </c>
      <c r="J236" s="1" t="s">
        <v>50</v>
      </c>
      <c r="K236" s="28">
        <v>20</v>
      </c>
      <c r="L236" s="1" t="str" cm="1">
        <f t="array" ref="L236">_xlfn.IFS(Tabela6[[#This Row],[qtde_batalhas]]&lt;=15,"Baixo",Tabela6[[#This Row],[qtde_batalhas]]&gt;=30,"Alto",Tabela6[[#This Row],[qtde_batalhas]]&lt;30,"Médio")</f>
        <v>Médio</v>
      </c>
      <c r="M236" s="31">
        <v>2500</v>
      </c>
      <c r="O236" t="s">
        <v>164</v>
      </c>
      <c r="P236" t="str">
        <f t="shared" si="3"/>
        <v>Norte</v>
      </c>
      <c r="U236" t="s">
        <v>166</v>
      </c>
      <c r="V236" t="str">
        <f>TEXT(U236,"000\.000\.000\-00")</f>
        <v>000.000.241-00</v>
      </c>
      <c r="X236" s="15" t="s">
        <v>274</v>
      </c>
      <c r="Z236" s="26">
        <v>28600</v>
      </c>
      <c r="AA236">
        <v>28600</v>
      </c>
      <c r="AC236" s="25">
        <v>40500</v>
      </c>
      <c r="AD236">
        <v>40500</v>
      </c>
      <c r="AE236">
        <v>40500</v>
      </c>
    </row>
    <row r="237" spans="1:31">
      <c r="A237" s="29" t="s">
        <v>74</v>
      </c>
      <c r="B237" s="17" t="s">
        <v>697</v>
      </c>
      <c r="C237" s="30" t="s">
        <v>698</v>
      </c>
      <c r="D237" s="1">
        <v>19</v>
      </c>
      <c r="E237" s="35">
        <v>39003</v>
      </c>
      <c r="F237" s="17" t="s">
        <v>163</v>
      </c>
      <c r="G237" s="17" t="s">
        <v>164</v>
      </c>
      <c r="H237" s="31">
        <v>4000</v>
      </c>
      <c r="I237" s="31">
        <v>29500</v>
      </c>
      <c r="J237" s="1" t="s">
        <v>51</v>
      </c>
      <c r="K237" s="28">
        <v>13</v>
      </c>
      <c r="L237" s="1" t="str" cm="1">
        <f t="array" ref="L237">_xlfn.IFS(Tabela6[[#This Row],[qtde_batalhas]]&lt;=15,"Baixo",Tabela6[[#This Row],[qtde_batalhas]]&gt;=30,"Alto",Tabela6[[#This Row],[qtde_batalhas]]&lt;30,"Médio")</f>
        <v>Baixo</v>
      </c>
      <c r="M237" s="31">
        <v>5000</v>
      </c>
      <c r="O237" t="s">
        <v>164</v>
      </c>
      <c r="P237" t="str">
        <f t="shared" si="3"/>
        <v>Norte</v>
      </c>
      <c r="U237" t="s">
        <v>147</v>
      </c>
      <c r="V237" t="str">
        <f>TEXT(U237,"000\.000\.000\-00")</f>
        <v>000.000.242-00</v>
      </c>
      <c r="X237" s="15" t="s">
        <v>115</v>
      </c>
      <c r="Z237" s="26" t="s">
        <v>699</v>
      </c>
      <c r="AA237">
        <v>4000</v>
      </c>
      <c r="AC237" s="24">
        <v>29500</v>
      </c>
      <c r="AD237">
        <v>29500</v>
      </c>
      <c r="AE237">
        <v>29500</v>
      </c>
    </row>
    <row r="238" spans="1:31">
      <c r="A238" s="29" t="s">
        <v>74</v>
      </c>
      <c r="B238" s="17" t="s">
        <v>700</v>
      </c>
      <c r="C238" s="30" t="s">
        <v>701</v>
      </c>
      <c r="D238" s="1">
        <v>54</v>
      </c>
      <c r="E238" s="35">
        <v>26382</v>
      </c>
      <c r="F238" s="30" t="s">
        <v>91</v>
      </c>
      <c r="G238" s="17" t="s">
        <v>91</v>
      </c>
      <c r="H238" s="31">
        <v>22100</v>
      </c>
      <c r="I238" s="31">
        <v>37000</v>
      </c>
      <c r="J238" s="1" t="s">
        <v>50</v>
      </c>
      <c r="K238" s="28">
        <v>34</v>
      </c>
      <c r="L238" s="1" t="str" cm="1">
        <f t="array" ref="L238">_xlfn.IFS(Tabela6[[#This Row],[qtde_batalhas]]&lt;=15,"Baixo",Tabela6[[#This Row],[qtde_batalhas]]&gt;=30,"Alto",Tabela6[[#This Row],[qtde_batalhas]]&lt;30,"Médio")</f>
        <v>Alto</v>
      </c>
      <c r="M238" s="31">
        <v>87000</v>
      </c>
      <c r="O238" t="s">
        <v>75</v>
      </c>
      <c r="P238" t="str">
        <f t="shared" si="3"/>
        <v>Null</v>
      </c>
      <c r="U238" t="s">
        <v>85</v>
      </c>
      <c r="V238" t="str">
        <f>TEXT(U238,"000\.000\.000\-00")</f>
        <v>000.000.244-00</v>
      </c>
      <c r="X238" s="15" t="s">
        <v>256</v>
      </c>
      <c r="Z238" s="26">
        <v>22100</v>
      </c>
      <c r="AA238">
        <v>22100</v>
      </c>
      <c r="AC238" s="25">
        <v>37000</v>
      </c>
      <c r="AD238">
        <v>37000</v>
      </c>
      <c r="AE238">
        <v>37000</v>
      </c>
    </row>
    <row r="239" spans="1:31">
      <c r="A239" s="29" t="s">
        <v>74</v>
      </c>
      <c r="B239" s="17" t="s">
        <v>702</v>
      </c>
      <c r="C239" s="30" t="s">
        <v>703</v>
      </c>
      <c r="D239" s="1">
        <v>18</v>
      </c>
      <c r="E239" s="35">
        <v>39338</v>
      </c>
      <c r="F239" s="17" t="s">
        <v>215</v>
      </c>
      <c r="G239" s="17" t="s">
        <v>164</v>
      </c>
      <c r="H239" s="31">
        <v>14100</v>
      </c>
      <c r="I239" s="31">
        <v>38500</v>
      </c>
      <c r="J239" s="1" t="s">
        <v>50</v>
      </c>
      <c r="K239" s="28">
        <v>7</v>
      </c>
      <c r="L239" s="1" t="str" cm="1">
        <f t="array" ref="L239">_xlfn.IFS(Tabela6[[#This Row],[qtde_batalhas]]&lt;=15,"Baixo",Tabela6[[#This Row],[qtde_batalhas]]&gt;=30,"Alto",Tabela6[[#This Row],[qtde_batalhas]]&lt;30,"Médio")</f>
        <v>Baixo</v>
      </c>
      <c r="M239" s="31">
        <v>11000</v>
      </c>
      <c r="O239" t="s">
        <v>220</v>
      </c>
      <c r="P239" t="str">
        <f t="shared" si="3"/>
        <v>Norte</v>
      </c>
      <c r="U239" t="s">
        <v>704</v>
      </c>
      <c r="V239" t="str">
        <f>TEXT(U239,"000\.000\.000\-00")</f>
        <v>000.000.245-00</v>
      </c>
      <c r="X239" s="14" t="s">
        <v>212</v>
      </c>
      <c r="Y239" t="e" cm="1" vm="1">
        <f t="array" aca="1" ref="Y239" ca="1">_xlfn.TEXTSPLIT(X239," | ")</f>
        <v>#VALUE!</v>
      </c>
      <c r="Z239" s="26">
        <v>14100</v>
      </c>
      <c r="AA239">
        <v>14100</v>
      </c>
      <c r="AC239" s="24">
        <v>38500</v>
      </c>
      <c r="AD239">
        <v>38500</v>
      </c>
      <c r="AE239">
        <v>38500</v>
      </c>
    </row>
    <row r="240" spans="1:31">
      <c r="A240" s="29" t="s">
        <v>74</v>
      </c>
      <c r="B240" s="17" t="s">
        <v>705</v>
      </c>
      <c r="C240" s="30" t="s">
        <v>679</v>
      </c>
      <c r="D240" s="1">
        <v>25</v>
      </c>
      <c r="E240" s="35">
        <v>37056</v>
      </c>
      <c r="F240" s="30" t="s">
        <v>91</v>
      </c>
      <c r="G240" s="17" t="s">
        <v>91</v>
      </c>
      <c r="H240" s="31">
        <v>25400</v>
      </c>
      <c r="I240" s="31">
        <v>4000</v>
      </c>
      <c r="J240" s="1" t="s">
        <v>50</v>
      </c>
      <c r="K240" s="28">
        <v>4</v>
      </c>
      <c r="L240" s="1" t="str" cm="1">
        <f t="array" ref="L240">_xlfn.IFS(Tabela6[[#This Row],[qtde_batalhas]]&lt;=15,"Baixo",Tabela6[[#This Row],[qtde_batalhas]]&gt;=30,"Alto",Tabela6[[#This Row],[qtde_batalhas]]&lt;30,"Médio")</f>
        <v>Baixo</v>
      </c>
      <c r="M240" s="31">
        <v>8500</v>
      </c>
      <c r="O240" t="s">
        <v>75</v>
      </c>
      <c r="P240" t="str">
        <f t="shared" si="3"/>
        <v>Null</v>
      </c>
      <c r="U240" t="s">
        <v>706</v>
      </c>
      <c r="V240" t="str">
        <f>TEXT(U240,"000\.000\.000\-00")</f>
        <v>000.000.246-00</v>
      </c>
      <c r="X240" s="15" t="s">
        <v>223</v>
      </c>
      <c r="Z240" s="26">
        <v>25400</v>
      </c>
      <c r="AA240">
        <v>25400</v>
      </c>
      <c r="AC240" s="25">
        <v>4000</v>
      </c>
      <c r="AD240">
        <v>4000</v>
      </c>
      <c r="AE240">
        <v>4000</v>
      </c>
    </row>
    <row r="241" spans="1:31">
      <c r="A241" s="29" t="s">
        <v>74</v>
      </c>
      <c r="B241" s="17" t="s">
        <v>707</v>
      </c>
      <c r="C241" s="30" t="s">
        <v>706</v>
      </c>
      <c r="D241" s="1" t="s">
        <v>75</v>
      </c>
      <c r="E241" s="35">
        <v>35600</v>
      </c>
      <c r="F241" s="17" t="s">
        <v>252</v>
      </c>
      <c r="G241" s="17" t="s">
        <v>87</v>
      </c>
      <c r="H241" s="31">
        <v>9600</v>
      </c>
      <c r="I241" s="31">
        <v>41000</v>
      </c>
      <c r="J241" s="1" t="s">
        <v>50</v>
      </c>
      <c r="K241" s="28">
        <v>27</v>
      </c>
      <c r="L241" s="1" t="str" cm="1">
        <f t="array" ref="L241">_xlfn.IFS(Tabela6[[#This Row],[qtde_batalhas]]&lt;=15,"Baixo",Tabela6[[#This Row],[qtde_batalhas]]&gt;=30,"Alto",Tabela6[[#This Row],[qtde_batalhas]]&lt;30,"Médio")</f>
        <v>Médio</v>
      </c>
      <c r="M241" s="31">
        <v>25000</v>
      </c>
      <c r="O241" t="s">
        <v>87</v>
      </c>
      <c r="P241" t="str">
        <f t="shared" si="3"/>
        <v>Terras Fluviais</v>
      </c>
      <c r="U241" t="s">
        <v>687</v>
      </c>
      <c r="V241" t="str">
        <f>TEXT(U241,"000\.000\.000\-00")</f>
        <v>000.000.247-00</v>
      </c>
      <c r="X241" s="15" t="s">
        <v>288</v>
      </c>
      <c r="Z241" s="26">
        <v>9600</v>
      </c>
      <c r="AA241">
        <v>9600</v>
      </c>
      <c r="AC241" s="24">
        <v>41000</v>
      </c>
      <c r="AD241">
        <v>41000</v>
      </c>
      <c r="AE241">
        <v>41000</v>
      </c>
    </row>
    <row r="242" spans="1:31">
      <c r="A242" s="29" t="s">
        <v>74</v>
      </c>
      <c r="B242" s="17" t="s">
        <v>708</v>
      </c>
      <c r="C242" s="30" t="s">
        <v>681</v>
      </c>
      <c r="D242" s="1">
        <v>65</v>
      </c>
      <c r="E242" s="35">
        <v>22505</v>
      </c>
      <c r="F242" s="30" t="s">
        <v>91</v>
      </c>
      <c r="G242" s="17" t="s">
        <v>91</v>
      </c>
      <c r="H242" s="31">
        <v>29000</v>
      </c>
      <c r="I242" s="31">
        <v>28500</v>
      </c>
      <c r="J242" s="1" t="s">
        <v>50</v>
      </c>
      <c r="K242" s="28">
        <v>28</v>
      </c>
      <c r="L242" s="1" t="str" cm="1">
        <f t="array" ref="L242">_xlfn.IFS(Tabela6[[#This Row],[qtde_batalhas]]&lt;=15,"Baixo",Tabela6[[#This Row],[qtde_batalhas]]&gt;=30,"Alto",Tabela6[[#This Row],[qtde_batalhas]]&lt;30,"Médio")</f>
        <v>Médio</v>
      </c>
      <c r="M242" s="31">
        <v>57500</v>
      </c>
      <c r="O242" t="s">
        <v>75</v>
      </c>
      <c r="P242" t="str">
        <f t="shared" si="3"/>
        <v>Null</v>
      </c>
      <c r="U242" t="s">
        <v>616</v>
      </c>
      <c r="V242" t="str">
        <f>TEXT(U242,"000\.000\.000\-00")</f>
        <v>000.000.248-00</v>
      </c>
      <c r="X242" s="15" t="s">
        <v>663</v>
      </c>
      <c r="Y242" t="e" cm="1" vm="1">
        <f t="array" aca="1" ref="Y242" ca="1">_xlfn.TEXTSPLIT(X242," | ")</f>
        <v>#VALUE!</v>
      </c>
      <c r="Z242" s="26">
        <v>29000</v>
      </c>
      <c r="AA242">
        <v>29000</v>
      </c>
      <c r="AB242" t="s">
        <v>82</v>
      </c>
      <c r="AC242" s="25">
        <v>28500</v>
      </c>
      <c r="AD242">
        <v>28500</v>
      </c>
      <c r="AE242">
        <v>28500</v>
      </c>
    </row>
    <row r="243" spans="1:31">
      <c r="A243" s="29" t="s">
        <v>74</v>
      </c>
      <c r="B243" s="17" t="s">
        <v>709</v>
      </c>
      <c r="C243" s="30" t="s">
        <v>710</v>
      </c>
      <c r="D243" s="1">
        <v>48</v>
      </c>
      <c r="E243" s="35">
        <v>28509</v>
      </c>
      <c r="F243" s="30" t="s">
        <v>91</v>
      </c>
      <c r="G243" s="17" t="s">
        <v>91</v>
      </c>
      <c r="H243" s="31">
        <v>17800</v>
      </c>
      <c r="I243" s="31">
        <v>9000</v>
      </c>
      <c r="J243" s="1">
        <v>0</v>
      </c>
      <c r="K243" s="28">
        <v>28</v>
      </c>
      <c r="L243" s="1" t="str" cm="1">
        <f t="array" ref="L243">_xlfn.IFS(Tabela6[[#This Row],[qtde_batalhas]]&lt;=15,"Baixo",Tabela6[[#This Row],[qtde_batalhas]]&gt;=30,"Alto",Tabela6[[#This Row],[qtde_batalhas]]&lt;30,"Médio")</f>
        <v>Médio</v>
      </c>
      <c r="M243" s="31">
        <v>80000</v>
      </c>
      <c r="O243" t="s">
        <v>75</v>
      </c>
      <c r="P243" t="str">
        <f t="shared" si="3"/>
        <v>Null</v>
      </c>
      <c r="U243" t="s">
        <v>426</v>
      </c>
      <c r="V243" t="str">
        <f>TEXT(U243,"000\.000\.000\-00")</f>
        <v>000.000.249-00</v>
      </c>
      <c r="X243" s="15" t="s">
        <v>115</v>
      </c>
      <c r="Z243" s="26" t="s">
        <v>711</v>
      </c>
      <c r="AA243">
        <v>17800</v>
      </c>
      <c r="AC243" s="24">
        <v>9000</v>
      </c>
      <c r="AD243">
        <v>9000</v>
      </c>
      <c r="AE243">
        <v>9000</v>
      </c>
    </row>
    <row r="244" spans="1:31">
      <c r="A244" s="29" t="s">
        <v>74</v>
      </c>
      <c r="B244" s="17" t="s">
        <v>712</v>
      </c>
      <c r="C244" s="30" t="s">
        <v>713</v>
      </c>
      <c r="D244" s="1">
        <v>73</v>
      </c>
      <c r="E244" s="35">
        <v>19363</v>
      </c>
      <c r="F244" s="17" t="s">
        <v>81</v>
      </c>
      <c r="G244" s="17" t="s">
        <v>82</v>
      </c>
      <c r="H244" s="31">
        <v>23000</v>
      </c>
      <c r="I244" s="31">
        <v>19000</v>
      </c>
      <c r="J244" s="1" t="s">
        <v>50</v>
      </c>
      <c r="K244" s="28">
        <v>0</v>
      </c>
      <c r="L244" s="1" t="str" cm="1">
        <f t="array" ref="L244">_xlfn.IFS(Tabela6[[#This Row],[qtde_batalhas]]&lt;=15,"Baixo",Tabela6[[#This Row],[qtde_batalhas]]&gt;=30,"Alto",Tabela6[[#This Row],[qtde_batalhas]]&lt;30,"Médio")</f>
        <v>Baixo</v>
      </c>
      <c r="M244" s="31">
        <v>17000</v>
      </c>
      <c r="O244" t="s">
        <v>82</v>
      </c>
      <c r="P244" t="str">
        <f t="shared" si="3"/>
        <v>Campina</v>
      </c>
      <c r="U244" t="s">
        <v>714</v>
      </c>
      <c r="V244" t="str">
        <f>TEXT(U244,"000\.000\.000\-00")</f>
        <v>000.000.250-00</v>
      </c>
      <c r="X244" s="15" t="s">
        <v>231</v>
      </c>
      <c r="Z244" s="26" t="s">
        <v>715</v>
      </c>
      <c r="AA244">
        <v>23000</v>
      </c>
      <c r="AC244" s="25">
        <v>19000</v>
      </c>
      <c r="AD244">
        <v>19000</v>
      </c>
      <c r="AE244">
        <v>19000</v>
      </c>
    </row>
    <row r="245" spans="1:31">
      <c r="A245" s="29" t="s">
        <v>74</v>
      </c>
      <c r="B245" s="17" t="s">
        <v>716</v>
      </c>
      <c r="C245" s="30" t="s">
        <v>619</v>
      </c>
      <c r="D245" s="1" t="s">
        <v>75</v>
      </c>
      <c r="E245" s="35">
        <v>21378</v>
      </c>
      <c r="F245" s="17" t="s">
        <v>156</v>
      </c>
      <c r="G245" s="17" t="s">
        <v>91</v>
      </c>
      <c r="H245" s="31">
        <v>14300</v>
      </c>
      <c r="I245" s="31">
        <v>32500</v>
      </c>
      <c r="J245" s="1" t="s">
        <v>51</v>
      </c>
      <c r="K245" s="28">
        <v>15</v>
      </c>
      <c r="L245" s="1" t="str" cm="1">
        <f t="array" ref="L245">_xlfn.IFS(Tabela6[[#This Row],[qtde_batalhas]]&lt;=15,"Baixo",Tabela6[[#This Row],[qtde_batalhas]]&gt;=30,"Alto",Tabela6[[#This Row],[qtde_batalhas]]&lt;30,"Médio")</f>
        <v>Baixo</v>
      </c>
      <c r="M245" s="31">
        <v>8000</v>
      </c>
      <c r="O245" t="s">
        <v>75</v>
      </c>
      <c r="P245" t="str">
        <f t="shared" si="3"/>
        <v>Null</v>
      </c>
      <c r="U245" t="s">
        <v>290</v>
      </c>
      <c r="V245" t="str">
        <f>TEXT(U245,"000\.000\.000\-00")</f>
        <v>000.000.251-00</v>
      </c>
      <c r="X245" s="15" t="s">
        <v>246</v>
      </c>
      <c r="Z245" s="26">
        <v>14300</v>
      </c>
      <c r="AA245">
        <v>14300</v>
      </c>
      <c r="AC245" s="24">
        <v>32500</v>
      </c>
      <c r="AD245">
        <v>32500</v>
      </c>
      <c r="AE245">
        <v>32500</v>
      </c>
    </row>
    <row r="246" spans="1:31">
      <c r="A246" s="29" t="s">
        <v>74</v>
      </c>
      <c r="B246" s="17" t="s">
        <v>717</v>
      </c>
      <c r="C246" s="30" t="s">
        <v>370</v>
      </c>
      <c r="D246" s="1">
        <v>25</v>
      </c>
      <c r="E246" s="35">
        <v>36824</v>
      </c>
      <c r="F246" s="30" t="s">
        <v>91</v>
      </c>
      <c r="G246" s="17" t="s">
        <v>91</v>
      </c>
      <c r="H246" s="31">
        <v>18300</v>
      </c>
      <c r="I246" s="31">
        <v>41000</v>
      </c>
      <c r="J246" s="1" t="s">
        <v>50</v>
      </c>
      <c r="K246" s="28">
        <v>9</v>
      </c>
      <c r="L246" s="1" t="str" cm="1">
        <f t="array" ref="L246">_xlfn.IFS(Tabela6[[#This Row],[qtde_batalhas]]&lt;=15,"Baixo",Tabela6[[#This Row],[qtde_batalhas]]&gt;=30,"Alto",Tabela6[[#This Row],[qtde_batalhas]]&lt;30,"Médio")</f>
        <v>Baixo</v>
      </c>
      <c r="M246" s="31">
        <v>32500</v>
      </c>
      <c r="O246" t="s">
        <v>75</v>
      </c>
      <c r="P246" t="str">
        <f t="shared" si="3"/>
        <v>Null</v>
      </c>
      <c r="U246" t="s">
        <v>678</v>
      </c>
      <c r="V246" t="str">
        <f>TEXT(U246,"000\.000\.000\-00")</f>
        <v>000.000.253-00</v>
      </c>
      <c r="X246" s="15" t="s">
        <v>101</v>
      </c>
      <c r="Z246" s="26">
        <v>18300</v>
      </c>
      <c r="AA246">
        <v>18300</v>
      </c>
      <c r="AC246" s="25">
        <v>41000</v>
      </c>
      <c r="AD246">
        <v>41000</v>
      </c>
      <c r="AE246">
        <v>41000</v>
      </c>
    </row>
    <row r="247" spans="1:31">
      <c r="A247" s="29" t="s">
        <v>78</v>
      </c>
      <c r="B247" s="17" t="s">
        <v>718</v>
      </c>
      <c r="C247" s="30" t="s">
        <v>719</v>
      </c>
      <c r="D247" s="1">
        <v>53</v>
      </c>
      <c r="E247" s="35">
        <v>26744</v>
      </c>
      <c r="F247" s="30" t="s">
        <v>91</v>
      </c>
      <c r="G247" s="17" t="s">
        <v>91</v>
      </c>
      <c r="H247" s="31">
        <v>26400</v>
      </c>
      <c r="I247" s="31">
        <v>9500</v>
      </c>
      <c r="J247" s="1" t="s">
        <v>349</v>
      </c>
      <c r="K247" s="28">
        <v>21</v>
      </c>
      <c r="L247" s="1" t="str" cm="1">
        <f t="array" ref="L247">_xlfn.IFS(Tabela6[[#This Row],[qtde_batalhas]]&lt;=15,"Baixo",Tabela6[[#This Row],[qtde_batalhas]]&gt;=30,"Alto",Tabela6[[#This Row],[qtde_batalhas]]&lt;30,"Médio")</f>
        <v>Médio</v>
      </c>
      <c r="M247" s="31">
        <v>16000</v>
      </c>
      <c r="O247" t="s">
        <v>75</v>
      </c>
      <c r="P247" t="str">
        <f t="shared" si="3"/>
        <v>Null</v>
      </c>
      <c r="U247" t="s">
        <v>513</v>
      </c>
      <c r="V247" t="str">
        <f>TEXT(U247,"000\.000\.000\-00")</f>
        <v>000.000.254-00</v>
      </c>
      <c r="X247" s="15" t="s">
        <v>274</v>
      </c>
      <c r="Z247" s="26">
        <v>26400</v>
      </c>
      <c r="AA247">
        <v>26400</v>
      </c>
      <c r="AC247" s="24">
        <v>9500</v>
      </c>
      <c r="AD247">
        <v>9500</v>
      </c>
      <c r="AE247">
        <v>9500</v>
      </c>
    </row>
    <row r="248" spans="1:31">
      <c r="A248" s="29" t="s">
        <v>74</v>
      </c>
      <c r="B248" s="17" t="s">
        <v>720</v>
      </c>
      <c r="C248" s="30" t="s">
        <v>721</v>
      </c>
      <c r="D248" s="1">
        <v>57</v>
      </c>
      <c r="E248" s="35">
        <v>25350</v>
      </c>
      <c r="F248" s="30" t="s">
        <v>91</v>
      </c>
      <c r="G248" s="17" t="s">
        <v>91</v>
      </c>
      <c r="H248" s="31">
        <v>20600</v>
      </c>
      <c r="I248" s="31">
        <v>52500</v>
      </c>
      <c r="K248" s="28">
        <v>16</v>
      </c>
      <c r="L248" s="1" t="str" cm="1">
        <f t="array" ref="L248">_xlfn.IFS(Tabela6[[#This Row],[qtde_batalhas]]&lt;=15,"Baixo",Tabela6[[#This Row],[qtde_batalhas]]&gt;=30,"Alto",Tabela6[[#This Row],[qtde_batalhas]]&lt;30,"Médio")</f>
        <v>Médio</v>
      </c>
      <c r="M248" s="31">
        <v>97000</v>
      </c>
      <c r="O248" t="s">
        <v>75</v>
      </c>
      <c r="P248" t="str">
        <f t="shared" si="3"/>
        <v>Null</v>
      </c>
      <c r="U248" t="s">
        <v>176</v>
      </c>
      <c r="V248" t="str">
        <f>TEXT(U248,"000\.000\.000\-00")</f>
        <v>000.000.256-00</v>
      </c>
      <c r="X248" s="15" t="s">
        <v>321</v>
      </c>
      <c r="Z248" s="26">
        <v>20600</v>
      </c>
      <c r="AA248">
        <v>20600</v>
      </c>
      <c r="AC248" s="25">
        <v>52500</v>
      </c>
      <c r="AD248">
        <v>52500</v>
      </c>
      <c r="AE248">
        <v>52500</v>
      </c>
    </row>
    <row r="249" spans="1:31">
      <c r="A249" s="29" t="s">
        <v>74</v>
      </c>
      <c r="B249" s="17" t="s">
        <v>722</v>
      </c>
      <c r="C249" s="30" t="s">
        <v>304</v>
      </c>
      <c r="D249" s="1">
        <v>27</v>
      </c>
      <c r="E249" s="35">
        <v>36288</v>
      </c>
      <c r="F249" s="30" t="s">
        <v>91</v>
      </c>
      <c r="G249" s="17" t="s">
        <v>91</v>
      </c>
      <c r="H249" s="31">
        <v>29700</v>
      </c>
      <c r="I249" s="31">
        <v>12000</v>
      </c>
      <c r="J249" s="1" t="s">
        <v>50</v>
      </c>
      <c r="K249" s="28">
        <v>37</v>
      </c>
      <c r="L249" s="1" t="str" cm="1">
        <f t="array" ref="L249">_xlfn.IFS(Tabela6[[#This Row],[qtde_batalhas]]&lt;=15,"Baixo",Tabela6[[#This Row],[qtde_batalhas]]&gt;=30,"Alto",Tabela6[[#This Row],[qtde_batalhas]]&lt;30,"Médio")</f>
        <v>Alto</v>
      </c>
      <c r="M249" s="31">
        <v>49000</v>
      </c>
      <c r="O249" t="s">
        <v>75</v>
      </c>
      <c r="P249" t="str">
        <f t="shared" si="3"/>
        <v>Null</v>
      </c>
      <c r="U249" t="s">
        <v>378</v>
      </c>
      <c r="V249" t="str">
        <f>TEXT(U249,"000\.000\.000\-00")</f>
        <v>000.000.258-00</v>
      </c>
      <c r="X249" s="15" t="s">
        <v>243</v>
      </c>
      <c r="Z249" s="26">
        <v>29700</v>
      </c>
      <c r="AA249">
        <v>29700</v>
      </c>
      <c r="AC249" s="24">
        <v>12000</v>
      </c>
      <c r="AD249">
        <v>12000</v>
      </c>
      <c r="AE249">
        <v>12000</v>
      </c>
    </row>
    <row r="250" spans="1:31">
      <c r="A250" s="29" t="s">
        <v>74</v>
      </c>
      <c r="B250" s="17" t="s">
        <v>723</v>
      </c>
      <c r="C250" s="30" t="s">
        <v>493</v>
      </c>
      <c r="D250" s="1">
        <v>25</v>
      </c>
      <c r="E250" s="35">
        <v>37118</v>
      </c>
      <c r="F250" s="30" t="s">
        <v>91</v>
      </c>
      <c r="G250" s="17" t="s">
        <v>91</v>
      </c>
      <c r="H250" s="31">
        <v>27300</v>
      </c>
      <c r="I250" s="31">
        <v>1500</v>
      </c>
      <c r="J250" s="1">
        <v>1</v>
      </c>
      <c r="K250" s="28">
        <v>33</v>
      </c>
      <c r="L250" s="1" t="str" cm="1">
        <f t="array" ref="L250">_xlfn.IFS(Tabela6[[#This Row],[qtde_batalhas]]&lt;=15,"Baixo",Tabela6[[#This Row],[qtde_batalhas]]&gt;=30,"Alto",Tabela6[[#This Row],[qtde_batalhas]]&lt;30,"Médio")</f>
        <v>Alto</v>
      </c>
      <c r="M250" s="31">
        <v>14000</v>
      </c>
      <c r="O250" t="s">
        <v>75</v>
      </c>
      <c r="P250" t="str">
        <f t="shared" si="3"/>
        <v>Null</v>
      </c>
      <c r="U250" t="s">
        <v>713</v>
      </c>
      <c r="V250" t="str">
        <f>TEXT(U250,"000\.000\.000\-00")</f>
        <v>000.000.259-00</v>
      </c>
      <c r="X250" s="15" t="s">
        <v>226</v>
      </c>
      <c r="Z250" s="26" t="s">
        <v>724</v>
      </c>
      <c r="AA250">
        <v>27300</v>
      </c>
      <c r="AC250" s="25">
        <v>1500</v>
      </c>
      <c r="AD250">
        <v>1500</v>
      </c>
      <c r="AE250">
        <v>1500</v>
      </c>
    </row>
    <row r="251" spans="1:31">
      <c r="A251" s="29" t="s">
        <v>74</v>
      </c>
      <c r="B251" s="17" t="s">
        <v>725</v>
      </c>
      <c r="C251" s="30" t="s">
        <v>442</v>
      </c>
      <c r="D251" s="1">
        <v>67</v>
      </c>
      <c r="E251" s="35">
        <v>21624</v>
      </c>
      <c r="F251" s="17" t="s">
        <v>280</v>
      </c>
      <c r="G251" s="17" t="s">
        <v>164</v>
      </c>
      <c r="H251" s="31">
        <v>8500</v>
      </c>
      <c r="I251" s="31">
        <v>39500</v>
      </c>
      <c r="J251" s="1" t="s">
        <v>51</v>
      </c>
      <c r="K251" s="28" t="s">
        <v>75</v>
      </c>
      <c r="L251" s="1" t="str" cm="1">
        <f t="array" ref="L251">_xlfn.IFS(Tabela6[[#This Row],[qtde_batalhas]]&lt;=15,"Baixo",Tabela6[[#This Row],[qtde_batalhas]]&gt;=30,"Alto",Tabela6[[#This Row],[qtde_batalhas]]&lt;30,"Médio")</f>
        <v>Alto</v>
      </c>
      <c r="M251" s="31">
        <v>42000</v>
      </c>
      <c r="O251" t="s">
        <v>220</v>
      </c>
      <c r="P251" t="str">
        <f t="shared" si="3"/>
        <v>Norte</v>
      </c>
      <c r="U251" t="s">
        <v>586</v>
      </c>
      <c r="V251" t="str">
        <f>TEXT(U251,"000\.000\.000\-00")</f>
        <v>000.000.260-00</v>
      </c>
      <c r="X251" s="15" t="s">
        <v>246</v>
      </c>
      <c r="Z251" s="26">
        <v>8500</v>
      </c>
      <c r="AA251">
        <v>8500</v>
      </c>
      <c r="AC251" s="24">
        <v>39500</v>
      </c>
      <c r="AD251">
        <v>39500</v>
      </c>
      <c r="AE251">
        <v>39500</v>
      </c>
    </row>
    <row r="252" spans="1:31">
      <c r="A252" s="29" t="s">
        <v>74</v>
      </c>
      <c r="B252" s="17" t="s">
        <v>726</v>
      </c>
      <c r="C252" s="30" t="s">
        <v>727</v>
      </c>
      <c r="D252" s="1">
        <v>73</v>
      </c>
      <c r="E252" s="35">
        <v>19323</v>
      </c>
      <c r="F252" s="17" t="s">
        <v>206</v>
      </c>
      <c r="G252" s="17" t="s">
        <v>207</v>
      </c>
      <c r="H252" s="31">
        <v>18100</v>
      </c>
      <c r="I252" s="31">
        <v>0</v>
      </c>
      <c r="J252" s="1" t="s">
        <v>50</v>
      </c>
      <c r="K252" s="28">
        <v>36</v>
      </c>
      <c r="L252" s="1" t="str" cm="1">
        <f t="array" ref="L252">_xlfn.IFS(Tabela6[[#This Row],[qtde_batalhas]]&lt;=15,"Baixo",Tabela6[[#This Row],[qtde_batalhas]]&gt;=30,"Alto",Tabela6[[#This Row],[qtde_batalhas]]&lt;30,"Médio")</f>
        <v>Alto</v>
      </c>
      <c r="M252" s="31">
        <v>89000</v>
      </c>
      <c r="O252" t="s">
        <v>207</v>
      </c>
      <c r="P252" t="str">
        <f t="shared" si="3"/>
        <v>Gargalo</v>
      </c>
      <c r="U252" t="s">
        <v>389</v>
      </c>
      <c r="V252" t="str">
        <f>TEXT(U252,"000\.000\.000\-00")</f>
        <v>000.000.261-00</v>
      </c>
      <c r="X252" s="15" t="s">
        <v>150</v>
      </c>
      <c r="Z252" s="26">
        <v>18100</v>
      </c>
      <c r="AA252">
        <v>18100</v>
      </c>
      <c r="AC252" s="25">
        <v>0</v>
      </c>
      <c r="AD252">
        <v>0</v>
      </c>
      <c r="AE252">
        <v>0</v>
      </c>
    </row>
    <row r="253" spans="1:31">
      <c r="A253" s="29" t="s">
        <v>74</v>
      </c>
      <c r="B253" s="17" t="s">
        <v>728</v>
      </c>
      <c r="C253" s="30" t="s">
        <v>729</v>
      </c>
      <c r="D253" s="1">
        <v>43</v>
      </c>
      <c r="E253" s="35">
        <v>30355</v>
      </c>
      <c r="F253" s="30" t="s">
        <v>91</v>
      </c>
      <c r="G253" s="17" t="s">
        <v>91</v>
      </c>
      <c r="H253" s="31">
        <v>21700</v>
      </c>
      <c r="I253" s="31">
        <v>31000</v>
      </c>
      <c r="J253" s="1" t="s">
        <v>50</v>
      </c>
      <c r="K253" s="28">
        <v>27</v>
      </c>
      <c r="L253" s="1" t="str" cm="1">
        <f t="array" ref="L253">_xlfn.IFS(Tabela6[[#This Row],[qtde_batalhas]]&lt;=15,"Baixo",Tabela6[[#This Row],[qtde_batalhas]]&gt;=30,"Alto",Tabela6[[#This Row],[qtde_batalhas]]&lt;30,"Médio")</f>
        <v>Médio</v>
      </c>
      <c r="M253" s="31">
        <v>45500</v>
      </c>
      <c r="O253" t="s">
        <v>75</v>
      </c>
      <c r="P253" t="str">
        <f t="shared" si="3"/>
        <v>Null</v>
      </c>
      <c r="U253" t="s">
        <v>411</v>
      </c>
      <c r="V253" t="str">
        <f>TEXT(U253,"000\.000\.000\-00")</f>
        <v>000.000.263-00</v>
      </c>
      <c r="X253" s="15" t="s">
        <v>239</v>
      </c>
      <c r="Z253" s="26">
        <v>21700</v>
      </c>
      <c r="AA253">
        <v>21700</v>
      </c>
      <c r="AC253" s="24">
        <v>31000</v>
      </c>
      <c r="AD253">
        <v>31000</v>
      </c>
      <c r="AE253">
        <v>31000</v>
      </c>
    </row>
    <row r="254" spans="1:31">
      <c r="A254" s="29" t="s">
        <v>78</v>
      </c>
      <c r="B254" s="17" t="s">
        <v>730</v>
      </c>
      <c r="C254" s="30" t="s">
        <v>731</v>
      </c>
      <c r="D254" s="1" t="s">
        <v>732</v>
      </c>
      <c r="E254" s="35">
        <v>34387</v>
      </c>
      <c r="F254" s="17" t="s">
        <v>219</v>
      </c>
      <c r="G254" s="17" t="s">
        <v>164</v>
      </c>
      <c r="H254" s="31">
        <v>20500</v>
      </c>
      <c r="I254" s="31">
        <v>0</v>
      </c>
      <c r="J254" s="1" t="s">
        <v>50</v>
      </c>
      <c r="K254" s="28">
        <v>41</v>
      </c>
      <c r="L254" s="1" t="str" cm="1">
        <f t="array" ref="L254">_xlfn.IFS(Tabela6[[#This Row],[qtde_batalhas]]&lt;=15,"Baixo",Tabela6[[#This Row],[qtde_batalhas]]&gt;=30,"Alto",Tabela6[[#This Row],[qtde_batalhas]]&lt;30,"Médio")</f>
        <v>Alto</v>
      </c>
      <c r="M254" s="31">
        <v>54500</v>
      </c>
      <c r="O254" t="s">
        <v>164</v>
      </c>
      <c r="P254" t="str">
        <f t="shared" si="3"/>
        <v>Norte</v>
      </c>
      <c r="U254" t="s">
        <v>262</v>
      </c>
      <c r="V254" t="str">
        <f>TEXT(U254,"000\.000\.000\-00")</f>
        <v>000.000.265-00</v>
      </c>
      <c r="X254" s="15" t="s">
        <v>239</v>
      </c>
      <c r="Z254" s="26">
        <v>20500</v>
      </c>
      <c r="AA254">
        <v>20500</v>
      </c>
      <c r="AC254" s="25">
        <v>0</v>
      </c>
      <c r="AD254">
        <v>0</v>
      </c>
      <c r="AE254">
        <v>0</v>
      </c>
    </row>
    <row r="255" spans="1:31">
      <c r="A255" s="29" t="s">
        <v>74</v>
      </c>
      <c r="B255" s="17" t="s">
        <v>733</v>
      </c>
      <c r="C255" s="30" t="s">
        <v>539</v>
      </c>
      <c r="D255" s="1">
        <v>53</v>
      </c>
      <c r="E255" s="35">
        <v>26620</v>
      </c>
      <c r="F255" s="30" t="s">
        <v>91</v>
      </c>
      <c r="G255" s="17" t="s">
        <v>91</v>
      </c>
      <c r="H255" s="31">
        <v>21300</v>
      </c>
      <c r="I255" s="31">
        <v>79500</v>
      </c>
      <c r="J255" s="1" t="s">
        <v>50</v>
      </c>
      <c r="K255" s="28">
        <v>18</v>
      </c>
      <c r="L255" s="1" t="str" cm="1">
        <f t="array" ref="L255">_xlfn.IFS(Tabela6[[#This Row],[qtde_batalhas]]&lt;=15,"Baixo",Tabela6[[#This Row],[qtde_batalhas]]&gt;=30,"Alto",Tabela6[[#This Row],[qtde_batalhas]]&lt;30,"Médio")</f>
        <v>Médio</v>
      </c>
      <c r="M255" s="31">
        <v>19000</v>
      </c>
      <c r="O255" t="s">
        <v>75</v>
      </c>
      <c r="P255" t="str">
        <f t="shared" si="3"/>
        <v>Null</v>
      </c>
      <c r="U255" t="s">
        <v>734</v>
      </c>
      <c r="V255" t="str">
        <f>TEXT(U255,"000\.000\.000\-00")</f>
        <v>000.000.266-00</v>
      </c>
      <c r="X255" s="15" t="s">
        <v>150</v>
      </c>
      <c r="Z255" s="26">
        <v>21300</v>
      </c>
      <c r="AA255">
        <v>21300</v>
      </c>
      <c r="AC255" s="24">
        <v>79500</v>
      </c>
      <c r="AD255">
        <v>79500</v>
      </c>
      <c r="AE255">
        <v>79500</v>
      </c>
    </row>
    <row r="256" spans="1:31">
      <c r="A256" s="29" t="s">
        <v>74</v>
      </c>
      <c r="B256" s="17" t="s">
        <v>735</v>
      </c>
      <c r="C256" s="30" t="s">
        <v>736</v>
      </c>
      <c r="D256" s="1">
        <v>42</v>
      </c>
      <c r="E256" s="35">
        <v>30642</v>
      </c>
      <c r="F256" s="30" t="s">
        <v>91</v>
      </c>
      <c r="G256" s="17" t="s">
        <v>91</v>
      </c>
      <c r="H256" s="31">
        <v>0</v>
      </c>
      <c r="I256" s="31">
        <v>19500</v>
      </c>
      <c r="J256" s="1" t="s">
        <v>50</v>
      </c>
      <c r="K256" s="28">
        <v>42</v>
      </c>
      <c r="L256" s="1" t="str" cm="1">
        <f t="array" ref="L256">_xlfn.IFS(Tabela6[[#This Row],[qtde_batalhas]]&lt;=15,"Baixo",Tabela6[[#This Row],[qtde_batalhas]]&gt;=30,"Alto",Tabela6[[#This Row],[qtde_batalhas]]&lt;30,"Médio")</f>
        <v>Alto</v>
      </c>
      <c r="M256" s="31">
        <v>89500</v>
      </c>
      <c r="O256" t="s">
        <v>75</v>
      </c>
      <c r="P256" t="str">
        <f t="shared" si="3"/>
        <v>Null</v>
      </c>
      <c r="U256" t="s">
        <v>168</v>
      </c>
      <c r="V256" t="str">
        <f>TEXT(U256,"000\.000\.000\-00")</f>
        <v>000.000.269-00</v>
      </c>
      <c r="X256" s="15" t="s">
        <v>115</v>
      </c>
      <c r="Z256" s="26" t="s">
        <v>160</v>
      </c>
      <c r="AA256">
        <v>0</v>
      </c>
      <c r="AC256" s="25">
        <v>19500</v>
      </c>
      <c r="AD256">
        <v>19500</v>
      </c>
      <c r="AE256">
        <v>19500</v>
      </c>
    </row>
    <row r="257" spans="1:31">
      <c r="A257" s="29" t="s">
        <v>78</v>
      </c>
      <c r="B257" s="17" t="s">
        <v>737</v>
      </c>
      <c r="C257" s="30" t="s">
        <v>738</v>
      </c>
      <c r="D257" s="1">
        <v>73</v>
      </c>
      <c r="E257" s="35">
        <v>19299</v>
      </c>
      <c r="F257" s="17" t="s">
        <v>231</v>
      </c>
      <c r="G257" s="17" t="s">
        <v>180</v>
      </c>
      <c r="H257" s="31">
        <v>7100</v>
      </c>
      <c r="I257" s="31">
        <v>58000</v>
      </c>
      <c r="J257" s="1" t="s">
        <v>51</v>
      </c>
      <c r="K257" s="28">
        <v>22</v>
      </c>
      <c r="L257" s="1" t="str" cm="1">
        <f t="array" ref="L257">_xlfn.IFS(Tabela6[[#This Row],[qtde_batalhas]]&lt;=15,"Baixo",Tabela6[[#This Row],[qtde_batalhas]]&gt;=30,"Alto",Tabela6[[#This Row],[qtde_batalhas]]&lt;30,"Médio")</f>
        <v>Médio</v>
      </c>
      <c r="M257" s="31">
        <v>46500</v>
      </c>
      <c r="O257" t="s">
        <v>629</v>
      </c>
      <c r="P257" t="str">
        <f t="shared" si="3"/>
        <v>Terras Da Tempestade</v>
      </c>
      <c r="U257" t="s">
        <v>282</v>
      </c>
      <c r="V257" t="str">
        <f>TEXT(U257,"000\.000\.000\-00")</f>
        <v>000.000.270-00</v>
      </c>
      <c r="X257" s="15" t="s">
        <v>280</v>
      </c>
      <c r="Z257" s="26">
        <v>7100</v>
      </c>
      <c r="AA257">
        <v>7100</v>
      </c>
      <c r="AC257" s="24">
        <v>58000</v>
      </c>
      <c r="AD257">
        <v>58000</v>
      </c>
      <c r="AE257">
        <v>58000</v>
      </c>
    </row>
    <row r="258" spans="1:31">
      <c r="A258" s="29" t="s">
        <v>74</v>
      </c>
      <c r="B258" s="17" t="s">
        <v>739</v>
      </c>
      <c r="C258" s="30" t="s">
        <v>535</v>
      </c>
      <c r="D258" s="1">
        <v>29</v>
      </c>
      <c r="E258" s="35">
        <v>35323</v>
      </c>
      <c r="F258" s="30" t="s">
        <v>91</v>
      </c>
      <c r="G258" s="17" t="s">
        <v>91</v>
      </c>
      <c r="H258" s="31">
        <v>21200</v>
      </c>
      <c r="I258" s="31">
        <v>75000</v>
      </c>
      <c r="J258" s="1" t="s">
        <v>50</v>
      </c>
      <c r="K258" s="28">
        <v>6</v>
      </c>
      <c r="L258" s="1" t="str" cm="1">
        <f t="array" ref="L258">_xlfn.IFS(Tabela6[[#This Row],[qtde_batalhas]]&lt;=15,"Baixo",Tabela6[[#This Row],[qtde_batalhas]]&gt;=30,"Alto",Tabela6[[#This Row],[qtde_batalhas]]&lt;30,"Médio")</f>
        <v>Baixo</v>
      </c>
      <c r="M258" s="31">
        <v>63500</v>
      </c>
      <c r="O258" t="s">
        <v>75</v>
      </c>
      <c r="P258" t="str">
        <f t="shared" si="3"/>
        <v>Null</v>
      </c>
      <c r="U258" t="s">
        <v>566</v>
      </c>
      <c r="V258" t="str">
        <f>TEXT(U258,"000\.000\.000\-00")</f>
        <v>000.000.274-00</v>
      </c>
      <c r="X258" s="15" t="s">
        <v>243</v>
      </c>
      <c r="Z258" s="26">
        <v>21200</v>
      </c>
      <c r="AA258">
        <v>21200</v>
      </c>
      <c r="AC258" s="25">
        <v>75000</v>
      </c>
      <c r="AD258">
        <v>75000</v>
      </c>
      <c r="AE258">
        <v>75000</v>
      </c>
    </row>
    <row r="259" spans="1:31">
      <c r="A259" s="29" t="s">
        <v>74</v>
      </c>
      <c r="B259" s="17" t="s">
        <v>740</v>
      </c>
      <c r="C259" s="30" t="s">
        <v>594</v>
      </c>
      <c r="D259" s="1">
        <v>62</v>
      </c>
      <c r="E259" s="35">
        <v>23317</v>
      </c>
      <c r="F259" s="30" t="s">
        <v>91</v>
      </c>
      <c r="G259" s="17" t="s">
        <v>91</v>
      </c>
      <c r="H259" s="31">
        <v>10500</v>
      </c>
      <c r="I259" s="31">
        <v>0</v>
      </c>
      <c r="J259" s="1" t="s">
        <v>51</v>
      </c>
      <c r="K259" s="28">
        <v>4</v>
      </c>
      <c r="L259" s="1" t="str" cm="1">
        <f t="array" ref="L259">_xlfn.IFS(Tabela6[[#This Row],[qtde_batalhas]]&lt;=15,"Baixo",Tabela6[[#This Row],[qtde_batalhas]]&gt;=30,"Alto",Tabela6[[#This Row],[qtde_batalhas]]&lt;30,"Médio")</f>
        <v>Baixo</v>
      </c>
      <c r="M259" s="31">
        <v>54500</v>
      </c>
      <c r="O259" t="s">
        <v>75</v>
      </c>
      <c r="P259" t="str">
        <f t="shared" si="3"/>
        <v>Null</v>
      </c>
      <c r="U259" t="s">
        <v>631</v>
      </c>
      <c r="V259" t="str">
        <f>TEXT(U259,"000\.000\.000\-00")</f>
        <v>000.000.275-00</v>
      </c>
      <c r="X259" s="15" t="s">
        <v>280</v>
      </c>
      <c r="Z259" s="26">
        <v>10500</v>
      </c>
      <c r="AA259">
        <v>10500</v>
      </c>
      <c r="AC259" s="24">
        <v>0</v>
      </c>
      <c r="AD259">
        <v>0</v>
      </c>
      <c r="AE259">
        <v>0</v>
      </c>
    </row>
    <row r="260" spans="1:31">
      <c r="A260" s="29" t="s">
        <v>74</v>
      </c>
      <c r="B260" s="17" t="s">
        <v>741</v>
      </c>
      <c r="C260" s="30" t="s">
        <v>742</v>
      </c>
      <c r="D260" s="1">
        <v>20</v>
      </c>
      <c r="E260" s="35">
        <v>38894</v>
      </c>
      <c r="F260" s="17" t="s">
        <v>163</v>
      </c>
      <c r="G260" s="17" t="s">
        <v>164</v>
      </c>
      <c r="H260" s="31">
        <v>24900</v>
      </c>
      <c r="I260" s="31">
        <v>0</v>
      </c>
      <c r="J260" s="1" t="s">
        <v>51</v>
      </c>
      <c r="K260" s="28">
        <v>14</v>
      </c>
      <c r="L260" s="1" t="str" cm="1">
        <f t="array" ref="L260">_xlfn.IFS(Tabela6[[#This Row],[qtde_batalhas]]&lt;=15,"Baixo",Tabela6[[#This Row],[qtde_batalhas]]&gt;=30,"Alto",Tabela6[[#This Row],[qtde_batalhas]]&lt;30,"Médio")</f>
        <v>Baixo</v>
      </c>
      <c r="M260" s="31">
        <v>49500</v>
      </c>
      <c r="O260" t="s">
        <v>743</v>
      </c>
      <c r="P260" t="str">
        <f t="shared" ref="P260:P323" si="4">PROPER(O260)</f>
        <v>Norte</v>
      </c>
      <c r="U260" t="s">
        <v>557</v>
      </c>
      <c r="V260" t="str">
        <f>TEXT(U260,"000\.000\.000\-00")</f>
        <v>000.000.276-00</v>
      </c>
      <c r="X260" s="15" t="s">
        <v>223</v>
      </c>
      <c r="Z260" s="26">
        <v>24900</v>
      </c>
      <c r="AA260">
        <v>24900</v>
      </c>
      <c r="AC260" s="25">
        <v>0</v>
      </c>
      <c r="AD260">
        <v>0</v>
      </c>
      <c r="AE260">
        <v>0</v>
      </c>
    </row>
    <row r="261" spans="1:31">
      <c r="A261" s="29" t="s">
        <v>74</v>
      </c>
      <c r="B261" s="17" t="s">
        <v>744</v>
      </c>
      <c r="C261" s="30" t="s">
        <v>745</v>
      </c>
      <c r="D261" s="1">
        <v>44</v>
      </c>
      <c r="E261" s="35">
        <v>30167</v>
      </c>
      <c r="F261" s="30" t="s">
        <v>91</v>
      </c>
      <c r="G261" s="17" t="s">
        <v>91</v>
      </c>
      <c r="H261" s="31">
        <v>5500</v>
      </c>
      <c r="I261" s="31">
        <v>26000</v>
      </c>
      <c r="J261" s="1" t="s">
        <v>50</v>
      </c>
      <c r="K261" s="28">
        <v>30</v>
      </c>
      <c r="L261" s="1" t="str" cm="1">
        <f t="array" ref="L261">_xlfn.IFS(Tabela6[[#This Row],[qtde_batalhas]]&lt;=15,"Baixo",Tabela6[[#This Row],[qtde_batalhas]]&gt;=30,"Alto",Tabela6[[#This Row],[qtde_batalhas]]&lt;30,"Médio")</f>
        <v>Alto</v>
      </c>
      <c r="M261" s="31">
        <v>64000</v>
      </c>
      <c r="O261" t="s">
        <v>75</v>
      </c>
      <c r="P261" t="str">
        <f t="shared" si="4"/>
        <v>Null</v>
      </c>
      <c r="U261" t="s">
        <v>746</v>
      </c>
      <c r="V261" t="str">
        <f>TEXT(U261,"000\.000\.000\-00")</f>
        <v>000.000.281-00</v>
      </c>
      <c r="X261" s="15" t="s">
        <v>231</v>
      </c>
      <c r="Z261" s="26">
        <v>5500</v>
      </c>
      <c r="AA261">
        <v>5500</v>
      </c>
      <c r="AC261" s="24">
        <v>26000</v>
      </c>
      <c r="AD261">
        <v>26000</v>
      </c>
      <c r="AE261">
        <v>26000</v>
      </c>
    </row>
    <row r="262" spans="1:31">
      <c r="A262" s="29" t="s">
        <v>74</v>
      </c>
      <c r="B262" s="17" t="s">
        <v>747</v>
      </c>
      <c r="C262" s="30" t="s">
        <v>489</v>
      </c>
      <c r="D262" s="1">
        <v>22</v>
      </c>
      <c r="E262" s="35">
        <v>37936</v>
      </c>
      <c r="F262" s="17" t="s">
        <v>362</v>
      </c>
      <c r="G262" s="17" t="s">
        <v>363</v>
      </c>
      <c r="H262" s="31">
        <v>4100</v>
      </c>
      <c r="I262" s="31">
        <v>2000</v>
      </c>
      <c r="J262" s="1" t="s">
        <v>50</v>
      </c>
      <c r="K262" s="28">
        <v>8</v>
      </c>
      <c r="L262" s="1" t="str" cm="1">
        <f t="array" ref="L262">_xlfn.IFS(Tabela6[[#This Row],[qtde_batalhas]]&lt;=15,"Baixo",Tabela6[[#This Row],[qtde_batalhas]]&gt;=30,"Alto",Tabela6[[#This Row],[qtde_batalhas]]&lt;30,"Médio")</f>
        <v>Baixo</v>
      </c>
      <c r="M262" s="31">
        <v>4000</v>
      </c>
      <c r="O262" t="s">
        <v>748</v>
      </c>
      <c r="P262" t="str">
        <f t="shared" si="4"/>
        <v>Vale</v>
      </c>
      <c r="U262" t="s">
        <v>596</v>
      </c>
      <c r="V262" t="str">
        <f>TEXT(U262,"000\.000\.000\-00")</f>
        <v>000.000.282-00</v>
      </c>
      <c r="X262" s="15" t="s">
        <v>86</v>
      </c>
      <c r="Z262" s="26">
        <v>4100</v>
      </c>
      <c r="AA262">
        <v>4100</v>
      </c>
      <c r="AC262" s="25">
        <v>2000</v>
      </c>
      <c r="AD262">
        <v>2000</v>
      </c>
      <c r="AE262">
        <v>2000</v>
      </c>
    </row>
    <row r="263" spans="1:31">
      <c r="A263" s="29" t="s">
        <v>74</v>
      </c>
      <c r="B263" s="17" t="s">
        <v>749</v>
      </c>
      <c r="C263" s="30" t="s">
        <v>750</v>
      </c>
      <c r="D263" s="1">
        <v>25</v>
      </c>
      <c r="E263" s="35">
        <v>36792</v>
      </c>
      <c r="F263" s="30" t="s">
        <v>91</v>
      </c>
      <c r="G263" s="17" t="s">
        <v>91</v>
      </c>
      <c r="H263" s="31">
        <v>22100</v>
      </c>
      <c r="I263" s="31">
        <v>30500</v>
      </c>
      <c r="J263" s="1" t="s">
        <v>50</v>
      </c>
      <c r="K263" s="28">
        <v>28</v>
      </c>
      <c r="L263" s="1" t="str" cm="1">
        <f t="array" ref="L263">_xlfn.IFS(Tabela6[[#This Row],[qtde_batalhas]]&lt;=15,"Baixo",Tabela6[[#This Row],[qtde_batalhas]]&gt;=30,"Alto",Tabela6[[#This Row],[qtde_batalhas]]&lt;30,"Médio")</f>
        <v>Médio</v>
      </c>
      <c r="M263" s="31">
        <v>48000</v>
      </c>
      <c r="O263" t="s">
        <v>75</v>
      </c>
      <c r="P263" t="str">
        <f t="shared" si="4"/>
        <v>Null</v>
      </c>
      <c r="U263" t="s">
        <v>534</v>
      </c>
      <c r="V263" t="str">
        <f>TEXT(U263,"000\.000\.000\-00")</f>
        <v>000.000.283-00</v>
      </c>
      <c r="X263" s="15" t="s">
        <v>246</v>
      </c>
      <c r="Z263" s="26">
        <v>22100</v>
      </c>
      <c r="AA263">
        <v>22100</v>
      </c>
      <c r="AC263" s="24">
        <v>30500</v>
      </c>
      <c r="AD263">
        <v>30500</v>
      </c>
      <c r="AE263">
        <v>30500</v>
      </c>
    </row>
    <row r="264" spans="1:31">
      <c r="A264" s="29" t="s">
        <v>74</v>
      </c>
      <c r="B264" s="17" t="s">
        <v>751</v>
      </c>
      <c r="C264" s="30" t="s">
        <v>650</v>
      </c>
      <c r="D264" s="1">
        <v>40</v>
      </c>
      <c r="E264" s="35">
        <v>31539</v>
      </c>
      <c r="F264" s="30" t="s">
        <v>91</v>
      </c>
      <c r="G264" s="17" t="s">
        <v>91</v>
      </c>
      <c r="H264" s="31">
        <v>9900</v>
      </c>
      <c r="I264" s="31">
        <v>3500</v>
      </c>
      <c r="J264" s="1" t="s">
        <v>50</v>
      </c>
      <c r="K264" s="28">
        <v>1</v>
      </c>
      <c r="L264" s="1" t="str" cm="1">
        <f t="array" ref="L264">_xlfn.IFS(Tabela6[[#This Row],[qtde_batalhas]]&lt;=15,"Baixo",Tabela6[[#This Row],[qtde_batalhas]]&gt;=30,"Alto",Tabela6[[#This Row],[qtde_batalhas]]&lt;30,"Médio")</f>
        <v>Baixo</v>
      </c>
      <c r="M264" s="31">
        <v>23500</v>
      </c>
      <c r="O264" t="s">
        <v>75</v>
      </c>
      <c r="P264" t="str">
        <f t="shared" si="4"/>
        <v>Null</v>
      </c>
      <c r="U264" t="s">
        <v>752</v>
      </c>
      <c r="V264" t="str">
        <f>TEXT(U264,"000\.000\.000\-00")</f>
        <v>000.000.284-00</v>
      </c>
      <c r="X264" s="15" t="s">
        <v>86</v>
      </c>
      <c r="Z264" s="26">
        <v>9900</v>
      </c>
      <c r="AA264">
        <v>9900</v>
      </c>
      <c r="AC264" s="25">
        <v>3500</v>
      </c>
      <c r="AD264">
        <v>3500</v>
      </c>
      <c r="AE264">
        <v>3500</v>
      </c>
    </row>
    <row r="265" spans="1:31">
      <c r="A265" s="29" t="s">
        <v>74</v>
      </c>
      <c r="B265" s="17" t="s">
        <v>753</v>
      </c>
      <c r="C265" s="30" t="s">
        <v>754</v>
      </c>
      <c r="D265" s="1">
        <v>26</v>
      </c>
      <c r="E265" s="35">
        <v>36518</v>
      </c>
      <c r="F265" s="30" t="s">
        <v>91</v>
      </c>
      <c r="G265" s="17" t="s">
        <v>91</v>
      </c>
      <c r="H265" s="31">
        <v>5000</v>
      </c>
      <c r="I265" s="31" t="s">
        <v>75</v>
      </c>
      <c r="J265" s="1" t="s">
        <v>50</v>
      </c>
      <c r="K265" s="28">
        <v>35</v>
      </c>
      <c r="L265" s="1" t="str" cm="1">
        <f t="array" ref="L265">_xlfn.IFS(Tabela6[[#This Row],[qtde_batalhas]]&lt;=15,"Baixo",Tabela6[[#This Row],[qtde_batalhas]]&gt;=30,"Alto",Tabela6[[#This Row],[qtde_batalhas]]&lt;30,"Médio")</f>
        <v>Alto</v>
      </c>
      <c r="M265" s="31">
        <v>18500</v>
      </c>
      <c r="O265" t="s">
        <v>75</v>
      </c>
      <c r="P265" t="str">
        <f t="shared" si="4"/>
        <v>Null</v>
      </c>
      <c r="U265" t="s">
        <v>507</v>
      </c>
      <c r="V265" t="str">
        <f>TEXT(U265,"000\.000\.000\-00")</f>
        <v>000.000.286-00</v>
      </c>
      <c r="X265" s="15" t="s">
        <v>246</v>
      </c>
      <c r="Z265" s="26">
        <v>5000</v>
      </c>
      <c r="AA265">
        <v>5000</v>
      </c>
      <c r="AC265" s="24" t="s">
        <v>755</v>
      </c>
      <c r="AD265" t="s">
        <v>75</v>
      </c>
      <c r="AE265" t="s">
        <v>75</v>
      </c>
    </row>
    <row r="266" spans="1:31">
      <c r="A266" s="29" t="s">
        <v>74</v>
      </c>
      <c r="B266" s="17" t="s">
        <v>756</v>
      </c>
      <c r="C266" s="30" t="s">
        <v>518</v>
      </c>
      <c r="D266" s="1">
        <v>72</v>
      </c>
      <c r="E266" s="35">
        <v>19623</v>
      </c>
      <c r="F266" s="17" t="s">
        <v>239</v>
      </c>
      <c r="G266" s="17" t="s">
        <v>303</v>
      </c>
      <c r="H266" s="31">
        <v>12600</v>
      </c>
      <c r="I266" s="31">
        <v>5500</v>
      </c>
      <c r="J266" s="1" t="s">
        <v>50</v>
      </c>
      <c r="K266" s="28">
        <v>35</v>
      </c>
      <c r="L266" s="1" t="str" cm="1">
        <f t="array" ref="L266">_xlfn.IFS(Tabela6[[#This Row],[qtde_batalhas]]&lt;=15,"Baixo",Tabela6[[#This Row],[qtde_batalhas]]&gt;=30,"Alto",Tabela6[[#This Row],[qtde_batalhas]]&lt;30,"Médio")</f>
        <v>Alto</v>
      </c>
      <c r="M266" s="31">
        <v>21000</v>
      </c>
      <c r="O266" t="s">
        <v>303</v>
      </c>
      <c r="P266" t="str">
        <f t="shared" si="4"/>
        <v>Oeste</v>
      </c>
      <c r="U266" t="s">
        <v>517</v>
      </c>
      <c r="V266" t="str">
        <f>TEXT(U266,"000\.000\.000\-00")</f>
        <v>000.000.287-00</v>
      </c>
      <c r="X266" s="15" t="s">
        <v>252</v>
      </c>
      <c r="Z266" s="26">
        <v>12600</v>
      </c>
      <c r="AA266">
        <v>12600</v>
      </c>
      <c r="AC266" s="25">
        <v>5500</v>
      </c>
      <c r="AD266">
        <v>5500</v>
      </c>
      <c r="AE266">
        <v>5500</v>
      </c>
    </row>
    <row r="267" spans="1:31">
      <c r="A267" s="29" t="s">
        <v>74</v>
      </c>
      <c r="B267" s="17" t="s">
        <v>757</v>
      </c>
      <c r="C267" s="30" t="s">
        <v>359</v>
      </c>
      <c r="D267" s="1">
        <v>33</v>
      </c>
      <c r="E267" s="35">
        <v>34027</v>
      </c>
      <c r="F267" s="30" t="s">
        <v>91</v>
      </c>
      <c r="G267" s="17" t="s">
        <v>91</v>
      </c>
      <c r="H267" s="31">
        <v>3400</v>
      </c>
      <c r="I267" s="31">
        <v>0</v>
      </c>
      <c r="J267" s="1" t="s">
        <v>50</v>
      </c>
      <c r="K267" s="28">
        <v>13</v>
      </c>
      <c r="L267" s="1" t="str" cm="1">
        <f t="array" ref="L267">_xlfn.IFS(Tabela6[[#This Row],[qtde_batalhas]]&lt;=15,"Baixo",Tabela6[[#This Row],[qtde_batalhas]]&gt;=30,"Alto",Tabela6[[#This Row],[qtde_batalhas]]&lt;30,"Médio")</f>
        <v>Baixo</v>
      </c>
      <c r="M267" s="31">
        <v>70000</v>
      </c>
      <c r="O267" t="s">
        <v>75</v>
      </c>
      <c r="P267" t="str">
        <f t="shared" si="4"/>
        <v>Null</v>
      </c>
      <c r="U267" t="s">
        <v>152</v>
      </c>
      <c r="V267" t="str">
        <f>TEXT(U267,"000\.000\.000\-00")</f>
        <v>000.000.288-00</v>
      </c>
      <c r="X267" s="14" t="s">
        <v>367</v>
      </c>
      <c r="Y267" t="e" cm="1" vm="1">
        <f t="array" aca="1" ref="Y267" ca="1">_xlfn.TEXTSPLIT(X267," | ")</f>
        <v>#VALUE!</v>
      </c>
      <c r="Z267" s="26">
        <v>3400</v>
      </c>
      <c r="AA267">
        <v>3400</v>
      </c>
      <c r="AB267" t="s">
        <v>87</v>
      </c>
      <c r="AC267" s="24">
        <v>0</v>
      </c>
      <c r="AD267">
        <v>0</v>
      </c>
      <c r="AE267">
        <v>0</v>
      </c>
    </row>
    <row r="268" spans="1:31">
      <c r="A268" s="29" t="s">
        <v>78</v>
      </c>
      <c r="B268" s="17" t="s">
        <v>758</v>
      </c>
      <c r="C268" s="30" t="s">
        <v>691</v>
      </c>
      <c r="D268" s="1">
        <v>33</v>
      </c>
      <c r="E268" s="35">
        <v>33902</v>
      </c>
      <c r="F268" s="30" t="s">
        <v>91</v>
      </c>
      <c r="G268" s="17" t="s">
        <v>91</v>
      </c>
      <c r="H268" s="31">
        <v>12500</v>
      </c>
      <c r="I268" s="31">
        <v>51500</v>
      </c>
      <c r="J268" s="1" t="s">
        <v>51</v>
      </c>
      <c r="K268" s="28">
        <v>44</v>
      </c>
      <c r="L268" s="1" t="str" cm="1">
        <f t="array" ref="L268">_xlfn.IFS(Tabela6[[#This Row],[qtde_batalhas]]&lt;=15,"Baixo",Tabela6[[#This Row],[qtde_batalhas]]&gt;=30,"Alto",Tabela6[[#This Row],[qtde_batalhas]]&lt;30,"Médio")</f>
        <v>Alto</v>
      </c>
      <c r="M268" s="31">
        <v>24000</v>
      </c>
      <c r="O268" t="s">
        <v>75</v>
      </c>
      <c r="P268" t="str">
        <f t="shared" si="4"/>
        <v>Null</v>
      </c>
      <c r="U268" t="s">
        <v>759</v>
      </c>
      <c r="V268" t="str">
        <f>TEXT(U268,"000\.000\.000\-00")</f>
        <v>000.000.289-00</v>
      </c>
      <c r="X268" s="15" t="s">
        <v>288</v>
      </c>
      <c r="Z268" s="26">
        <v>12500</v>
      </c>
      <c r="AA268">
        <v>12500</v>
      </c>
      <c r="AC268" s="25">
        <v>51500</v>
      </c>
      <c r="AD268">
        <v>51500</v>
      </c>
      <c r="AE268">
        <v>51500</v>
      </c>
    </row>
    <row r="269" spans="1:31">
      <c r="A269" s="29" t="s">
        <v>78</v>
      </c>
      <c r="B269" s="17" t="s">
        <v>760</v>
      </c>
      <c r="C269" s="30" t="s">
        <v>761</v>
      </c>
      <c r="D269" s="1">
        <v>35</v>
      </c>
      <c r="E269" s="35">
        <v>33204</v>
      </c>
      <c r="F269" s="30" t="s">
        <v>91</v>
      </c>
      <c r="G269" s="17" t="s">
        <v>91</v>
      </c>
      <c r="H269" s="31">
        <v>17600</v>
      </c>
      <c r="I269" s="31">
        <v>44000</v>
      </c>
      <c r="J269" s="1" t="s">
        <v>396</v>
      </c>
      <c r="K269" s="28">
        <v>22</v>
      </c>
      <c r="L269" s="1" t="str" cm="1">
        <f t="array" ref="L269">_xlfn.IFS(Tabela6[[#This Row],[qtde_batalhas]]&lt;=15,"Baixo",Tabela6[[#This Row],[qtde_batalhas]]&gt;=30,"Alto",Tabela6[[#This Row],[qtde_batalhas]]&lt;30,"Médio")</f>
        <v>Médio</v>
      </c>
      <c r="M269" s="31">
        <v>56500</v>
      </c>
      <c r="O269" t="s">
        <v>75</v>
      </c>
      <c r="P269" t="str">
        <f t="shared" si="4"/>
        <v>Null</v>
      </c>
      <c r="U269" t="s">
        <v>145</v>
      </c>
      <c r="V269" t="str">
        <f>TEXT(U269,"000\.000\.000\-00")</f>
        <v>000.000.291-00</v>
      </c>
      <c r="X269" s="15" t="s">
        <v>226</v>
      </c>
      <c r="Z269" s="26">
        <v>17600</v>
      </c>
      <c r="AA269">
        <v>17600</v>
      </c>
      <c r="AC269" s="24">
        <v>44000</v>
      </c>
      <c r="AD269">
        <v>44000</v>
      </c>
      <c r="AE269">
        <v>44000</v>
      </c>
    </row>
    <row r="270" spans="1:31">
      <c r="A270" s="29" t="s">
        <v>74</v>
      </c>
      <c r="B270" s="17" t="s">
        <v>762</v>
      </c>
      <c r="C270" s="30" t="s">
        <v>763</v>
      </c>
      <c r="D270" s="1">
        <v>71</v>
      </c>
      <c r="E270" s="35">
        <v>20275</v>
      </c>
      <c r="F270" s="17" t="s">
        <v>239</v>
      </c>
      <c r="G270" s="17" t="s">
        <v>303</v>
      </c>
      <c r="H270" s="31">
        <v>14200</v>
      </c>
      <c r="I270" s="31">
        <v>51000</v>
      </c>
      <c r="J270" s="1" t="s">
        <v>50</v>
      </c>
      <c r="K270" s="28">
        <v>10</v>
      </c>
      <c r="L270" s="1" t="str" cm="1">
        <f t="array" ref="L270">_xlfn.IFS(Tabela6[[#This Row],[qtde_batalhas]]&lt;=15,"Baixo",Tabela6[[#This Row],[qtde_batalhas]]&gt;=30,"Alto",Tabela6[[#This Row],[qtde_batalhas]]&lt;30,"Médio")</f>
        <v>Baixo</v>
      </c>
      <c r="M270" s="31">
        <v>90500</v>
      </c>
      <c r="O270" t="s">
        <v>303</v>
      </c>
      <c r="P270" t="str">
        <f t="shared" si="4"/>
        <v>Oeste</v>
      </c>
      <c r="U270" t="s">
        <v>266</v>
      </c>
      <c r="V270" t="str">
        <f>TEXT(U270,"000\.000\.000\-00")</f>
        <v>000.000.293-00</v>
      </c>
      <c r="X270" s="15" t="s">
        <v>226</v>
      </c>
      <c r="Z270" s="26">
        <v>14200</v>
      </c>
      <c r="AA270">
        <v>14200</v>
      </c>
      <c r="AC270" s="25">
        <v>51000</v>
      </c>
      <c r="AD270">
        <v>51000</v>
      </c>
      <c r="AE270">
        <v>51000</v>
      </c>
    </row>
    <row r="271" spans="1:31">
      <c r="A271" s="29" t="s">
        <v>74</v>
      </c>
      <c r="B271" s="17" t="s">
        <v>764</v>
      </c>
      <c r="C271" s="30" t="s">
        <v>693</v>
      </c>
      <c r="D271" s="1">
        <v>69</v>
      </c>
      <c r="E271" s="35">
        <v>20943</v>
      </c>
      <c r="F271" s="17" t="s">
        <v>135</v>
      </c>
      <c r="G271" s="17" t="s">
        <v>136</v>
      </c>
      <c r="H271" s="31">
        <v>13800</v>
      </c>
      <c r="I271" s="31">
        <v>62000</v>
      </c>
      <c r="J271" s="1" t="s">
        <v>50</v>
      </c>
      <c r="K271" s="28">
        <v>31</v>
      </c>
      <c r="L271" s="1" t="str" cm="1">
        <f t="array" ref="L271">_xlfn.IFS(Tabela6[[#This Row],[qtde_batalhas]]&lt;=15,"Baixo",Tabela6[[#This Row],[qtde_batalhas]]&gt;=30,"Alto",Tabela6[[#This Row],[qtde_batalhas]]&lt;30,"Médio")</f>
        <v>Alto</v>
      </c>
      <c r="M271" s="31">
        <v>60500</v>
      </c>
      <c r="O271" t="s">
        <v>447</v>
      </c>
      <c r="P271" t="str">
        <f t="shared" si="4"/>
        <v>Terras Da Coroa</v>
      </c>
      <c r="U271" t="s">
        <v>765</v>
      </c>
      <c r="V271" t="str">
        <f>TEXT(U271,"000\.000\.000\-00")</f>
        <v>000.000.296-00</v>
      </c>
      <c r="X271" s="15" t="s">
        <v>223</v>
      </c>
      <c r="Z271" s="26">
        <v>13800</v>
      </c>
      <c r="AA271">
        <v>13800</v>
      </c>
      <c r="AC271" s="24">
        <v>62000</v>
      </c>
      <c r="AD271">
        <v>62000</v>
      </c>
      <c r="AE271">
        <v>62000</v>
      </c>
    </row>
    <row r="272" spans="1:31">
      <c r="A272" s="29" t="s">
        <v>78</v>
      </c>
      <c r="B272" s="17" t="s">
        <v>766</v>
      </c>
      <c r="C272" s="30" t="s">
        <v>767</v>
      </c>
      <c r="D272" s="1">
        <v>24</v>
      </c>
      <c r="E272" s="35">
        <v>37313</v>
      </c>
      <c r="F272" s="30" t="s">
        <v>91</v>
      </c>
      <c r="G272" s="17" t="s">
        <v>91</v>
      </c>
      <c r="H272" s="31">
        <v>11000</v>
      </c>
      <c r="I272" s="31">
        <v>76500</v>
      </c>
      <c r="J272" s="1" t="s">
        <v>51</v>
      </c>
      <c r="K272" s="28">
        <v>33</v>
      </c>
      <c r="L272" s="1" t="str" cm="1">
        <f t="array" ref="L272">_xlfn.IFS(Tabela6[[#This Row],[qtde_batalhas]]&lt;=15,"Baixo",Tabela6[[#This Row],[qtde_batalhas]]&gt;=30,"Alto",Tabela6[[#This Row],[qtde_batalhas]]&lt;30,"Médio")</f>
        <v>Alto</v>
      </c>
      <c r="M272" s="31">
        <v>26000</v>
      </c>
      <c r="O272" t="s">
        <v>75</v>
      </c>
      <c r="P272" t="str">
        <f t="shared" si="4"/>
        <v>Null</v>
      </c>
      <c r="U272" t="s">
        <v>768</v>
      </c>
      <c r="V272" t="str">
        <f>TEXT(U272,"000\.000\.000\-00")</f>
        <v>000.000.297-00</v>
      </c>
      <c r="X272" s="15" t="s">
        <v>239</v>
      </c>
      <c r="Z272" s="26" t="s">
        <v>769</v>
      </c>
      <c r="AA272">
        <v>11000</v>
      </c>
      <c r="AC272" s="25">
        <v>76500</v>
      </c>
      <c r="AD272">
        <v>76500</v>
      </c>
      <c r="AE272">
        <v>76500</v>
      </c>
    </row>
    <row r="273" spans="1:31">
      <c r="A273" s="29" t="s">
        <v>74</v>
      </c>
      <c r="B273" s="17" t="s">
        <v>770</v>
      </c>
      <c r="C273" s="30" t="s">
        <v>662</v>
      </c>
      <c r="D273" s="1">
        <v>34</v>
      </c>
      <c r="E273" s="35">
        <v>33835</v>
      </c>
      <c r="F273" s="17" t="s">
        <v>81</v>
      </c>
      <c r="G273" s="17" t="s">
        <v>82</v>
      </c>
      <c r="H273" s="31">
        <v>5100</v>
      </c>
      <c r="I273" s="31">
        <v>17000</v>
      </c>
      <c r="J273" s="1" t="s">
        <v>50</v>
      </c>
      <c r="K273" s="28">
        <v>3</v>
      </c>
      <c r="L273" s="1" t="str" cm="1">
        <f t="array" ref="L273">_xlfn.IFS(Tabela6[[#This Row],[qtde_batalhas]]&lt;=15,"Baixo",Tabela6[[#This Row],[qtde_batalhas]]&gt;=30,"Alto",Tabela6[[#This Row],[qtde_batalhas]]&lt;30,"Médio")</f>
        <v>Baixo</v>
      </c>
      <c r="M273" s="31">
        <v>4500</v>
      </c>
      <c r="O273" t="s">
        <v>82</v>
      </c>
      <c r="P273" t="str">
        <f t="shared" si="4"/>
        <v>Campina</v>
      </c>
      <c r="U273" t="s">
        <v>698</v>
      </c>
      <c r="V273" t="str">
        <f>TEXT(U273,"000\.000\.000\-00")</f>
        <v>000.000.298-00</v>
      </c>
      <c r="X273" s="15" t="s">
        <v>219</v>
      </c>
      <c r="Z273" s="26">
        <v>5100</v>
      </c>
      <c r="AA273">
        <v>5100</v>
      </c>
      <c r="AC273" s="24">
        <v>17000</v>
      </c>
      <c r="AD273">
        <v>17000</v>
      </c>
      <c r="AE273">
        <v>17000</v>
      </c>
    </row>
    <row r="274" spans="1:31">
      <c r="A274" s="29" t="s">
        <v>74</v>
      </c>
      <c r="B274" s="17" t="s">
        <v>771</v>
      </c>
      <c r="C274" s="30" t="s">
        <v>772</v>
      </c>
      <c r="D274" s="1">
        <v>64</v>
      </c>
      <c r="E274" s="35">
        <v>22886</v>
      </c>
      <c r="F274" s="30" t="s">
        <v>91</v>
      </c>
      <c r="G274" s="17" t="s">
        <v>91</v>
      </c>
      <c r="H274" s="31">
        <v>8800</v>
      </c>
      <c r="I274" s="31">
        <v>66000</v>
      </c>
      <c r="J274" s="1" t="s">
        <v>50</v>
      </c>
      <c r="K274" s="28">
        <v>28</v>
      </c>
      <c r="L274" s="1" t="str" cm="1">
        <f t="array" ref="L274">_xlfn.IFS(Tabela6[[#This Row],[qtde_batalhas]]&lt;=15,"Baixo",Tabela6[[#This Row],[qtde_batalhas]]&gt;=30,"Alto",Tabela6[[#This Row],[qtde_batalhas]]&lt;30,"Médio")</f>
        <v>Médio</v>
      </c>
      <c r="M274" s="31">
        <v>5000</v>
      </c>
      <c r="O274" t="s">
        <v>75</v>
      </c>
      <c r="P274" t="str">
        <f t="shared" si="4"/>
        <v>Null</v>
      </c>
      <c r="U274" t="s">
        <v>618</v>
      </c>
      <c r="V274" t="str">
        <f>TEXT(U274,"000\.000\.000\-00")</f>
        <v>000.000.301-00</v>
      </c>
      <c r="X274" s="15" t="s">
        <v>243</v>
      </c>
      <c r="Z274" s="26">
        <v>8800</v>
      </c>
      <c r="AA274">
        <v>8800</v>
      </c>
      <c r="AC274" s="25">
        <v>66000</v>
      </c>
      <c r="AD274">
        <v>66000</v>
      </c>
      <c r="AE274">
        <v>66000</v>
      </c>
    </row>
    <row r="275" spans="1:31">
      <c r="A275" s="29" t="s">
        <v>74</v>
      </c>
      <c r="B275" s="17" t="s">
        <v>773</v>
      </c>
      <c r="C275" s="30" t="s">
        <v>434</v>
      </c>
      <c r="D275" s="1" t="s">
        <v>75</v>
      </c>
      <c r="E275" s="35">
        <v>34769</v>
      </c>
      <c r="F275" s="17" t="s">
        <v>239</v>
      </c>
      <c r="G275" s="17" t="s">
        <v>303</v>
      </c>
      <c r="H275" s="31">
        <v>9000</v>
      </c>
      <c r="I275" s="31">
        <v>66000</v>
      </c>
      <c r="J275" s="1" t="s">
        <v>50</v>
      </c>
      <c r="K275" s="28">
        <v>24</v>
      </c>
      <c r="L275" s="1" t="str" cm="1">
        <f t="array" ref="L275">_xlfn.IFS(Tabela6[[#This Row],[qtde_batalhas]]&lt;=15,"Baixo",Tabela6[[#This Row],[qtde_batalhas]]&gt;=30,"Alto",Tabela6[[#This Row],[qtde_batalhas]]&lt;30,"Médio")</f>
        <v>Médio</v>
      </c>
      <c r="M275" s="31">
        <v>72000</v>
      </c>
      <c r="O275" t="s">
        <v>303</v>
      </c>
      <c r="P275" t="str">
        <f t="shared" si="4"/>
        <v>Oeste</v>
      </c>
      <c r="U275" t="s">
        <v>523</v>
      </c>
      <c r="V275" t="str">
        <f>TEXT(U275,"000\.000\.000\-00")</f>
        <v>000.000.302-00</v>
      </c>
      <c r="X275" s="15" t="s">
        <v>256</v>
      </c>
      <c r="Z275" s="26">
        <v>9000</v>
      </c>
      <c r="AA275">
        <v>9000</v>
      </c>
      <c r="AC275" s="24">
        <v>66000</v>
      </c>
      <c r="AD275">
        <v>66000</v>
      </c>
      <c r="AE275">
        <v>66000</v>
      </c>
    </row>
    <row r="276" spans="1:31">
      <c r="A276" s="29" t="s">
        <v>78</v>
      </c>
      <c r="B276" s="17" t="s">
        <v>774</v>
      </c>
      <c r="C276" s="30" t="s">
        <v>775</v>
      </c>
      <c r="D276" s="1">
        <v>36</v>
      </c>
      <c r="E276" s="35">
        <v>32914</v>
      </c>
      <c r="F276" s="30" t="s">
        <v>91</v>
      </c>
      <c r="G276" s="17" t="s">
        <v>91</v>
      </c>
      <c r="H276" s="31">
        <v>27600</v>
      </c>
      <c r="I276" s="31">
        <v>37000</v>
      </c>
      <c r="J276" s="1" t="s">
        <v>50</v>
      </c>
      <c r="K276" s="28">
        <v>15</v>
      </c>
      <c r="L276" s="1" t="str" cm="1">
        <f t="array" ref="L276">_xlfn.IFS(Tabela6[[#This Row],[qtde_batalhas]]&lt;=15,"Baixo",Tabela6[[#This Row],[qtde_batalhas]]&gt;=30,"Alto",Tabela6[[#This Row],[qtde_batalhas]]&lt;30,"Médio")</f>
        <v>Baixo</v>
      </c>
      <c r="M276" s="31">
        <v>41500</v>
      </c>
      <c r="O276" t="s">
        <v>75</v>
      </c>
      <c r="P276" t="str">
        <f t="shared" si="4"/>
        <v>Null</v>
      </c>
      <c r="U276" t="s">
        <v>655</v>
      </c>
      <c r="V276" t="str">
        <f>TEXT(U276,"000\.000\.000\-00")</f>
        <v>000.000.303-00</v>
      </c>
      <c r="X276" s="15" t="s">
        <v>215</v>
      </c>
      <c r="Z276" s="26">
        <v>27600</v>
      </c>
      <c r="AA276">
        <v>27600</v>
      </c>
      <c r="AC276" s="25">
        <v>37000</v>
      </c>
      <c r="AD276">
        <v>37000</v>
      </c>
      <c r="AE276">
        <v>37000</v>
      </c>
    </row>
    <row r="277" spans="1:31">
      <c r="A277" s="29" t="s">
        <v>74</v>
      </c>
      <c r="B277" s="17" t="s">
        <v>776</v>
      </c>
      <c r="C277" s="30" t="s">
        <v>777</v>
      </c>
      <c r="D277" s="1">
        <v>26</v>
      </c>
      <c r="E277" s="35">
        <v>36622</v>
      </c>
      <c r="F277" s="30" t="s">
        <v>91</v>
      </c>
      <c r="G277" s="17" t="s">
        <v>91</v>
      </c>
      <c r="H277" s="31">
        <v>22900</v>
      </c>
      <c r="I277" s="31">
        <v>65500</v>
      </c>
      <c r="J277" s="1" t="s">
        <v>778</v>
      </c>
      <c r="K277" s="28">
        <v>40</v>
      </c>
      <c r="L277" s="1" t="str" cm="1">
        <f t="array" ref="L277">_xlfn.IFS(Tabela6[[#This Row],[qtde_batalhas]]&lt;=15,"Baixo",Tabela6[[#This Row],[qtde_batalhas]]&gt;=30,"Alto",Tabela6[[#This Row],[qtde_batalhas]]&lt;30,"Médio")</f>
        <v>Alto</v>
      </c>
      <c r="M277" s="31">
        <v>95500</v>
      </c>
      <c r="O277" t="s">
        <v>75</v>
      </c>
      <c r="P277" t="str">
        <f t="shared" si="4"/>
        <v>Null</v>
      </c>
      <c r="U277" t="s">
        <v>703</v>
      </c>
      <c r="V277" t="str">
        <f>TEXT(U277,"000\.000\.000\-00")</f>
        <v>000.000.304-00</v>
      </c>
      <c r="X277" s="15" t="s">
        <v>274</v>
      </c>
      <c r="Z277" s="26" t="s">
        <v>779</v>
      </c>
      <c r="AA277">
        <v>22900</v>
      </c>
      <c r="AC277" s="24">
        <v>65500</v>
      </c>
      <c r="AD277">
        <v>65500</v>
      </c>
      <c r="AE277">
        <v>65500</v>
      </c>
    </row>
    <row r="278" spans="1:31">
      <c r="A278" s="29" t="s">
        <v>74</v>
      </c>
      <c r="B278" s="17" t="s">
        <v>780</v>
      </c>
      <c r="C278" s="30" t="s">
        <v>531</v>
      </c>
      <c r="D278" s="1">
        <v>19</v>
      </c>
      <c r="E278" s="35">
        <v>39209</v>
      </c>
      <c r="F278" s="17" t="s">
        <v>317</v>
      </c>
      <c r="G278" s="17" t="s">
        <v>82</v>
      </c>
      <c r="H278" s="31">
        <v>7200</v>
      </c>
      <c r="I278" s="31">
        <v>16000</v>
      </c>
      <c r="J278" s="1" t="s">
        <v>50</v>
      </c>
      <c r="K278" s="28">
        <v>5</v>
      </c>
      <c r="L278" s="1" t="str" cm="1">
        <f t="array" ref="L278">_xlfn.IFS(Tabela6[[#This Row],[qtde_batalhas]]&lt;=15,"Baixo",Tabela6[[#This Row],[qtde_batalhas]]&gt;=30,"Alto",Tabela6[[#This Row],[qtde_batalhas]]&lt;30,"Médio")</f>
        <v>Baixo</v>
      </c>
      <c r="M278" s="31">
        <v>52000</v>
      </c>
      <c r="O278" t="s">
        <v>82</v>
      </c>
      <c r="P278" t="str">
        <f t="shared" si="4"/>
        <v>Campina</v>
      </c>
      <c r="U278" t="s">
        <v>189</v>
      </c>
      <c r="V278" t="str">
        <f>TEXT(U278,"000\.000\.000\-00")</f>
        <v>000.000.306-00</v>
      </c>
      <c r="X278" s="15" t="s">
        <v>274</v>
      </c>
      <c r="Z278" s="26">
        <v>7200</v>
      </c>
      <c r="AA278">
        <v>7200</v>
      </c>
      <c r="AC278" s="25">
        <v>16000</v>
      </c>
      <c r="AD278">
        <v>16000</v>
      </c>
      <c r="AE278">
        <v>16000</v>
      </c>
    </row>
    <row r="279" spans="1:31">
      <c r="A279" s="29" t="s">
        <v>74</v>
      </c>
      <c r="B279" s="17" t="s">
        <v>781</v>
      </c>
      <c r="C279" s="30" t="s">
        <v>765</v>
      </c>
      <c r="D279" s="1">
        <v>71</v>
      </c>
      <c r="E279" s="35">
        <v>20187</v>
      </c>
      <c r="F279" s="17" t="s">
        <v>115</v>
      </c>
      <c r="G279" s="17" t="s">
        <v>116</v>
      </c>
      <c r="H279" s="31">
        <v>29200</v>
      </c>
      <c r="I279" s="31">
        <v>73500</v>
      </c>
      <c r="J279" s="1" t="s">
        <v>50</v>
      </c>
      <c r="K279" s="28">
        <v>2</v>
      </c>
      <c r="L279" s="1" t="str" cm="1">
        <f t="array" ref="L279">_xlfn.IFS(Tabela6[[#This Row],[qtde_batalhas]]&lt;=15,"Baixo",Tabela6[[#This Row],[qtde_batalhas]]&gt;=30,"Alto",Tabela6[[#This Row],[qtde_batalhas]]&lt;30,"Médio")</f>
        <v>Baixo</v>
      </c>
      <c r="M279" s="31">
        <v>33000</v>
      </c>
      <c r="O279" t="s">
        <v>116</v>
      </c>
      <c r="P279" t="str">
        <f t="shared" si="4"/>
        <v>Essos</v>
      </c>
      <c r="U279" t="s">
        <v>234</v>
      </c>
      <c r="V279" t="str">
        <f>TEXT(U279,"000\.000\.000\-00")</f>
        <v>000.000.308-00</v>
      </c>
      <c r="X279" s="15" t="s">
        <v>274</v>
      </c>
      <c r="Z279" s="26">
        <v>29200</v>
      </c>
      <c r="AA279">
        <v>29200</v>
      </c>
      <c r="AC279" s="24">
        <v>73500</v>
      </c>
      <c r="AD279">
        <v>73500</v>
      </c>
      <c r="AE279">
        <v>73500</v>
      </c>
    </row>
    <row r="280" spans="1:31">
      <c r="A280" s="29" t="s">
        <v>78</v>
      </c>
      <c r="B280" s="17" t="s">
        <v>782</v>
      </c>
      <c r="C280" s="30" t="s">
        <v>759</v>
      </c>
      <c r="D280" s="1">
        <v>74</v>
      </c>
      <c r="E280" s="35">
        <v>19073</v>
      </c>
      <c r="F280" s="17" t="s">
        <v>239</v>
      </c>
      <c r="G280" s="17" t="s">
        <v>91</v>
      </c>
      <c r="H280" s="31">
        <v>7100</v>
      </c>
      <c r="I280" s="31">
        <v>61500</v>
      </c>
      <c r="J280" s="1" t="s">
        <v>50</v>
      </c>
      <c r="K280" s="28">
        <v>1</v>
      </c>
      <c r="L280" s="1" t="str" cm="1">
        <f t="array" ref="L280">_xlfn.IFS(Tabela6[[#This Row],[qtde_batalhas]]&lt;=15,"Baixo",Tabela6[[#This Row],[qtde_batalhas]]&gt;=30,"Alto",Tabela6[[#This Row],[qtde_batalhas]]&lt;30,"Médio")</f>
        <v>Baixo</v>
      </c>
      <c r="M280" s="31">
        <v>50500</v>
      </c>
      <c r="O280" t="s">
        <v>75</v>
      </c>
      <c r="P280" t="str">
        <f t="shared" si="4"/>
        <v>Null</v>
      </c>
      <c r="U280" t="s">
        <v>315</v>
      </c>
      <c r="V280" t="str">
        <f>TEXT(U280,"000\.000\.000\-00")</f>
        <v>000.000.309-00</v>
      </c>
      <c r="X280" s="15" t="s">
        <v>256</v>
      </c>
      <c r="Z280" s="26">
        <v>7100</v>
      </c>
      <c r="AA280">
        <v>7100</v>
      </c>
      <c r="AC280" s="25">
        <v>61500</v>
      </c>
      <c r="AD280">
        <v>61500</v>
      </c>
      <c r="AE280">
        <v>61500</v>
      </c>
    </row>
    <row r="281" spans="1:31">
      <c r="A281" s="29" t="s">
        <v>74</v>
      </c>
      <c r="B281" s="17" t="s">
        <v>783</v>
      </c>
      <c r="C281" s="30" t="s">
        <v>316</v>
      </c>
      <c r="D281" s="1">
        <v>53</v>
      </c>
      <c r="E281" s="35">
        <v>26812</v>
      </c>
      <c r="F281" s="30" t="s">
        <v>91</v>
      </c>
      <c r="G281" s="17" t="s">
        <v>91</v>
      </c>
      <c r="H281" s="31">
        <v>27800</v>
      </c>
      <c r="I281" s="31">
        <v>52000</v>
      </c>
      <c r="J281" s="1" t="s">
        <v>50</v>
      </c>
      <c r="K281" s="28">
        <v>43</v>
      </c>
      <c r="L281" s="1" t="str" cm="1">
        <f t="array" ref="L281">_xlfn.IFS(Tabela6[[#This Row],[qtde_batalhas]]&lt;=15,"Baixo",Tabela6[[#This Row],[qtde_batalhas]]&gt;=30,"Alto",Tabela6[[#This Row],[qtde_batalhas]]&lt;30,"Médio")</f>
        <v>Alto</v>
      </c>
      <c r="M281" s="31">
        <v>93500</v>
      </c>
      <c r="O281" t="s">
        <v>75</v>
      </c>
      <c r="P281" t="str">
        <f t="shared" si="4"/>
        <v>Null</v>
      </c>
      <c r="U281" t="s">
        <v>429</v>
      </c>
      <c r="V281" t="str">
        <f>TEXT(U281,"000\.000\.000\-00")</f>
        <v>000.000.310-00</v>
      </c>
      <c r="X281" s="15" t="s">
        <v>231</v>
      </c>
      <c r="Z281" s="26">
        <v>27800</v>
      </c>
      <c r="AA281">
        <v>27800</v>
      </c>
      <c r="AC281" s="24">
        <v>52000</v>
      </c>
      <c r="AD281">
        <v>52000</v>
      </c>
      <c r="AE281">
        <v>52000</v>
      </c>
    </row>
    <row r="282" spans="1:31">
      <c r="A282" s="29" t="s">
        <v>74</v>
      </c>
      <c r="B282" s="17" t="s">
        <v>784</v>
      </c>
      <c r="C282" s="30" t="s">
        <v>514</v>
      </c>
      <c r="D282" s="1">
        <v>55</v>
      </c>
      <c r="E282" s="35">
        <v>25844</v>
      </c>
      <c r="F282" s="30" t="s">
        <v>91</v>
      </c>
      <c r="G282" s="17" t="s">
        <v>91</v>
      </c>
      <c r="H282" s="31">
        <v>17400</v>
      </c>
      <c r="I282" s="31">
        <v>75500</v>
      </c>
      <c r="J282" s="1" t="s">
        <v>50</v>
      </c>
      <c r="K282" s="28">
        <v>9</v>
      </c>
      <c r="L282" s="1" t="str" cm="1">
        <f t="array" ref="L282">_xlfn.IFS(Tabela6[[#This Row],[qtde_batalhas]]&lt;=15,"Baixo",Tabela6[[#This Row],[qtde_batalhas]]&gt;=30,"Alto",Tabela6[[#This Row],[qtde_batalhas]]&lt;30,"Médio")</f>
        <v>Baixo</v>
      </c>
      <c r="M282" s="31">
        <v>52000</v>
      </c>
      <c r="O282" t="s">
        <v>75</v>
      </c>
      <c r="P282" t="str">
        <f t="shared" si="4"/>
        <v>Null</v>
      </c>
      <c r="U282" t="s">
        <v>334</v>
      </c>
      <c r="V282" t="str">
        <f>TEXT(U282,"000\.000\.000\-00")</f>
        <v>000.000.311-00</v>
      </c>
      <c r="X282" s="15" t="s">
        <v>243</v>
      </c>
      <c r="Z282" s="26">
        <v>17400</v>
      </c>
      <c r="AA282">
        <v>17400</v>
      </c>
      <c r="AC282" s="25">
        <v>75500</v>
      </c>
      <c r="AD282">
        <v>75500</v>
      </c>
      <c r="AE282">
        <v>75500</v>
      </c>
    </row>
    <row r="283" spans="1:31">
      <c r="A283" s="29" t="s">
        <v>74</v>
      </c>
      <c r="B283" s="17" t="s">
        <v>785</v>
      </c>
      <c r="C283" s="30" t="s">
        <v>567</v>
      </c>
      <c r="D283" s="1">
        <v>28</v>
      </c>
      <c r="E283" s="35">
        <v>35993</v>
      </c>
      <c r="F283" s="30" t="s">
        <v>91</v>
      </c>
      <c r="G283" s="17" t="s">
        <v>91</v>
      </c>
      <c r="H283" s="31">
        <v>13400</v>
      </c>
      <c r="I283" s="31">
        <v>54000</v>
      </c>
      <c r="J283" s="1" t="s">
        <v>50</v>
      </c>
      <c r="K283" s="28">
        <v>15</v>
      </c>
      <c r="L283" s="1" t="str" cm="1">
        <f t="array" ref="L283">_xlfn.IFS(Tabela6[[#This Row],[qtde_batalhas]]&lt;=15,"Baixo",Tabela6[[#This Row],[qtde_batalhas]]&gt;=30,"Alto",Tabela6[[#This Row],[qtde_batalhas]]&lt;30,"Médio")</f>
        <v>Baixo</v>
      </c>
      <c r="M283" s="31">
        <v>99000</v>
      </c>
      <c r="O283" t="s">
        <v>75</v>
      </c>
      <c r="P283" t="str">
        <f t="shared" si="4"/>
        <v>Null</v>
      </c>
      <c r="U283" t="s">
        <v>750</v>
      </c>
      <c r="V283" t="str">
        <f>TEXT(U283,"000\.000\.000\-00")</f>
        <v>000.000.312-00</v>
      </c>
      <c r="X283" s="15" t="s">
        <v>321</v>
      </c>
      <c r="Z283" s="26">
        <v>13400</v>
      </c>
      <c r="AA283">
        <v>13400</v>
      </c>
      <c r="AC283" s="24">
        <v>54000</v>
      </c>
      <c r="AD283">
        <v>54000</v>
      </c>
      <c r="AE283">
        <v>54000</v>
      </c>
    </row>
    <row r="284" spans="1:31">
      <c r="A284" s="29" t="s">
        <v>74</v>
      </c>
      <c r="B284" s="17" t="s">
        <v>786</v>
      </c>
      <c r="C284" s="30" t="s">
        <v>787</v>
      </c>
      <c r="D284" s="1">
        <v>74</v>
      </c>
      <c r="E284" s="35">
        <v>19131</v>
      </c>
      <c r="F284" s="17" t="s">
        <v>150</v>
      </c>
      <c r="G284" s="17" t="s">
        <v>136</v>
      </c>
      <c r="H284" s="31">
        <v>20700</v>
      </c>
      <c r="I284" s="31">
        <v>17500</v>
      </c>
      <c r="J284" s="1" t="s">
        <v>50</v>
      </c>
      <c r="K284" s="28">
        <v>35</v>
      </c>
      <c r="L284" s="1" t="str" cm="1">
        <f t="array" ref="L284">_xlfn.IFS(Tabela6[[#This Row],[qtde_batalhas]]&lt;=15,"Baixo",Tabela6[[#This Row],[qtde_batalhas]]&gt;=30,"Alto",Tabela6[[#This Row],[qtde_batalhas]]&lt;30,"Médio")</f>
        <v>Alto</v>
      </c>
      <c r="M284" s="31">
        <v>65000</v>
      </c>
      <c r="O284" t="s">
        <v>137</v>
      </c>
      <c r="P284" t="str">
        <f t="shared" si="4"/>
        <v>Terras Da Coroa</v>
      </c>
      <c r="U284" t="s">
        <v>225</v>
      </c>
      <c r="V284" t="str">
        <f>TEXT(U284,"000\.000\.000\-00")</f>
        <v>000.000.313-00</v>
      </c>
      <c r="X284" s="15" t="s">
        <v>274</v>
      </c>
      <c r="Z284" s="26">
        <v>20700</v>
      </c>
      <c r="AA284">
        <v>20700</v>
      </c>
      <c r="AC284" s="25">
        <v>17500</v>
      </c>
      <c r="AD284">
        <v>17500</v>
      </c>
      <c r="AE284">
        <v>17500</v>
      </c>
    </row>
    <row r="285" spans="1:31">
      <c r="A285" s="29" t="s">
        <v>74</v>
      </c>
      <c r="B285" s="17" t="s">
        <v>788</v>
      </c>
      <c r="C285" s="30" t="s">
        <v>379</v>
      </c>
      <c r="D285" s="1">
        <v>27</v>
      </c>
      <c r="E285" s="35">
        <v>36316</v>
      </c>
      <c r="F285" s="30" t="s">
        <v>91</v>
      </c>
      <c r="G285" s="17" t="s">
        <v>91</v>
      </c>
      <c r="H285" s="31">
        <v>10700</v>
      </c>
      <c r="I285" s="31" t="s">
        <v>75</v>
      </c>
      <c r="J285" s="1" t="s">
        <v>50</v>
      </c>
      <c r="K285" s="28">
        <v>44</v>
      </c>
      <c r="L285" s="1" t="str" cm="1">
        <f t="array" ref="L285">_xlfn.IFS(Tabela6[[#This Row],[qtde_batalhas]]&lt;=15,"Baixo",Tabela6[[#This Row],[qtde_batalhas]]&gt;=30,"Alto",Tabela6[[#This Row],[qtde_batalhas]]&lt;30,"Médio")</f>
        <v>Alto</v>
      </c>
      <c r="M285" s="31">
        <v>48000</v>
      </c>
      <c r="O285" t="s">
        <v>75</v>
      </c>
      <c r="P285" t="str">
        <f t="shared" si="4"/>
        <v>Null</v>
      </c>
      <c r="U285" t="s">
        <v>571</v>
      </c>
      <c r="V285" t="str">
        <f>TEXT(U285,"000\.000\.000\-00")</f>
        <v>000.000.314-00</v>
      </c>
      <c r="X285" s="15" t="s">
        <v>789</v>
      </c>
      <c r="Y285" t="e" cm="1" vm="1">
        <f t="array" aca="1" ref="Y285" ca="1">_xlfn.TEXTSPLIT(X285," | ")</f>
        <v>#VALUE!</v>
      </c>
      <c r="Z285" s="26">
        <v>10700</v>
      </c>
      <c r="AA285">
        <v>10700</v>
      </c>
      <c r="AB285" t="s">
        <v>303</v>
      </c>
      <c r="AC285" s="24" t="s">
        <v>790</v>
      </c>
      <c r="AD285" t="s">
        <v>75</v>
      </c>
      <c r="AE285" t="s">
        <v>75</v>
      </c>
    </row>
    <row r="286" spans="1:31">
      <c r="A286" s="29" t="s">
        <v>78</v>
      </c>
      <c r="B286" s="17" t="s">
        <v>791</v>
      </c>
      <c r="C286" s="30" t="s">
        <v>704</v>
      </c>
      <c r="D286" s="1">
        <v>65</v>
      </c>
      <c r="E286" s="35">
        <v>22205</v>
      </c>
      <c r="F286" s="30" t="s">
        <v>91</v>
      </c>
      <c r="G286" s="17" t="s">
        <v>91</v>
      </c>
      <c r="H286" s="31">
        <v>19800</v>
      </c>
      <c r="I286" s="31">
        <v>78500</v>
      </c>
      <c r="J286" s="1" t="s">
        <v>50</v>
      </c>
      <c r="K286" s="28">
        <v>34</v>
      </c>
      <c r="L286" s="1" t="str" cm="1">
        <f t="array" ref="L286">_xlfn.IFS(Tabela6[[#This Row],[qtde_batalhas]]&lt;=15,"Baixo",Tabela6[[#This Row],[qtde_batalhas]]&gt;=30,"Alto",Tabela6[[#This Row],[qtde_batalhas]]&lt;30,"Médio")</f>
        <v>Alto</v>
      </c>
      <c r="M286" s="31">
        <v>23000</v>
      </c>
      <c r="O286" t="s">
        <v>75</v>
      </c>
      <c r="P286" t="str">
        <f t="shared" si="4"/>
        <v>Null</v>
      </c>
      <c r="U286" t="s">
        <v>721</v>
      </c>
      <c r="V286" t="str">
        <f>TEXT(U286,"000\.000\.000\-00")</f>
        <v>000.000.315-00</v>
      </c>
      <c r="Z286" s="26">
        <v>19800</v>
      </c>
      <c r="AA286">
        <v>19800</v>
      </c>
      <c r="AC286" s="25">
        <v>78500</v>
      </c>
      <c r="AD286">
        <v>78500</v>
      </c>
      <c r="AE286">
        <v>78500</v>
      </c>
    </row>
    <row r="287" spans="1:31">
      <c r="A287" s="29" t="s">
        <v>74</v>
      </c>
      <c r="B287" s="17" t="s">
        <v>792</v>
      </c>
      <c r="C287" s="30" t="s">
        <v>320</v>
      </c>
      <c r="D287" s="1">
        <v>53</v>
      </c>
      <c r="E287" s="35">
        <v>26631</v>
      </c>
      <c r="F287" s="30" t="s">
        <v>91</v>
      </c>
      <c r="G287" s="17" t="s">
        <v>91</v>
      </c>
      <c r="H287" s="31">
        <v>22700</v>
      </c>
      <c r="I287" s="31">
        <v>42500</v>
      </c>
      <c r="J287" s="1" t="s">
        <v>51</v>
      </c>
      <c r="K287" s="28">
        <v>25</v>
      </c>
      <c r="L287" s="1" t="str" cm="1">
        <f t="array" ref="L287">_xlfn.IFS(Tabela6[[#This Row],[qtde_batalhas]]&lt;=15,"Baixo",Tabela6[[#This Row],[qtde_batalhas]]&gt;=30,"Alto",Tabela6[[#This Row],[qtde_batalhas]]&lt;30,"Médio")</f>
        <v>Médio</v>
      </c>
      <c r="M287" s="31">
        <v>86000</v>
      </c>
      <c r="O287" t="s">
        <v>75</v>
      </c>
      <c r="P287" t="str">
        <f t="shared" si="4"/>
        <v>Null</v>
      </c>
      <c r="U287" t="s">
        <v>772</v>
      </c>
      <c r="V287" t="str">
        <f>TEXT(U287,"000\.000\.000\-00")</f>
        <v>000.000.316-00</v>
      </c>
      <c r="Z287" s="26">
        <v>22700</v>
      </c>
      <c r="AA287">
        <v>22700</v>
      </c>
      <c r="AC287" s="24">
        <v>42500</v>
      </c>
      <c r="AD287">
        <v>42500</v>
      </c>
      <c r="AE287">
        <v>42500</v>
      </c>
    </row>
    <row r="288" spans="1:31">
      <c r="A288" s="29" t="s">
        <v>74</v>
      </c>
      <c r="B288" s="17" t="s">
        <v>793</v>
      </c>
      <c r="C288" s="30" t="s">
        <v>794</v>
      </c>
      <c r="D288" s="1" t="s">
        <v>75</v>
      </c>
      <c r="E288" s="35">
        <v>31337</v>
      </c>
      <c r="F288" s="17" t="s">
        <v>252</v>
      </c>
      <c r="G288" s="17" t="s">
        <v>87</v>
      </c>
      <c r="H288" s="31">
        <v>14000</v>
      </c>
      <c r="I288" s="31">
        <v>0</v>
      </c>
      <c r="J288" s="1" t="s">
        <v>255</v>
      </c>
      <c r="K288" s="28">
        <v>24</v>
      </c>
      <c r="L288" s="1" t="str" cm="1">
        <f t="array" ref="L288">_xlfn.IFS(Tabela6[[#This Row],[qtde_batalhas]]&lt;=15,"Baixo",Tabela6[[#This Row],[qtde_batalhas]]&gt;=30,"Alto",Tabela6[[#This Row],[qtde_batalhas]]&lt;30,"Médio")</f>
        <v>Médio</v>
      </c>
      <c r="M288" s="31">
        <v>82000</v>
      </c>
      <c r="O288" t="s">
        <v>87</v>
      </c>
      <c r="P288" t="str">
        <f t="shared" si="4"/>
        <v>Terras Fluviais</v>
      </c>
      <c r="U288" t="s">
        <v>444</v>
      </c>
      <c r="V288" t="str">
        <f>TEXT(U288,"000\.000\.000\-00")</f>
        <v>000.000.321-00</v>
      </c>
      <c r="Z288" s="26">
        <v>14000</v>
      </c>
      <c r="AA288">
        <v>14000</v>
      </c>
      <c r="AC288" s="25">
        <v>0</v>
      </c>
      <c r="AD288">
        <v>0</v>
      </c>
      <c r="AE288">
        <v>0</v>
      </c>
    </row>
    <row r="289" spans="1:31">
      <c r="A289" s="29" t="s">
        <v>74</v>
      </c>
      <c r="B289" s="17" t="s">
        <v>795</v>
      </c>
      <c r="C289" s="30" t="s">
        <v>796</v>
      </c>
      <c r="D289" s="1">
        <v>39</v>
      </c>
      <c r="E289" s="35">
        <v>31740</v>
      </c>
      <c r="F289" s="30" t="s">
        <v>91</v>
      </c>
      <c r="G289" s="17" t="s">
        <v>91</v>
      </c>
      <c r="H289" s="31">
        <v>13200</v>
      </c>
      <c r="I289" s="31" t="s">
        <v>75</v>
      </c>
      <c r="J289" s="1" t="s">
        <v>50</v>
      </c>
      <c r="K289" s="28">
        <v>38</v>
      </c>
      <c r="L289" s="1" t="str" cm="1">
        <f t="array" ref="L289">_xlfn.IFS(Tabela6[[#This Row],[qtde_batalhas]]&lt;=15,"Baixo",Tabela6[[#This Row],[qtde_batalhas]]&gt;=30,"Alto",Tabela6[[#This Row],[qtde_batalhas]]&lt;30,"Médio")</f>
        <v>Alto</v>
      </c>
      <c r="M289" s="31">
        <v>36000</v>
      </c>
      <c r="O289" t="s">
        <v>75</v>
      </c>
      <c r="P289" t="str">
        <f t="shared" si="4"/>
        <v>Null</v>
      </c>
      <c r="U289" t="s">
        <v>401</v>
      </c>
      <c r="V289" t="str">
        <f>TEXT(U289,"000\.000\.000\-00")</f>
        <v>000.000.322-00</v>
      </c>
      <c r="Z289" s="26">
        <v>13200</v>
      </c>
      <c r="AA289">
        <v>13200</v>
      </c>
      <c r="AC289" s="24" t="s">
        <v>83</v>
      </c>
      <c r="AD289" t="s">
        <v>75</v>
      </c>
      <c r="AE289" t="s">
        <v>75</v>
      </c>
    </row>
    <row r="290" spans="1:31">
      <c r="A290" s="29" t="s">
        <v>74</v>
      </c>
      <c r="B290" s="17" t="s">
        <v>797</v>
      </c>
      <c r="C290" s="30" t="s">
        <v>798</v>
      </c>
      <c r="D290" s="1">
        <v>27</v>
      </c>
      <c r="E290" s="35">
        <v>36152</v>
      </c>
      <c r="F290" s="30" t="s">
        <v>91</v>
      </c>
      <c r="G290" s="17" t="s">
        <v>91</v>
      </c>
      <c r="H290" s="31">
        <v>30000</v>
      </c>
      <c r="I290" s="31">
        <v>27000</v>
      </c>
      <c r="J290" s="1" t="s">
        <v>349</v>
      </c>
      <c r="K290" s="28">
        <v>28</v>
      </c>
      <c r="L290" s="1" t="str" cm="1">
        <f t="array" ref="L290">_xlfn.IFS(Tabela6[[#This Row],[qtde_batalhas]]&lt;=15,"Baixo",Tabela6[[#This Row],[qtde_batalhas]]&gt;=30,"Alto",Tabela6[[#This Row],[qtde_batalhas]]&lt;30,"Médio")</f>
        <v>Médio</v>
      </c>
      <c r="M290" s="31">
        <v>28500</v>
      </c>
      <c r="O290" t="s">
        <v>75</v>
      </c>
      <c r="P290" t="str">
        <f t="shared" si="4"/>
        <v>Null</v>
      </c>
      <c r="U290" t="s">
        <v>258</v>
      </c>
      <c r="V290" t="str">
        <f>TEXT(U290,"000\.000\.000\-00")</f>
        <v>000.000.323-00</v>
      </c>
      <c r="Z290" s="26">
        <v>30000</v>
      </c>
      <c r="AA290">
        <v>30000</v>
      </c>
      <c r="AC290" s="25">
        <v>27000</v>
      </c>
      <c r="AD290">
        <v>27000</v>
      </c>
      <c r="AE290">
        <v>27000</v>
      </c>
    </row>
    <row r="291" spans="1:31">
      <c r="A291" s="29" t="s">
        <v>74</v>
      </c>
      <c r="B291" s="17" t="s">
        <v>799</v>
      </c>
      <c r="C291" s="30" t="s">
        <v>645</v>
      </c>
      <c r="D291" s="1" t="s">
        <v>75</v>
      </c>
      <c r="E291" s="35">
        <v>25925</v>
      </c>
      <c r="F291" s="17" t="s">
        <v>101</v>
      </c>
      <c r="G291" s="17" t="s">
        <v>102</v>
      </c>
      <c r="H291" s="31">
        <v>20200</v>
      </c>
      <c r="I291" s="31">
        <v>61000</v>
      </c>
      <c r="J291" s="1" t="s">
        <v>50</v>
      </c>
      <c r="K291" s="28">
        <v>10</v>
      </c>
      <c r="L291" s="1" t="str" cm="1">
        <f t="array" ref="L291">_xlfn.IFS(Tabela6[[#This Row],[qtde_batalhas]]&lt;=15,"Baixo",Tabela6[[#This Row],[qtde_batalhas]]&gt;=30,"Alto",Tabela6[[#This Row],[qtde_batalhas]]&lt;30,"Médio")</f>
        <v>Baixo</v>
      </c>
      <c r="M291" s="31">
        <v>6500</v>
      </c>
      <c r="O291" t="s">
        <v>103</v>
      </c>
      <c r="P291" t="str">
        <f t="shared" si="4"/>
        <v>Ilhas De Ferro</v>
      </c>
      <c r="U291" t="s">
        <v>260</v>
      </c>
      <c r="V291" t="str">
        <f>TEXT(U291,"000\.000\.000\-00")</f>
        <v>000.000.324-00</v>
      </c>
      <c r="Z291" s="26">
        <v>20200</v>
      </c>
      <c r="AA291">
        <v>20200</v>
      </c>
      <c r="AC291" s="24">
        <v>61000</v>
      </c>
      <c r="AD291">
        <v>61000</v>
      </c>
      <c r="AE291">
        <v>61000</v>
      </c>
    </row>
    <row r="292" spans="1:31">
      <c r="A292" s="29" t="s">
        <v>74</v>
      </c>
      <c r="B292" s="17" t="s">
        <v>800</v>
      </c>
      <c r="C292" s="30" t="s">
        <v>373</v>
      </c>
      <c r="D292" s="1">
        <v>33</v>
      </c>
      <c r="E292" s="35">
        <v>34147</v>
      </c>
      <c r="F292" s="30" t="s">
        <v>91</v>
      </c>
      <c r="G292" s="17" t="s">
        <v>91</v>
      </c>
      <c r="H292" s="31">
        <v>28700</v>
      </c>
      <c r="I292" s="31">
        <v>12500</v>
      </c>
      <c r="J292" s="1" t="s">
        <v>50</v>
      </c>
      <c r="K292" s="28">
        <v>41</v>
      </c>
      <c r="L292" s="1" t="str" cm="1">
        <f t="array" ref="L292">_xlfn.IFS(Tabela6[[#This Row],[qtde_batalhas]]&lt;=15,"Baixo",Tabela6[[#This Row],[qtde_batalhas]]&gt;=30,"Alto",Tabela6[[#This Row],[qtde_batalhas]]&lt;30,"Médio")</f>
        <v>Alto</v>
      </c>
      <c r="M292" s="31">
        <v>99500</v>
      </c>
      <c r="O292" t="s">
        <v>75</v>
      </c>
      <c r="P292" t="str">
        <f t="shared" si="4"/>
        <v>Null</v>
      </c>
      <c r="U292" t="s">
        <v>573</v>
      </c>
      <c r="V292" t="str">
        <f>TEXT(U292,"000\.000\.000\-00")</f>
        <v>000.000.326-00</v>
      </c>
      <c r="Z292" s="26">
        <v>28700</v>
      </c>
      <c r="AA292">
        <v>28700</v>
      </c>
      <c r="AC292" s="25">
        <v>12500</v>
      </c>
      <c r="AD292">
        <v>12500</v>
      </c>
      <c r="AE292">
        <v>12500</v>
      </c>
    </row>
    <row r="293" spans="1:31">
      <c r="A293" s="29" t="s">
        <v>78</v>
      </c>
      <c r="B293" s="17" t="s">
        <v>801</v>
      </c>
      <c r="C293" s="30" t="s">
        <v>461</v>
      </c>
      <c r="D293" s="1">
        <v>63</v>
      </c>
      <c r="E293" s="35">
        <v>22994</v>
      </c>
      <c r="F293" s="30" t="s">
        <v>91</v>
      </c>
      <c r="G293" s="17" t="s">
        <v>91</v>
      </c>
      <c r="H293" s="31">
        <v>20000</v>
      </c>
      <c r="I293" s="31">
        <v>29500</v>
      </c>
      <c r="J293" s="1" t="s">
        <v>50</v>
      </c>
      <c r="K293" s="28">
        <v>42</v>
      </c>
      <c r="L293" s="1" t="str" cm="1">
        <f t="array" ref="L293">_xlfn.IFS(Tabela6[[#This Row],[qtde_batalhas]]&lt;=15,"Baixo",Tabela6[[#This Row],[qtde_batalhas]]&gt;=30,"Alto",Tabela6[[#This Row],[qtde_batalhas]]&lt;30,"Médio")</f>
        <v>Alto</v>
      </c>
      <c r="M293" s="31">
        <v>5000</v>
      </c>
      <c r="O293" t="s">
        <v>75</v>
      </c>
      <c r="P293" t="str">
        <f t="shared" si="4"/>
        <v>Null</v>
      </c>
      <c r="U293" t="s">
        <v>589</v>
      </c>
      <c r="V293" t="str">
        <f>TEXT(U293,"000\.000\.000\-00")</f>
        <v>000.000.329-00</v>
      </c>
      <c r="Z293" s="26">
        <v>20000</v>
      </c>
      <c r="AA293">
        <v>20000</v>
      </c>
      <c r="AC293" s="24">
        <v>29500</v>
      </c>
      <c r="AD293">
        <v>29500</v>
      </c>
      <c r="AE293">
        <v>29500</v>
      </c>
    </row>
    <row r="294" spans="1:31">
      <c r="A294" s="29" t="s">
        <v>78</v>
      </c>
      <c r="B294" s="17" t="s">
        <v>802</v>
      </c>
      <c r="C294" s="30" t="s">
        <v>313</v>
      </c>
      <c r="D294" s="1">
        <v>58</v>
      </c>
      <c r="E294" s="35">
        <v>24872</v>
      </c>
      <c r="F294" s="30" t="s">
        <v>91</v>
      </c>
      <c r="G294" s="17" t="s">
        <v>91</v>
      </c>
      <c r="H294" s="31">
        <v>12500</v>
      </c>
      <c r="I294" s="31">
        <v>44500</v>
      </c>
      <c r="J294" s="1" t="s">
        <v>396</v>
      </c>
      <c r="K294" s="28">
        <v>13</v>
      </c>
      <c r="L294" s="1" t="str" cm="1">
        <f t="array" ref="L294">_xlfn.IFS(Tabela6[[#This Row],[qtde_batalhas]]&lt;=15,"Baixo",Tabela6[[#This Row],[qtde_batalhas]]&gt;=30,"Alto",Tabela6[[#This Row],[qtde_batalhas]]&lt;30,"Médio")</f>
        <v>Baixo</v>
      </c>
      <c r="M294" s="31">
        <v>16000</v>
      </c>
      <c r="O294" t="s">
        <v>75</v>
      </c>
      <c r="P294" t="str">
        <f t="shared" si="4"/>
        <v>Null</v>
      </c>
      <c r="U294" t="s">
        <v>419</v>
      </c>
      <c r="V294" t="str">
        <f>TEXT(U294,"000\.000\.000\-00")</f>
        <v>000.000.332-00</v>
      </c>
      <c r="Z294" s="26">
        <v>12500</v>
      </c>
      <c r="AA294">
        <v>12500</v>
      </c>
      <c r="AC294" s="25">
        <v>44500</v>
      </c>
      <c r="AD294">
        <v>44500</v>
      </c>
      <c r="AE294">
        <v>44500</v>
      </c>
    </row>
    <row r="295" spans="1:31">
      <c r="A295" s="29" t="s">
        <v>74</v>
      </c>
      <c r="B295" s="17" t="s">
        <v>803</v>
      </c>
      <c r="C295" s="30" t="s">
        <v>752</v>
      </c>
      <c r="D295" s="1">
        <v>42</v>
      </c>
      <c r="E295" s="35">
        <v>30662</v>
      </c>
      <c r="F295" s="30" t="s">
        <v>91</v>
      </c>
      <c r="G295" s="17" t="s">
        <v>91</v>
      </c>
      <c r="H295" s="31">
        <v>20400</v>
      </c>
      <c r="I295" s="31">
        <v>0</v>
      </c>
      <c r="J295" s="1" t="s">
        <v>255</v>
      </c>
      <c r="K295" s="28">
        <v>0</v>
      </c>
      <c r="L295" s="1" t="str" cm="1">
        <f t="array" ref="L295">_xlfn.IFS(Tabela6[[#This Row],[qtde_batalhas]]&lt;=15,"Baixo",Tabela6[[#This Row],[qtde_batalhas]]&gt;=30,"Alto",Tabela6[[#This Row],[qtde_batalhas]]&lt;30,"Médio")</f>
        <v>Baixo</v>
      </c>
      <c r="M295" s="31">
        <v>81000</v>
      </c>
      <c r="O295" t="s">
        <v>75</v>
      </c>
      <c r="P295" t="str">
        <f t="shared" si="4"/>
        <v>Null</v>
      </c>
      <c r="U295" t="s">
        <v>109</v>
      </c>
      <c r="V295" t="str">
        <f>TEXT(U295,"000\.000\.000\-00")</f>
        <v>000.000.333-00</v>
      </c>
      <c r="Z295" s="26">
        <v>20400</v>
      </c>
      <c r="AA295">
        <v>20400</v>
      </c>
      <c r="AC295" s="24">
        <v>0</v>
      </c>
      <c r="AD295">
        <v>0</v>
      </c>
      <c r="AE295">
        <v>0</v>
      </c>
    </row>
    <row r="296" spans="1:31">
      <c r="A296" s="29" t="s">
        <v>74</v>
      </c>
      <c r="B296" s="17" t="s">
        <v>804</v>
      </c>
      <c r="C296" s="30" t="s">
        <v>768</v>
      </c>
      <c r="D296" s="1">
        <v>55</v>
      </c>
      <c r="E296" s="35">
        <v>25880</v>
      </c>
      <c r="F296" s="30" t="s">
        <v>91</v>
      </c>
      <c r="G296" s="17" t="s">
        <v>91</v>
      </c>
      <c r="H296" s="31">
        <v>27500</v>
      </c>
      <c r="I296" s="31">
        <v>14000</v>
      </c>
      <c r="J296" s="1" t="s">
        <v>50</v>
      </c>
      <c r="K296" s="28">
        <v>3</v>
      </c>
      <c r="L296" s="1" t="str" cm="1">
        <f t="array" ref="L296">_xlfn.IFS(Tabela6[[#This Row],[qtde_batalhas]]&lt;=15,"Baixo",Tabela6[[#This Row],[qtde_batalhas]]&gt;=30,"Alto",Tabela6[[#This Row],[qtde_batalhas]]&lt;30,"Médio")</f>
        <v>Baixo</v>
      </c>
      <c r="M296" s="31">
        <v>11500</v>
      </c>
      <c r="O296" t="s">
        <v>75</v>
      </c>
      <c r="P296" t="str">
        <f t="shared" si="4"/>
        <v>Null</v>
      </c>
      <c r="U296" t="s">
        <v>451</v>
      </c>
      <c r="V296" t="str">
        <f>TEXT(U296,"000\.000\.000\-00")</f>
        <v>000.000.334-00</v>
      </c>
      <c r="Z296" s="26">
        <v>27500</v>
      </c>
      <c r="AA296">
        <v>27500</v>
      </c>
      <c r="AC296" s="25">
        <v>14000</v>
      </c>
      <c r="AD296">
        <v>14000</v>
      </c>
      <c r="AE296">
        <v>14000</v>
      </c>
    </row>
    <row r="297" spans="1:31">
      <c r="A297" s="29" t="s">
        <v>74</v>
      </c>
      <c r="B297" s="17" t="s">
        <v>805</v>
      </c>
      <c r="C297" s="30" t="s">
        <v>806</v>
      </c>
      <c r="D297" s="1">
        <v>34</v>
      </c>
      <c r="E297" s="35">
        <v>33746</v>
      </c>
      <c r="F297" s="30" t="s">
        <v>91</v>
      </c>
      <c r="G297" s="17" t="s">
        <v>91</v>
      </c>
      <c r="H297" s="31">
        <v>28900</v>
      </c>
      <c r="I297" s="31">
        <v>37000</v>
      </c>
      <c r="J297" s="1" t="s">
        <v>50</v>
      </c>
      <c r="K297" s="28">
        <v>21</v>
      </c>
      <c r="L297" s="1" t="str" cm="1">
        <f t="array" ref="L297">_xlfn.IFS(Tabela6[[#This Row],[qtde_batalhas]]&lt;=15,"Baixo",Tabela6[[#This Row],[qtde_batalhas]]&gt;=30,"Alto",Tabela6[[#This Row],[qtde_batalhas]]&lt;30,"Médio")</f>
        <v>Médio</v>
      </c>
      <c r="M297" s="31">
        <v>97500</v>
      </c>
      <c r="O297" t="s">
        <v>75</v>
      </c>
      <c r="P297" t="str">
        <f t="shared" si="4"/>
        <v>Null</v>
      </c>
      <c r="U297" t="s">
        <v>672</v>
      </c>
      <c r="V297" t="str">
        <f>TEXT(U297,"000\.000\.000\-00")</f>
        <v>000.000.335-00</v>
      </c>
      <c r="Z297" s="26">
        <v>28900</v>
      </c>
      <c r="AA297">
        <v>28900</v>
      </c>
      <c r="AC297" s="24">
        <v>37000</v>
      </c>
      <c r="AD297">
        <v>37000</v>
      </c>
      <c r="AE297">
        <v>37000</v>
      </c>
    </row>
    <row r="298" spans="1:31">
      <c r="A298" s="29" t="s">
        <v>74</v>
      </c>
      <c r="B298" s="17" t="s">
        <v>807</v>
      </c>
      <c r="C298" s="30" t="s">
        <v>625</v>
      </c>
      <c r="D298" s="1">
        <v>39</v>
      </c>
      <c r="E298" s="35">
        <v>31972</v>
      </c>
      <c r="F298" s="30" t="s">
        <v>91</v>
      </c>
      <c r="G298" s="17" t="s">
        <v>91</v>
      </c>
      <c r="H298" s="31">
        <v>8700</v>
      </c>
      <c r="I298" s="31" t="s">
        <v>75</v>
      </c>
      <c r="J298" s="1" t="s">
        <v>50</v>
      </c>
      <c r="K298" s="28">
        <v>16</v>
      </c>
      <c r="L298" s="1" t="str" cm="1">
        <f t="array" ref="L298">_xlfn.IFS(Tabela6[[#This Row],[qtde_batalhas]]&lt;=15,"Baixo",Tabela6[[#This Row],[qtde_batalhas]]&gt;=30,"Alto",Tabela6[[#This Row],[qtde_batalhas]]&lt;30,"Médio")</f>
        <v>Médio</v>
      </c>
      <c r="M298" s="31">
        <v>93500</v>
      </c>
      <c r="O298" t="s">
        <v>75</v>
      </c>
      <c r="P298" t="str">
        <f t="shared" si="4"/>
        <v>Null</v>
      </c>
      <c r="U298" t="s">
        <v>336</v>
      </c>
      <c r="V298" t="str">
        <f>TEXT(U298,"000\.000\.000\-00")</f>
        <v>000.000.336-00</v>
      </c>
      <c r="Z298" s="26">
        <v>8700</v>
      </c>
      <c r="AA298">
        <v>8700</v>
      </c>
      <c r="AC298" s="25" t="s">
        <v>153</v>
      </c>
      <c r="AD298" t="s">
        <v>75</v>
      </c>
      <c r="AE298" t="s">
        <v>75</v>
      </c>
    </row>
    <row r="299" spans="1:31">
      <c r="A299" s="29" t="s">
        <v>78</v>
      </c>
      <c r="B299" s="17" t="s">
        <v>808</v>
      </c>
      <c r="C299" s="30" t="s">
        <v>485</v>
      </c>
      <c r="D299" s="1">
        <v>67</v>
      </c>
      <c r="E299" s="35">
        <v>21674</v>
      </c>
      <c r="F299" s="17" t="s">
        <v>206</v>
      </c>
      <c r="G299" s="17" t="s">
        <v>207</v>
      </c>
      <c r="H299" s="31">
        <v>15200</v>
      </c>
      <c r="I299" s="31">
        <v>67500</v>
      </c>
      <c r="J299" s="1" t="s">
        <v>50</v>
      </c>
      <c r="K299" s="28">
        <v>12</v>
      </c>
      <c r="L299" s="1" t="str" cm="1">
        <f t="array" ref="L299">_xlfn.IFS(Tabela6[[#This Row],[qtde_batalhas]]&lt;=15,"Baixo",Tabela6[[#This Row],[qtde_batalhas]]&gt;=30,"Alto",Tabela6[[#This Row],[qtde_batalhas]]&lt;30,"Médio")</f>
        <v>Baixo</v>
      </c>
      <c r="M299" s="31">
        <v>97500</v>
      </c>
      <c r="O299" t="s">
        <v>207</v>
      </c>
      <c r="P299" t="str">
        <f t="shared" si="4"/>
        <v>Gargalo</v>
      </c>
      <c r="U299" t="s">
        <v>93</v>
      </c>
      <c r="V299" t="str">
        <f>TEXT(U299,"000\.000\.000\-00")</f>
        <v>000.000.338-00</v>
      </c>
      <c r="Z299" s="26">
        <v>15200</v>
      </c>
      <c r="AA299">
        <v>15200</v>
      </c>
      <c r="AC299" s="24">
        <v>67500</v>
      </c>
      <c r="AD299">
        <v>67500</v>
      </c>
      <c r="AE299">
        <v>67500</v>
      </c>
    </row>
    <row r="300" spans="1:31">
      <c r="A300" s="29" t="s">
        <v>78</v>
      </c>
      <c r="B300" s="17" t="s">
        <v>809</v>
      </c>
      <c r="C300" s="30" t="s">
        <v>746</v>
      </c>
      <c r="D300" s="1">
        <v>51</v>
      </c>
      <c r="E300" s="35">
        <v>27590</v>
      </c>
      <c r="F300" s="30" t="s">
        <v>91</v>
      </c>
      <c r="G300" s="17" t="s">
        <v>91</v>
      </c>
      <c r="H300" s="31">
        <v>11400</v>
      </c>
      <c r="I300" s="31">
        <v>0</v>
      </c>
      <c r="J300" s="1" t="s">
        <v>50</v>
      </c>
      <c r="K300" s="28">
        <v>17</v>
      </c>
      <c r="L300" s="1" t="str" cm="1">
        <f t="array" ref="L300">_xlfn.IFS(Tabela6[[#This Row],[qtde_batalhas]]&lt;=15,"Baixo",Tabela6[[#This Row],[qtde_batalhas]]&gt;=30,"Alto",Tabela6[[#This Row],[qtde_batalhas]]&lt;30,"Médio")</f>
        <v>Médio</v>
      </c>
      <c r="M300" s="31">
        <v>55500</v>
      </c>
      <c r="O300" t="s">
        <v>75</v>
      </c>
      <c r="P300" t="str">
        <f t="shared" si="4"/>
        <v>Null</v>
      </c>
      <c r="U300" t="s">
        <v>292</v>
      </c>
      <c r="V300" t="str">
        <f>TEXT(U300,"000\.000\.000\-00")</f>
        <v>000.000.341-00</v>
      </c>
      <c r="Z300" s="26" t="s">
        <v>810</v>
      </c>
      <c r="AA300">
        <v>11400</v>
      </c>
      <c r="AC300" s="25">
        <v>0</v>
      </c>
      <c r="AD300">
        <v>0</v>
      </c>
      <c r="AE300">
        <v>0</v>
      </c>
    </row>
    <row r="301" spans="1:31">
      <c r="A301" s="29" t="s">
        <v>74</v>
      </c>
      <c r="B301" s="17" t="s">
        <v>811</v>
      </c>
      <c r="C301" s="30" t="s">
        <v>812</v>
      </c>
      <c r="D301" s="1">
        <v>41</v>
      </c>
      <c r="E301" s="35">
        <v>30992</v>
      </c>
      <c r="F301" s="30" t="s">
        <v>91</v>
      </c>
      <c r="G301" s="17" t="s">
        <v>91</v>
      </c>
      <c r="H301" s="31">
        <v>28600</v>
      </c>
      <c r="I301" s="31">
        <v>67500</v>
      </c>
      <c r="J301" s="1" t="s">
        <v>50</v>
      </c>
      <c r="K301" s="28">
        <v>39</v>
      </c>
      <c r="L301" s="1" t="str" cm="1">
        <f t="array" ref="L301">_xlfn.IFS(Tabela6[[#This Row],[qtde_batalhas]]&lt;=15,"Baixo",Tabela6[[#This Row],[qtde_batalhas]]&gt;=30,"Alto",Tabela6[[#This Row],[qtde_batalhas]]&lt;30,"Médio")</f>
        <v>Alto</v>
      </c>
      <c r="M301" s="31">
        <v>22000</v>
      </c>
      <c r="O301" t="s">
        <v>75</v>
      </c>
      <c r="P301" t="str">
        <f t="shared" si="4"/>
        <v>Null</v>
      </c>
      <c r="U301" t="s">
        <v>685</v>
      </c>
      <c r="V301" t="str">
        <f>TEXT(U301,"000\.000\.000\-00")</f>
        <v>000.000.342-00</v>
      </c>
      <c r="Z301" s="26">
        <v>28600</v>
      </c>
      <c r="AA301">
        <v>28600</v>
      </c>
      <c r="AC301" s="24">
        <v>67500</v>
      </c>
      <c r="AD301">
        <v>67500</v>
      </c>
      <c r="AE301">
        <v>67500</v>
      </c>
    </row>
    <row r="302" spans="1:31">
      <c r="A302" s="29" t="s">
        <v>74</v>
      </c>
      <c r="B302" s="17" t="s">
        <v>813</v>
      </c>
      <c r="C302" s="30" t="s">
        <v>814</v>
      </c>
      <c r="D302" s="1">
        <v>24</v>
      </c>
      <c r="E302" s="35">
        <v>37470</v>
      </c>
      <c r="F302" s="30" t="s">
        <v>91</v>
      </c>
      <c r="G302" s="17" t="s">
        <v>91</v>
      </c>
      <c r="H302" s="31">
        <v>16900</v>
      </c>
      <c r="I302" s="31">
        <v>42500</v>
      </c>
      <c r="J302" s="1" t="s">
        <v>51</v>
      </c>
      <c r="K302" s="28">
        <v>26</v>
      </c>
      <c r="L302" s="1" t="str" cm="1">
        <f t="array" ref="L302">_xlfn.IFS(Tabela6[[#This Row],[qtde_batalhas]]&lt;=15,"Baixo",Tabela6[[#This Row],[qtde_batalhas]]&gt;=30,"Alto",Tabela6[[#This Row],[qtde_batalhas]]&lt;30,"Médio")</f>
        <v>Médio</v>
      </c>
      <c r="M302" s="31">
        <v>12500</v>
      </c>
      <c r="O302" t="s">
        <v>75</v>
      </c>
      <c r="P302" t="str">
        <f t="shared" si="4"/>
        <v>Null</v>
      </c>
      <c r="U302" t="s">
        <v>546</v>
      </c>
      <c r="V302" t="str">
        <f>TEXT(U302,"000\.000\.000\-00")</f>
        <v>000.000.345-00</v>
      </c>
      <c r="Z302" s="26">
        <v>16900</v>
      </c>
      <c r="AA302">
        <v>16900</v>
      </c>
      <c r="AC302" s="25">
        <v>42500</v>
      </c>
      <c r="AD302">
        <v>42500</v>
      </c>
      <c r="AE302">
        <v>42500</v>
      </c>
    </row>
    <row r="303" spans="1:31">
      <c r="A303" s="29" t="s">
        <v>74</v>
      </c>
      <c r="B303" s="17" t="s">
        <v>815</v>
      </c>
      <c r="C303" s="30" t="s">
        <v>816</v>
      </c>
      <c r="D303" s="1">
        <v>71</v>
      </c>
      <c r="E303" s="35">
        <v>20094</v>
      </c>
      <c r="F303" s="17" t="s">
        <v>317</v>
      </c>
      <c r="G303" s="17" t="s">
        <v>82</v>
      </c>
      <c r="H303" s="31">
        <v>24100</v>
      </c>
      <c r="I303" s="31">
        <v>0</v>
      </c>
      <c r="J303" s="1" t="s">
        <v>396</v>
      </c>
      <c r="K303" s="28">
        <v>10</v>
      </c>
      <c r="L303" s="1" t="str" cm="1">
        <f t="array" ref="L303">_xlfn.IFS(Tabela6[[#This Row],[qtde_batalhas]]&lt;=15,"Baixo",Tabela6[[#This Row],[qtde_batalhas]]&gt;=30,"Alto",Tabela6[[#This Row],[qtde_batalhas]]&lt;30,"Médio")</f>
        <v>Baixo</v>
      </c>
      <c r="M303" s="31">
        <v>87000</v>
      </c>
      <c r="O303" t="s">
        <v>82</v>
      </c>
      <c r="P303" t="str">
        <f t="shared" si="4"/>
        <v>Campina</v>
      </c>
      <c r="U303" t="s">
        <v>495</v>
      </c>
      <c r="V303" t="str">
        <f>TEXT(U303,"000\.000\.000\-00")</f>
        <v>000.000.346-00</v>
      </c>
      <c r="Z303" s="26">
        <v>24100</v>
      </c>
      <c r="AA303">
        <v>24100</v>
      </c>
      <c r="AC303" s="24">
        <v>0</v>
      </c>
      <c r="AD303">
        <v>0</v>
      </c>
      <c r="AE303">
        <v>0</v>
      </c>
    </row>
    <row r="304" spans="1:31">
      <c r="A304" s="29" t="s">
        <v>74</v>
      </c>
      <c r="B304" s="17" t="s">
        <v>817</v>
      </c>
      <c r="C304" s="30" t="s">
        <v>818</v>
      </c>
      <c r="D304" s="1">
        <v>42</v>
      </c>
      <c r="E304" s="35">
        <v>30724</v>
      </c>
      <c r="F304" s="30" t="s">
        <v>91</v>
      </c>
      <c r="G304" s="17" t="s">
        <v>91</v>
      </c>
      <c r="H304" s="31">
        <v>18500</v>
      </c>
      <c r="I304" s="31">
        <v>59000</v>
      </c>
      <c r="J304" s="1" t="s">
        <v>50</v>
      </c>
      <c r="K304" s="28">
        <v>44</v>
      </c>
      <c r="L304" s="1" t="str" cm="1">
        <f t="array" ref="L304">_xlfn.IFS(Tabela6[[#This Row],[qtde_batalhas]]&lt;=15,"Baixo",Tabela6[[#This Row],[qtde_batalhas]]&gt;=30,"Alto",Tabela6[[#This Row],[qtde_batalhas]]&lt;30,"Médio")</f>
        <v>Alto</v>
      </c>
      <c r="M304" s="31">
        <v>16500</v>
      </c>
      <c r="O304" t="s">
        <v>75</v>
      </c>
      <c r="P304" t="str">
        <f t="shared" si="4"/>
        <v>Null</v>
      </c>
      <c r="U304" t="s">
        <v>100</v>
      </c>
      <c r="V304" t="str">
        <f>TEXT(U304,"000\.000\.000\-00")</f>
        <v>000.000.347-00</v>
      </c>
      <c r="Z304" s="26">
        <v>18500</v>
      </c>
      <c r="AA304">
        <v>18500</v>
      </c>
      <c r="AC304" s="25">
        <v>59000</v>
      </c>
      <c r="AD304">
        <v>59000</v>
      </c>
      <c r="AE304">
        <v>59000</v>
      </c>
    </row>
    <row r="305" spans="1:31">
      <c r="A305" s="29" t="s">
        <v>78</v>
      </c>
      <c r="B305" s="17" t="s">
        <v>819</v>
      </c>
      <c r="C305" s="30" t="s">
        <v>820</v>
      </c>
      <c r="D305" s="1">
        <v>54</v>
      </c>
      <c r="E305" s="35">
        <v>26453</v>
      </c>
      <c r="F305" s="30" t="s">
        <v>91</v>
      </c>
      <c r="G305" s="17" t="s">
        <v>91</v>
      </c>
      <c r="H305" s="31">
        <v>3900</v>
      </c>
      <c r="I305" s="31">
        <v>80000</v>
      </c>
      <c r="J305" s="1" t="s">
        <v>50</v>
      </c>
      <c r="K305" s="28">
        <v>41</v>
      </c>
      <c r="L305" s="1" t="str" cm="1">
        <f t="array" ref="L305">_xlfn.IFS(Tabela6[[#This Row],[qtde_batalhas]]&lt;=15,"Baixo",Tabela6[[#This Row],[qtde_batalhas]]&gt;=30,"Alto",Tabela6[[#This Row],[qtde_batalhas]]&lt;30,"Médio")</f>
        <v>Alto</v>
      </c>
      <c r="M305" s="31">
        <v>30000</v>
      </c>
      <c r="O305" t="s">
        <v>75</v>
      </c>
      <c r="P305" t="str">
        <f t="shared" si="4"/>
        <v>Null</v>
      </c>
      <c r="U305" t="s">
        <v>763</v>
      </c>
      <c r="V305" t="str">
        <f>TEXT(U305,"000\.000\.000\-00")</f>
        <v>000.000.351-00</v>
      </c>
      <c r="Z305" s="26">
        <v>3900</v>
      </c>
      <c r="AA305">
        <v>3900</v>
      </c>
      <c r="AC305" s="24">
        <v>80000</v>
      </c>
      <c r="AD305">
        <v>80000</v>
      </c>
      <c r="AE305">
        <v>80000</v>
      </c>
    </row>
    <row r="306" spans="1:31">
      <c r="A306" s="29" t="s">
        <v>74</v>
      </c>
      <c r="B306" s="17" t="s">
        <v>821</v>
      </c>
      <c r="C306" s="30" t="s">
        <v>822</v>
      </c>
      <c r="D306" s="1">
        <v>23</v>
      </c>
      <c r="E306" s="35">
        <v>37566</v>
      </c>
      <c r="F306" s="17" t="s">
        <v>115</v>
      </c>
      <c r="G306" s="17" t="s">
        <v>116</v>
      </c>
      <c r="H306" s="31">
        <v>2600</v>
      </c>
      <c r="I306" s="31">
        <v>0</v>
      </c>
      <c r="J306" s="1" t="s">
        <v>51</v>
      </c>
      <c r="K306" s="28">
        <v>30</v>
      </c>
      <c r="L306" s="1" t="str" cm="1">
        <f t="array" ref="L306">_xlfn.IFS(Tabela6[[#This Row],[qtde_batalhas]]&lt;=15,"Baixo",Tabela6[[#This Row],[qtde_batalhas]]&gt;=30,"Alto",Tabela6[[#This Row],[qtde_batalhas]]&lt;30,"Médio")</f>
        <v>Alto</v>
      </c>
      <c r="M306" s="31">
        <v>11000</v>
      </c>
      <c r="O306" t="s">
        <v>369</v>
      </c>
      <c r="P306" t="str">
        <f t="shared" si="4"/>
        <v>Essos</v>
      </c>
      <c r="U306" t="s">
        <v>302</v>
      </c>
      <c r="V306" t="str">
        <f>TEXT(U306,"000\.000\.000\-00")</f>
        <v>000.000.353-00</v>
      </c>
      <c r="Z306" s="26">
        <v>2600</v>
      </c>
      <c r="AA306">
        <v>2600</v>
      </c>
      <c r="AC306" s="25">
        <v>0</v>
      </c>
      <c r="AD306">
        <v>0</v>
      </c>
      <c r="AE306">
        <v>0</v>
      </c>
    </row>
    <row r="307" spans="1:31">
      <c r="A307" s="29" t="s">
        <v>74</v>
      </c>
      <c r="B307" s="17" t="s">
        <v>823</v>
      </c>
      <c r="C307" s="30" t="s">
        <v>482</v>
      </c>
      <c r="D307" s="1">
        <v>56</v>
      </c>
      <c r="E307" s="35">
        <v>25808</v>
      </c>
      <c r="F307" s="30" t="s">
        <v>91</v>
      </c>
      <c r="G307" s="17" t="s">
        <v>91</v>
      </c>
      <c r="H307" s="31">
        <v>5400</v>
      </c>
      <c r="I307" s="31">
        <v>61000</v>
      </c>
      <c r="J307" s="1" t="s">
        <v>50</v>
      </c>
      <c r="K307" s="28">
        <v>12</v>
      </c>
      <c r="L307" s="1" t="str" cm="1">
        <f t="array" ref="L307">_xlfn.IFS(Tabela6[[#This Row],[qtde_batalhas]]&lt;=15,"Baixo",Tabela6[[#This Row],[qtde_batalhas]]&gt;=30,"Alto",Tabela6[[#This Row],[qtde_batalhas]]&lt;30,"Médio")</f>
        <v>Baixo</v>
      </c>
      <c r="M307" s="31">
        <v>96500</v>
      </c>
      <c r="O307" t="s">
        <v>75</v>
      </c>
      <c r="P307" t="str">
        <f t="shared" si="4"/>
        <v>Null</v>
      </c>
      <c r="U307" t="s">
        <v>637</v>
      </c>
      <c r="V307" t="str">
        <f>TEXT(U307,"000\.000\.000\-00")</f>
        <v>000.000.354-00</v>
      </c>
      <c r="Z307" s="26">
        <v>5400</v>
      </c>
      <c r="AA307">
        <v>5400</v>
      </c>
      <c r="AC307" s="24">
        <v>61000</v>
      </c>
      <c r="AD307">
        <v>61000</v>
      </c>
      <c r="AE307">
        <v>61000</v>
      </c>
    </row>
    <row r="308" spans="1:31">
      <c r="A308" s="29" t="s">
        <v>74</v>
      </c>
      <c r="B308" s="17" t="s">
        <v>824</v>
      </c>
      <c r="C308" s="30" t="s">
        <v>825</v>
      </c>
      <c r="D308" s="1">
        <v>47</v>
      </c>
      <c r="E308" s="35" t="s">
        <v>75</v>
      </c>
      <c r="F308" s="30" t="s">
        <v>91</v>
      </c>
      <c r="G308" s="17" t="s">
        <v>91</v>
      </c>
      <c r="H308" s="31">
        <v>11600</v>
      </c>
      <c r="I308" s="31">
        <v>63500</v>
      </c>
      <c r="J308" s="1">
        <v>0</v>
      </c>
      <c r="K308" s="28">
        <v>18</v>
      </c>
      <c r="L308" s="1" t="str" cm="1">
        <f t="array" ref="L308">_xlfn.IFS(Tabela6[[#This Row],[qtde_batalhas]]&lt;=15,"Baixo",Tabela6[[#This Row],[qtde_batalhas]]&gt;=30,"Alto",Tabela6[[#This Row],[qtde_batalhas]]&lt;30,"Médio")</f>
        <v>Médio</v>
      </c>
      <c r="M308" s="31">
        <v>3000</v>
      </c>
      <c r="O308" t="s">
        <v>75</v>
      </c>
      <c r="P308" t="str">
        <f t="shared" si="4"/>
        <v>Null</v>
      </c>
      <c r="U308" t="s">
        <v>178</v>
      </c>
      <c r="V308" t="str">
        <f>TEXT(U308,"000\.000\.000\-00")</f>
        <v>000.000.355-00</v>
      </c>
      <c r="Z308" s="26">
        <v>11600</v>
      </c>
      <c r="AA308">
        <v>11600</v>
      </c>
      <c r="AC308" s="25">
        <v>63500</v>
      </c>
      <c r="AD308">
        <v>63500</v>
      </c>
      <c r="AE308">
        <v>63500</v>
      </c>
    </row>
    <row r="309" spans="1:31">
      <c r="A309" s="29" t="s">
        <v>74</v>
      </c>
      <c r="B309" s="17" t="s">
        <v>826</v>
      </c>
      <c r="C309" s="30" t="s">
        <v>827</v>
      </c>
      <c r="D309" s="1">
        <v>56</v>
      </c>
      <c r="E309" s="35">
        <v>25710</v>
      </c>
      <c r="F309" s="30" t="s">
        <v>91</v>
      </c>
      <c r="G309" s="17" t="s">
        <v>91</v>
      </c>
      <c r="H309" s="31">
        <v>14100</v>
      </c>
      <c r="I309" s="31">
        <v>1500</v>
      </c>
      <c r="J309" s="1" t="s">
        <v>50</v>
      </c>
      <c r="K309" s="28">
        <v>26</v>
      </c>
      <c r="L309" s="1" t="str" cm="1">
        <f t="array" ref="L309">_xlfn.IFS(Tabela6[[#This Row],[qtde_batalhas]]&lt;=15,"Baixo",Tabela6[[#This Row],[qtde_batalhas]]&gt;=30,"Alto",Tabela6[[#This Row],[qtde_batalhas]]&lt;30,"Médio")</f>
        <v>Médio</v>
      </c>
      <c r="M309" s="31">
        <v>36000</v>
      </c>
      <c r="O309" t="s">
        <v>75</v>
      </c>
      <c r="P309" t="str">
        <f t="shared" si="4"/>
        <v>Null</v>
      </c>
      <c r="U309" t="s">
        <v>105</v>
      </c>
      <c r="V309" t="str">
        <f>TEXT(U309,"000\.000\.000\-00")</f>
        <v>000.000.356-00</v>
      </c>
      <c r="Z309" s="26">
        <v>14100</v>
      </c>
      <c r="AA309">
        <v>14100</v>
      </c>
      <c r="AC309" s="24">
        <v>1500</v>
      </c>
      <c r="AD309">
        <v>1500</v>
      </c>
      <c r="AE309">
        <v>1500</v>
      </c>
    </row>
    <row r="310" spans="1:31">
      <c r="A310" s="29" t="s">
        <v>74</v>
      </c>
      <c r="B310" s="17" t="s">
        <v>828</v>
      </c>
      <c r="C310" s="30" t="s">
        <v>659</v>
      </c>
      <c r="D310" s="1">
        <v>28</v>
      </c>
      <c r="E310" s="35">
        <v>35887</v>
      </c>
      <c r="F310" s="30" t="s">
        <v>91</v>
      </c>
      <c r="G310" s="17" t="s">
        <v>91</v>
      </c>
      <c r="H310" s="31">
        <v>2000</v>
      </c>
      <c r="I310" s="31">
        <v>51000</v>
      </c>
      <c r="J310" s="1" t="s">
        <v>255</v>
      </c>
      <c r="K310" s="28">
        <v>12</v>
      </c>
      <c r="L310" s="1" t="str" cm="1">
        <f t="array" ref="L310">_xlfn.IFS(Tabela6[[#This Row],[qtde_batalhas]]&lt;=15,"Baixo",Tabela6[[#This Row],[qtde_batalhas]]&gt;=30,"Alto",Tabela6[[#This Row],[qtde_batalhas]]&lt;30,"Médio")</f>
        <v>Baixo</v>
      </c>
      <c r="M310" s="31">
        <v>72500</v>
      </c>
      <c r="O310" t="s">
        <v>75</v>
      </c>
      <c r="P310" t="str">
        <f t="shared" si="4"/>
        <v>Null</v>
      </c>
      <c r="U310" t="s">
        <v>125</v>
      </c>
      <c r="V310" t="str">
        <f>TEXT(U310,"000\.000\.000\-00")</f>
        <v>000.000.357-00</v>
      </c>
      <c r="Z310" s="26" t="s">
        <v>829</v>
      </c>
      <c r="AA310">
        <v>2000</v>
      </c>
      <c r="AC310" s="25">
        <v>51000</v>
      </c>
      <c r="AD310">
        <v>51000</v>
      </c>
      <c r="AE310">
        <v>51000</v>
      </c>
    </row>
    <row r="311" spans="1:31">
      <c r="A311" s="29" t="s">
        <v>74</v>
      </c>
      <c r="B311" s="17" t="s">
        <v>830</v>
      </c>
      <c r="C311" s="30" t="s">
        <v>831</v>
      </c>
      <c r="D311" s="1">
        <v>57</v>
      </c>
      <c r="E311" s="35">
        <v>25238</v>
      </c>
      <c r="F311" s="17" t="s">
        <v>252</v>
      </c>
      <c r="G311" s="17" t="s">
        <v>87</v>
      </c>
      <c r="H311" s="31">
        <v>3200</v>
      </c>
      <c r="I311" s="31" t="s">
        <v>75</v>
      </c>
      <c r="J311" s="1" t="s">
        <v>50</v>
      </c>
      <c r="K311" s="28">
        <v>18</v>
      </c>
      <c r="L311" s="1" t="str" cm="1">
        <f t="array" ref="L311">_xlfn.IFS(Tabela6[[#This Row],[qtde_batalhas]]&lt;=15,"Baixo",Tabela6[[#This Row],[qtde_batalhas]]&gt;=30,"Alto",Tabela6[[#This Row],[qtde_batalhas]]&lt;30,"Médio")</f>
        <v>Médio</v>
      </c>
      <c r="M311" s="31">
        <v>64000</v>
      </c>
      <c r="O311" t="s">
        <v>87</v>
      </c>
      <c r="P311" t="str">
        <f t="shared" si="4"/>
        <v>Terras Fluviais</v>
      </c>
      <c r="U311" t="s">
        <v>478</v>
      </c>
      <c r="V311" t="str">
        <f>TEXT(U311,"000\.000\.000\-00")</f>
        <v>000.000.359-00</v>
      </c>
      <c r="Z311" s="26">
        <v>3200</v>
      </c>
      <c r="AA311">
        <v>3200</v>
      </c>
      <c r="AC311" s="24"/>
      <c r="AD311" t="s">
        <v>75</v>
      </c>
      <c r="AE311" t="s">
        <v>75</v>
      </c>
    </row>
    <row r="312" spans="1:31">
      <c r="A312" s="29" t="s">
        <v>74</v>
      </c>
      <c r="B312" s="17" t="s">
        <v>832</v>
      </c>
      <c r="C312" s="30" t="s">
        <v>833</v>
      </c>
      <c r="D312" s="1">
        <v>67</v>
      </c>
      <c r="E312" s="35">
        <v>21497</v>
      </c>
      <c r="F312" s="17" t="s">
        <v>101</v>
      </c>
      <c r="G312" s="33" t="s">
        <v>102</v>
      </c>
      <c r="H312" s="31">
        <v>21600</v>
      </c>
      <c r="I312" s="31">
        <v>73500</v>
      </c>
      <c r="J312" s="1" t="s">
        <v>51</v>
      </c>
      <c r="K312" s="28">
        <v>7</v>
      </c>
      <c r="L312" s="1" t="str" cm="1">
        <f t="array" ref="L312">_xlfn.IFS(Tabela6[[#This Row],[qtde_batalhas]]&lt;=15,"Baixo",Tabela6[[#This Row],[qtde_batalhas]]&gt;=30,"Alto",Tabela6[[#This Row],[qtde_batalhas]]&lt;30,"Médio")</f>
        <v>Baixo</v>
      </c>
      <c r="M312" s="31">
        <v>24500</v>
      </c>
      <c r="O312" s="18" t="s">
        <v>130</v>
      </c>
      <c r="P312" t="str">
        <f t="shared" si="4"/>
        <v>Ilhas De Ferro</v>
      </c>
      <c r="U312" t="s">
        <v>521</v>
      </c>
      <c r="V312" t="str">
        <f>TEXT(U312,"000\.000\.000\-00")</f>
        <v>000.000.362-00</v>
      </c>
      <c r="Z312" s="26" t="s">
        <v>834</v>
      </c>
      <c r="AA312">
        <v>21600</v>
      </c>
      <c r="AC312" s="25">
        <v>73500</v>
      </c>
      <c r="AD312">
        <v>73500</v>
      </c>
      <c r="AE312">
        <v>73500</v>
      </c>
    </row>
    <row r="313" spans="1:31">
      <c r="A313" s="29" t="s">
        <v>78</v>
      </c>
      <c r="B313" s="17" t="s">
        <v>835</v>
      </c>
      <c r="C313" s="32" t="s">
        <v>75</v>
      </c>
      <c r="D313" s="1">
        <v>61</v>
      </c>
      <c r="E313" s="35">
        <v>23932</v>
      </c>
      <c r="F313" s="30" t="s">
        <v>91</v>
      </c>
      <c r="G313" s="17" t="s">
        <v>91</v>
      </c>
      <c r="H313" s="31">
        <v>4100</v>
      </c>
      <c r="I313" s="31">
        <v>78000</v>
      </c>
      <c r="J313" s="1" t="s">
        <v>50</v>
      </c>
      <c r="K313" s="28">
        <v>25</v>
      </c>
      <c r="L313" s="1" t="str" cm="1">
        <f t="array" ref="L313">_xlfn.IFS(Tabela6[[#This Row],[qtde_batalhas]]&lt;=15,"Baixo",Tabela6[[#This Row],[qtde_batalhas]]&gt;=30,"Alto",Tabela6[[#This Row],[qtde_batalhas]]&lt;30,"Médio")</f>
        <v>Médio</v>
      </c>
      <c r="M313" s="31">
        <v>48000</v>
      </c>
      <c r="O313" t="s">
        <v>75</v>
      </c>
      <c r="P313" t="str">
        <f t="shared" si="4"/>
        <v>Null</v>
      </c>
      <c r="U313" t="s">
        <v>122</v>
      </c>
      <c r="V313" t="str">
        <f>TEXT(U313,"000\.000\.000\-00")</f>
        <v>000.000.363-00</v>
      </c>
      <c r="Z313" s="26">
        <v>4100</v>
      </c>
      <c r="AA313">
        <v>4100</v>
      </c>
      <c r="AC313" s="24">
        <v>78000</v>
      </c>
      <c r="AD313">
        <v>78000</v>
      </c>
      <c r="AE313">
        <v>78000</v>
      </c>
    </row>
    <row r="314" spans="1:31">
      <c r="A314" s="29" t="s">
        <v>74</v>
      </c>
      <c r="B314" s="17" t="s">
        <v>836</v>
      </c>
      <c r="C314" s="30" t="s">
        <v>689</v>
      </c>
      <c r="D314" s="1">
        <v>46</v>
      </c>
      <c r="E314" s="35">
        <v>29197</v>
      </c>
      <c r="F314" s="30" t="s">
        <v>91</v>
      </c>
      <c r="G314" s="17" t="s">
        <v>91</v>
      </c>
      <c r="H314" s="31">
        <v>3200</v>
      </c>
      <c r="I314" s="31">
        <v>0</v>
      </c>
      <c r="J314" s="1" t="s">
        <v>50</v>
      </c>
      <c r="K314" s="28">
        <v>16</v>
      </c>
      <c r="L314" s="1" t="str" cm="1">
        <f t="array" ref="L314">_xlfn.IFS(Tabela6[[#This Row],[qtde_batalhas]]&lt;=15,"Baixo",Tabela6[[#This Row],[qtde_batalhas]]&gt;=30,"Alto",Tabela6[[#This Row],[qtde_batalhas]]&lt;30,"Médio")</f>
        <v>Médio</v>
      </c>
      <c r="M314" s="31">
        <v>61500</v>
      </c>
      <c r="O314" t="s">
        <v>75</v>
      </c>
      <c r="P314" t="str">
        <f t="shared" si="4"/>
        <v>Null</v>
      </c>
      <c r="U314" t="s">
        <v>578</v>
      </c>
      <c r="V314" t="str">
        <f>TEXT(U314,"000\.000\.000\-00")</f>
        <v>000.000.364-00</v>
      </c>
      <c r="Z314" s="26">
        <v>3200</v>
      </c>
      <c r="AA314">
        <v>3200</v>
      </c>
      <c r="AC314" s="25">
        <v>0</v>
      </c>
      <c r="AD314">
        <v>0</v>
      </c>
      <c r="AE314">
        <v>0</v>
      </c>
    </row>
    <row r="315" spans="1:31">
      <c r="A315" s="29" t="s">
        <v>74</v>
      </c>
      <c r="B315" s="17" t="s">
        <v>837</v>
      </c>
      <c r="C315" s="30" t="s">
        <v>584</v>
      </c>
      <c r="D315" s="1" t="s">
        <v>75</v>
      </c>
      <c r="E315" s="35">
        <v>39230</v>
      </c>
      <c r="F315" s="17" t="s">
        <v>81</v>
      </c>
      <c r="G315" s="17" t="s">
        <v>82</v>
      </c>
      <c r="H315" s="31">
        <v>18000</v>
      </c>
      <c r="I315" s="31">
        <v>49500</v>
      </c>
      <c r="J315" s="1" t="s">
        <v>50</v>
      </c>
      <c r="K315" s="28">
        <v>25</v>
      </c>
      <c r="L315" s="1" t="str" cm="1">
        <f t="array" ref="L315">_xlfn.IFS(Tabela6[[#This Row],[qtde_batalhas]]&lt;=15,"Baixo",Tabela6[[#This Row],[qtde_batalhas]]&gt;=30,"Alto",Tabela6[[#This Row],[qtde_batalhas]]&lt;30,"Médio")</f>
        <v>Médio</v>
      </c>
      <c r="M315" s="31">
        <v>46500</v>
      </c>
      <c r="O315" t="s">
        <v>82</v>
      </c>
      <c r="P315" t="str">
        <f t="shared" si="4"/>
        <v>Campina</v>
      </c>
      <c r="U315" t="s">
        <v>701</v>
      </c>
      <c r="V315" t="str">
        <f>TEXT(U315,"000\.000\.000\-00")</f>
        <v>000.000.365-00</v>
      </c>
      <c r="Z315" s="26" t="s">
        <v>838</v>
      </c>
      <c r="AA315">
        <v>18000</v>
      </c>
      <c r="AC315" s="24">
        <v>49500</v>
      </c>
      <c r="AD315">
        <v>49500</v>
      </c>
      <c r="AE315">
        <v>49500</v>
      </c>
    </row>
    <row r="316" spans="1:31">
      <c r="A316" s="29" t="s">
        <v>78</v>
      </c>
      <c r="B316" s="17" t="s">
        <v>839</v>
      </c>
      <c r="C316" s="30" t="s">
        <v>622</v>
      </c>
      <c r="D316" s="1">
        <v>33</v>
      </c>
      <c r="E316" s="35">
        <v>33955</v>
      </c>
      <c r="F316" s="30" t="s">
        <v>91</v>
      </c>
      <c r="G316" s="17" t="s">
        <v>91</v>
      </c>
      <c r="H316" s="31">
        <v>25700</v>
      </c>
      <c r="I316" s="31">
        <v>35000</v>
      </c>
      <c r="J316" s="1" t="s">
        <v>50</v>
      </c>
      <c r="K316" s="28">
        <v>40</v>
      </c>
      <c r="L316" s="1" t="str" cm="1">
        <f t="array" ref="L316">_xlfn.IFS(Tabela6[[#This Row],[qtde_batalhas]]&lt;=15,"Baixo",Tabela6[[#This Row],[qtde_batalhas]]&gt;=30,"Alto",Tabela6[[#This Row],[qtde_batalhas]]&lt;30,"Médio")</f>
        <v>Alto</v>
      </c>
      <c r="M316" s="31">
        <v>1000</v>
      </c>
      <c r="O316" t="s">
        <v>75</v>
      </c>
      <c r="P316" t="str">
        <f t="shared" si="4"/>
        <v>Null</v>
      </c>
      <c r="U316" t="s">
        <v>833</v>
      </c>
      <c r="V316" t="str">
        <f>TEXT(U316,"000\.000\.000\-00")</f>
        <v>000.000.367-00</v>
      </c>
      <c r="Z316" s="26">
        <v>25700</v>
      </c>
      <c r="AA316">
        <v>25700</v>
      </c>
      <c r="AC316" s="25">
        <v>35000</v>
      </c>
      <c r="AD316">
        <v>35000</v>
      </c>
      <c r="AE316">
        <v>35000</v>
      </c>
    </row>
    <row r="317" spans="1:31">
      <c r="A317" s="29" t="s">
        <v>78</v>
      </c>
      <c r="B317" s="17" t="s">
        <v>840</v>
      </c>
      <c r="C317" s="30" t="s">
        <v>544</v>
      </c>
      <c r="D317" s="1">
        <v>59</v>
      </c>
      <c r="E317" s="35">
        <v>24554</v>
      </c>
      <c r="F317" s="30" t="s">
        <v>91</v>
      </c>
      <c r="G317" s="17" t="s">
        <v>91</v>
      </c>
      <c r="H317" s="31">
        <v>15200</v>
      </c>
      <c r="I317" s="31">
        <v>11000</v>
      </c>
      <c r="J317" s="1" t="s">
        <v>396</v>
      </c>
      <c r="K317" s="28">
        <v>27</v>
      </c>
      <c r="L317" s="1" t="str" cm="1">
        <f t="array" ref="L317">_xlfn.IFS(Tabela6[[#This Row],[qtde_batalhas]]&lt;=15,"Baixo",Tabela6[[#This Row],[qtde_batalhas]]&gt;=30,"Alto",Tabela6[[#This Row],[qtde_batalhas]]&lt;30,"Médio")</f>
        <v>Médio</v>
      </c>
      <c r="M317" s="31">
        <v>87000</v>
      </c>
      <c r="O317" t="s">
        <v>75</v>
      </c>
      <c r="P317" t="str">
        <f t="shared" si="4"/>
        <v>Null</v>
      </c>
      <c r="U317" t="s">
        <v>658</v>
      </c>
      <c r="V317" t="str">
        <f>TEXT(U317,"000\.000\.000\-00")</f>
        <v>000.000.372-00</v>
      </c>
      <c r="Z317" s="26">
        <v>15200</v>
      </c>
      <c r="AA317">
        <v>15200</v>
      </c>
      <c r="AC317" s="24">
        <v>11000</v>
      </c>
      <c r="AD317">
        <v>11000</v>
      </c>
      <c r="AE317">
        <v>11000</v>
      </c>
    </row>
    <row r="318" spans="1:31">
      <c r="A318" s="34" t="s">
        <v>75</v>
      </c>
      <c r="B318" s="17" t="s">
        <v>841</v>
      </c>
      <c r="C318" s="30" t="s">
        <v>448</v>
      </c>
      <c r="D318" s="1">
        <v>54</v>
      </c>
      <c r="E318" s="35">
        <v>26403</v>
      </c>
      <c r="F318" s="30" t="s">
        <v>91</v>
      </c>
      <c r="G318" s="17" t="s">
        <v>91</v>
      </c>
      <c r="H318" s="31">
        <v>20800</v>
      </c>
      <c r="I318" s="31">
        <v>16000</v>
      </c>
      <c r="J318" s="1" t="s">
        <v>255</v>
      </c>
      <c r="K318" s="28">
        <v>32</v>
      </c>
      <c r="L318" s="1" t="str" cm="1">
        <f t="array" ref="L318">_xlfn.IFS(Tabela6[[#This Row],[qtde_batalhas]]&lt;=15,"Baixo",Tabela6[[#This Row],[qtde_batalhas]]&gt;=30,"Alto",Tabela6[[#This Row],[qtde_batalhas]]&lt;30,"Médio")</f>
        <v>Alto</v>
      </c>
      <c r="M318" s="31">
        <v>31500</v>
      </c>
      <c r="O318" t="s">
        <v>75</v>
      </c>
      <c r="P318" t="str">
        <f t="shared" si="4"/>
        <v>Null</v>
      </c>
      <c r="U318" t="s">
        <v>825</v>
      </c>
      <c r="V318" t="str">
        <f>TEXT(U318,"000\.000\.000\-00")</f>
        <v>000.000.373-00</v>
      </c>
      <c r="Z318" s="26" t="s">
        <v>842</v>
      </c>
      <c r="AA318">
        <v>20800</v>
      </c>
      <c r="AC318" s="25" t="s">
        <v>326</v>
      </c>
      <c r="AD318">
        <v>16000</v>
      </c>
      <c r="AE318">
        <v>16000</v>
      </c>
    </row>
    <row r="319" spans="1:31">
      <c r="A319" s="29" t="s">
        <v>78</v>
      </c>
      <c r="B319" s="17" t="s">
        <v>843</v>
      </c>
      <c r="C319" s="30" t="s">
        <v>346</v>
      </c>
      <c r="D319" s="1">
        <v>61</v>
      </c>
      <c r="E319" s="35">
        <v>23667</v>
      </c>
      <c r="F319" s="30" t="s">
        <v>91</v>
      </c>
      <c r="G319" s="17" t="s">
        <v>91</v>
      </c>
      <c r="H319" s="31">
        <v>23000</v>
      </c>
      <c r="I319" s="31">
        <v>44500</v>
      </c>
      <c r="J319" s="1" t="s">
        <v>51</v>
      </c>
      <c r="K319" s="28">
        <v>32</v>
      </c>
      <c r="L319" s="1" t="str" cm="1">
        <f t="array" ref="L319">_xlfn.IFS(Tabela6[[#This Row],[qtde_batalhas]]&lt;=15,"Baixo",Tabela6[[#This Row],[qtde_batalhas]]&gt;=30,"Alto",Tabela6[[#This Row],[qtde_batalhas]]&lt;30,"Médio")</f>
        <v>Alto</v>
      </c>
      <c r="M319" s="31">
        <v>2000</v>
      </c>
      <c r="O319" t="s">
        <v>75</v>
      </c>
      <c r="P319" t="str">
        <f t="shared" si="4"/>
        <v>Null</v>
      </c>
      <c r="U319" t="s">
        <v>777</v>
      </c>
      <c r="V319" t="str">
        <f>TEXT(U319,"000\.000\.000\-00")</f>
        <v>000.000.375-00</v>
      </c>
      <c r="Z319" s="26" t="s">
        <v>715</v>
      </c>
      <c r="AA319">
        <v>23000</v>
      </c>
      <c r="AC319" s="24">
        <v>44500</v>
      </c>
      <c r="AD319">
        <v>44500</v>
      </c>
      <c r="AE319">
        <v>44500</v>
      </c>
    </row>
    <row r="320" spans="1:31">
      <c r="A320" s="29" t="s">
        <v>74</v>
      </c>
      <c r="B320" s="17" t="s">
        <v>844</v>
      </c>
      <c r="C320" s="30" t="s">
        <v>734</v>
      </c>
      <c r="D320" s="1">
        <v>70</v>
      </c>
      <c r="E320" s="35">
        <v>20533</v>
      </c>
      <c r="F320" s="17" t="s">
        <v>206</v>
      </c>
      <c r="G320" s="17" t="s">
        <v>207</v>
      </c>
      <c r="H320" s="31">
        <v>9100</v>
      </c>
      <c r="I320" s="31">
        <v>40500</v>
      </c>
      <c r="J320" s="1" t="s">
        <v>50</v>
      </c>
      <c r="K320" s="28">
        <v>35</v>
      </c>
      <c r="L320" s="1" t="str" cm="1">
        <f t="array" ref="L320">_xlfn.IFS(Tabela6[[#This Row],[qtde_batalhas]]&lt;=15,"Baixo",Tabela6[[#This Row],[qtde_batalhas]]&gt;=30,"Alto",Tabela6[[#This Row],[qtde_batalhas]]&lt;30,"Médio")</f>
        <v>Alto</v>
      </c>
      <c r="M320" s="31">
        <v>53000</v>
      </c>
      <c r="O320" t="s">
        <v>207</v>
      </c>
      <c r="P320" t="str">
        <f t="shared" si="4"/>
        <v>Gargalo</v>
      </c>
      <c r="U320" t="s">
        <v>661</v>
      </c>
      <c r="V320" t="str">
        <f>TEXT(U320,"000\.000\.000\-00")</f>
        <v>000.000.376-00</v>
      </c>
      <c r="Z320" s="26">
        <v>9100</v>
      </c>
      <c r="AA320">
        <v>9100</v>
      </c>
      <c r="AC320" s="25">
        <v>40500</v>
      </c>
      <c r="AD320">
        <v>40500</v>
      </c>
      <c r="AE320">
        <v>40500</v>
      </c>
    </row>
    <row r="321" spans="1:31">
      <c r="A321" s="29" t="s">
        <v>74</v>
      </c>
      <c r="B321" s="17" t="s">
        <v>845</v>
      </c>
      <c r="C321" s="30" t="s">
        <v>846</v>
      </c>
      <c r="D321" s="1">
        <v>64</v>
      </c>
      <c r="E321" s="35">
        <v>22836</v>
      </c>
      <c r="F321" s="30" t="s">
        <v>91</v>
      </c>
      <c r="G321" s="17" t="s">
        <v>91</v>
      </c>
      <c r="H321" s="31">
        <v>24300</v>
      </c>
      <c r="I321" s="31">
        <v>16500</v>
      </c>
      <c r="J321" s="1" t="s">
        <v>51</v>
      </c>
      <c r="K321" s="28">
        <v>24</v>
      </c>
      <c r="L321" s="1" t="str" cm="1">
        <f t="array" ref="L321">_xlfn.IFS(Tabela6[[#This Row],[qtde_batalhas]]&lt;=15,"Baixo",Tabela6[[#This Row],[qtde_batalhas]]&gt;=30,"Alto",Tabela6[[#This Row],[qtde_batalhas]]&lt;30,"Médio")</f>
        <v>Médio</v>
      </c>
      <c r="M321" s="31">
        <v>57000</v>
      </c>
      <c r="O321" t="s">
        <v>75</v>
      </c>
      <c r="P321" t="str">
        <f t="shared" si="4"/>
        <v>Null</v>
      </c>
      <c r="U321" t="s">
        <v>806</v>
      </c>
      <c r="V321" t="str">
        <f>TEXT(U321,"000\.000\.000\-00")</f>
        <v>000.000.378-00</v>
      </c>
      <c r="Z321" s="26">
        <v>24300</v>
      </c>
      <c r="AA321">
        <v>24300</v>
      </c>
      <c r="AC321" s="24">
        <v>16500</v>
      </c>
      <c r="AD321">
        <v>16500</v>
      </c>
      <c r="AE321">
        <v>16500</v>
      </c>
    </row>
    <row r="322" spans="1:31">
      <c r="A322" s="29" t="s">
        <v>74</v>
      </c>
      <c r="B322" s="17" t="s">
        <v>847</v>
      </c>
      <c r="C322" s="30" t="s">
        <v>555</v>
      </c>
      <c r="D322" s="1">
        <v>44</v>
      </c>
      <c r="E322" s="35">
        <v>29892</v>
      </c>
      <c r="F322" s="30" t="s">
        <v>91</v>
      </c>
      <c r="G322" s="17" t="s">
        <v>91</v>
      </c>
      <c r="H322" s="31">
        <v>20600</v>
      </c>
      <c r="I322" s="31">
        <v>8000</v>
      </c>
      <c r="J322" s="1" t="s">
        <v>50</v>
      </c>
      <c r="K322" s="28">
        <v>39</v>
      </c>
      <c r="L322" s="1" t="str" cm="1">
        <f t="array" ref="L322">_xlfn.IFS(Tabela6[[#This Row],[qtde_batalhas]]&lt;=15,"Baixo",Tabela6[[#This Row],[qtde_batalhas]]&gt;=30,"Alto",Tabela6[[#This Row],[qtde_batalhas]]&lt;30,"Médio")</f>
        <v>Alto</v>
      </c>
      <c r="M322" s="31">
        <v>36000</v>
      </c>
      <c r="O322" t="s">
        <v>75</v>
      </c>
      <c r="P322" t="str">
        <f t="shared" si="4"/>
        <v>Null</v>
      </c>
      <c r="U322" t="s">
        <v>194</v>
      </c>
      <c r="V322" t="str">
        <f>TEXT(U322,"000\.000\.000\-00")</f>
        <v>000.000.379-00</v>
      </c>
      <c r="Z322" s="26">
        <v>20600</v>
      </c>
      <c r="AA322">
        <v>20600</v>
      </c>
      <c r="AC322" s="25">
        <v>8000</v>
      </c>
      <c r="AD322">
        <v>8000</v>
      </c>
      <c r="AE322">
        <v>8000</v>
      </c>
    </row>
    <row r="323" spans="1:31">
      <c r="A323" s="29" t="s">
        <v>78</v>
      </c>
      <c r="B323" s="17" t="s">
        <v>848</v>
      </c>
      <c r="C323" s="30" t="s">
        <v>714</v>
      </c>
      <c r="D323" s="1" t="s">
        <v>75</v>
      </c>
      <c r="E323" s="35">
        <v>38001</v>
      </c>
      <c r="F323" s="17" t="s">
        <v>215</v>
      </c>
      <c r="G323" s="17" t="s">
        <v>164</v>
      </c>
      <c r="H323" s="31">
        <v>2100</v>
      </c>
      <c r="I323" s="31">
        <v>79500</v>
      </c>
      <c r="J323" s="1" t="s">
        <v>51</v>
      </c>
      <c r="K323" s="28">
        <v>29</v>
      </c>
      <c r="L323" s="1" t="str" cm="1">
        <f t="array" ref="L323">_xlfn.IFS(Tabela6[[#This Row],[qtde_batalhas]]&lt;=15,"Baixo",Tabela6[[#This Row],[qtde_batalhas]]&gt;=30,"Alto",Tabela6[[#This Row],[qtde_batalhas]]&lt;30,"Médio")</f>
        <v>Médio</v>
      </c>
      <c r="M323" s="31">
        <v>64000</v>
      </c>
      <c r="O323" t="s">
        <v>220</v>
      </c>
      <c r="P323" t="str">
        <f t="shared" si="4"/>
        <v>Norte</v>
      </c>
      <c r="U323" t="s">
        <v>775</v>
      </c>
      <c r="V323" t="str">
        <f>TEXT(U323,"000\.000\.000\-00")</f>
        <v>000.000.380-00</v>
      </c>
      <c r="Z323" s="26">
        <v>2100</v>
      </c>
      <c r="AA323">
        <v>2100</v>
      </c>
      <c r="AC323" s="24">
        <v>79500</v>
      </c>
      <c r="AD323">
        <v>79500</v>
      </c>
      <c r="AE323">
        <v>79500</v>
      </c>
    </row>
    <row r="324" spans="1:31">
      <c r="A324" s="29" t="s">
        <v>74</v>
      </c>
      <c r="B324" s="17" t="s">
        <v>849</v>
      </c>
      <c r="C324" s="30" t="s">
        <v>850</v>
      </c>
      <c r="D324" s="1">
        <v>68</v>
      </c>
      <c r="E324" s="35">
        <v>21162</v>
      </c>
      <c r="F324" s="17" t="s">
        <v>219</v>
      </c>
      <c r="G324" s="17" t="s">
        <v>164</v>
      </c>
      <c r="H324" s="31">
        <v>11500</v>
      </c>
      <c r="I324" s="31">
        <v>17500</v>
      </c>
      <c r="J324" s="1" t="s">
        <v>50</v>
      </c>
      <c r="K324" s="28">
        <v>19</v>
      </c>
      <c r="L324" s="1" t="str" cm="1">
        <f t="array" ref="L324">_xlfn.IFS(Tabela6[[#This Row],[qtde_batalhas]]&lt;=15,"Baixo",Tabela6[[#This Row],[qtde_batalhas]]&gt;=30,"Alto",Tabela6[[#This Row],[qtde_batalhas]]&lt;30,"Médio")</f>
        <v>Médio</v>
      </c>
      <c r="M324" s="31">
        <v>26000</v>
      </c>
      <c r="O324" t="s">
        <v>164</v>
      </c>
      <c r="P324" t="str">
        <f t="shared" ref="P324:P326" si="5">PROPER(O324)</f>
        <v>Norte</v>
      </c>
      <c r="V324" t="str">
        <f>TEXT(U324,"000\.000\.000\-00")</f>
        <v>000.000.000-00</v>
      </c>
      <c r="Z324" s="26">
        <v>11500</v>
      </c>
      <c r="AA324">
        <v>11500</v>
      </c>
      <c r="AC324" s="25">
        <v>17500</v>
      </c>
      <c r="AD324">
        <v>17500</v>
      </c>
      <c r="AE324">
        <v>17500</v>
      </c>
    </row>
    <row r="325" spans="1:31">
      <c r="A325" s="29" t="s">
        <v>78</v>
      </c>
      <c r="B325" s="17" t="s">
        <v>851</v>
      </c>
      <c r="C325" s="30" t="s">
        <v>852</v>
      </c>
      <c r="D325" s="1">
        <v>57</v>
      </c>
      <c r="E325" s="35">
        <v>25206</v>
      </c>
      <c r="F325" s="30" t="s">
        <v>75</v>
      </c>
      <c r="G325" s="17" t="s">
        <v>75</v>
      </c>
      <c r="H325" s="31">
        <v>3400</v>
      </c>
      <c r="I325" s="31">
        <v>0</v>
      </c>
      <c r="J325" s="1" t="s">
        <v>50</v>
      </c>
      <c r="K325" s="28">
        <v>20</v>
      </c>
      <c r="L325" s="1" t="str" cm="1">
        <f t="array" ref="L325">_xlfn.IFS(Tabela6[[#This Row],[qtde_batalhas]]&lt;=15,"Baixo",Tabela6[[#This Row],[qtde_batalhas]]&gt;=30,"Alto",Tabela6[[#This Row],[qtde_batalhas]]&lt;30,"Médio")</f>
        <v>Médio</v>
      </c>
      <c r="M325" s="31">
        <v>19500</v>
      </c>
      <c r="O325" t="s">
        <v>75</v>
      </c>
      <c r="P325" t="str">
        <f t="shared" si="5"/>
        <v>Null</v>
      </c>
      <c r="V325" t="str">
        <f>TEXT(U325,"000\.000\.000\-00")</f>
        <v>000.000.000-00</v>
      </c>
      <c r="Z325" s="26">
        <v>3400</v>
      </c>
      <c r="AA325">
        <v>3400</v>
      </c>
      <c r="AC325" s="24">
        <v>0</v>
      </c>
      <c r="AD325">
        <v>0</v>
      </c>
      <c r="AE325">
        <v>0</v>
      </c>
    </row>
    <row r="326" spans="1:31">
      <c r="A326" s="29" t="s">
        <v>78</v>
      </c>
      <c r="B326" s="17" t="s">
        <v>853</v>
      </c>
      <c r="C326" s="30" t="s">
        <v>413</v>
      </c>
      <c r="D326" s="1">
        <v>42</v>
      </c>
      <c r="E326" s="35">
        <v>30810</v>
      </c>
      <c r="F326" s="30" t="s">
        <v>75</v>
      </c>
      <c r="G326" s="17" t="s">
        <v>75</v>
      </c>
      <c r="H326" s="31">
        <v>18200</v>
      </c>
      <c r="I326" s="31">
        <v>31000</v>
      </c>
      <c r="J326" s="1" t="s">
        <v>50</v>
      </c>
      <c r="K326" s="28">
        <v>19</v>
      </c>
      <c r="L326" s="1" t="str" cm="1">
        <f t="array" ref="L326">_xlfn.IFS(Tabela6[[#This Row],[qtde_batalhas]]&lt;=15,"Baixo",Tabela6[[#This Row],[qtde_batalhas]]&gt;=30,"Alto",Tabela6[[#This Row],[qtde_batalhas]]&lt;30,"Médio")</f>
        <v>Médio</v>
      </c>
      <c r="M326" s="31">
        <v>63500</v>
      </c>
      <c r="O326" t="s">
        <v>75</v>
      </c>
      <c r="P326" t="str">
        <f t="shared" si="5"/>
        <v>Null</v>
      </c>
      <c r="V326" t="str">
        <f>TEXT(U326,"000\.000\.000\-00")</f>
        <v>000.000.000-00</v>
      </c>
      <c r="Z326" s="26" t="s">
        <v>854</v>
      </c>
      <c r="AA326">
        <v>18200</v>
      </c>
      <c r="AC326" s="25" t="s">
        <v>855</v>
      </c>
      <c r="AD326">
        <v>31000</v>
      </c>
      <c r="AE326">
        <v>31000</v>
      </c>
    </row>
    <row r="327" spans="1:31">
      <c r="O327" s="16"/>
    </row>
    <row r="328" spans="1:31">
      <c r="O328" s="16"/>
    </row>
    <row r="329" spans="1:31">
      <c r="O329" s="16"/>
    </row>
    <row r="330" spans="1:31">
      <c r="O330" s="16"/>
    </row>
    <row r="331" spans="1:31">
      <c r="O331" s="16"/>
    </row>
    <row r="332" spans="1:31">
      <c r="O332" s="16"/>
    </row>
    <row r="333" spans="1:31">
      <c r="O333" s="16"/>
    </row>
    <row r="334" spans="1:31">
      <c r="O334" s="16"/>
    </row>
    <row r="335" spans="1:31">
      <c r="O335" s="16"/>
    </row>
    <row r="336" spans="1:31">
      <c r="O336" s="16"/>
    </row>
    <row r="337" spans="15:15">
      <c r="O337" s="16"/>
    </row>
    <row r="338" spans="15:15">
      <c r="O338" s="16"/>
    </row>
    <row r="339" spans="15:15">
      <c r="O339" s="16"/>
    </row>
    <row r="340" spans="15:15">
      <c r="O340" s="16"/>
    </row>
    <row r="341" spans="15:15">
      <c r="O341" s="16"/>
    </row>
    <row r="342" spans="15:15">
      <c r="O342" s="16"/>
    </row>
    <row r="343" spans="15:15">
      <c r="O343" s="16"/>
    </row>
    <row r="344" spans="15:15">
      <c r="O344" s="16"/>
    </row>
    <row r="345" spans="15:15">
      <c r="O345" s="16"/>
    </row>
    <row r="346" spans="15:15">
      <c r="O346" s="16"/>
    </row>
    <row r="347" spans="15:15">
      <c r="O347" s="16"/>
    </row>
    <row r="348" spans="15:15">
      <c r="O348" s="16"/>
    </row>
    <row r="349" spans="15:15">
      <c r="O349" s="16"/>
    </row>
    <row r="350" spans="15:15">
      <c r="O350" s="16"/>
    </row>
    <row r="351" spans="15:15">
      <c r="O351" s="16"/>
    </row>
    <row r="352" spans="15:15">
      <c r="O352" s="16"/>
    </row>
    <row r="353" spans="15:15">
      <c r="O353" s="16"/>
    </row>
    <row r="354" spans="15:15">
      <c r="O354" s="16"/>
    </row>
    <row r="355" spans="15:15">
      <c r="O355" s="16"/>
    </row>
    <row r="356" spans="15:15">
      <c r="O356" s="16"/>
    </row>
    <row r="357" spans="15:15">
      <c r="O357" s="16"/>
    </row>
    <row r="358" spans="15:15">
      <c r="O358" s="16"/>
    </row>
    <row r="359" spans="15:15">
      <c r="O359" s="16"/>
    </row>
    <row r="360" spans="15:15">
      <c r="O360" s="16"/>
    </row>
    <row r="361" spans="15:15">
      <c r="O361" s="16"/>
    </row>
    <row r="362" spans="15:15">
      <c r="O362" s="16"/>
    </row>
    <row r="363" spans="15:15">
      <c r="O363" s="16"/>
    </row>
    <row r="364" spans="15:15">
      <c r="O364" s="16"/>
    </row>
    <row r="365" spans="15:15">
      <c r="O365" s="16"/>
    </row>
    <row r="366" spans="15:15">
      <c r="O366" s="16"/>
    </row>
    <row r="367" spans="15:15">
      <c r="O367" s="16"/>
    </row>
    <row r="368" spans="15:15">
      <c r="O368" s="16"/>
    </row>
    <row r="369" spans="15:15">
      <c r="O369" s="16"/>
    </row>
  </sheetData>
  <autoFilter ref="U1:U326" xr:uid="{32A3A245-B79E-4975-A562-C077F4929AC2}">
    <sortState xmlns:xlrd2="http://schemas.microsoft.com/office/spreadsheetml/2017/richdata2" ref="U2:U326">
      <sortCondition ref="U1:U326"/>
    </sortState>
  </autoFilter>
  <conditionalFormatting sqref="A1:M1048576">
    <cfRule type="cellIs" dxfId="17" priority="24" operator="equal">
      <formula>"null"</formula>
    </cfRule>
  </conditionalFormatting>
  <conditionalFormatting sqref="AC1:AC326">
    <cfRule type="cellIs" dxfId="16" priority="6" operator="equal">
      <formula>"null"</formula>
    </cfRule>
  </conditionalFormatting>
  <conditionalFormatting sqref="K1">
    <cfRule type="cellIs" dxfId="15" priority="5" operator="equal">
      <formula>"null"</formula>
    </cfRule>
  </conditionalFormatting>
  <conditionalFormatting sqref="L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{3ED57C92-BFE0-48F7-9E06-B6E902AA0243}</x14:id>
        </ext>
      </extLst>
    </cfRule>
  </conditionalFormatting>
  <conditionalFormatting sqref="K1:K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{6BAA9567-A3B0-4613-B8A4-A72C41E2FA89}</x14:id>
        </ext>
      </extLst>
    </cfRule>
  </conditionalFormatting>
  <dataValidations count="1">
    <dataValidation type="list" allowBlank="1" showInputMessage="1" showErrorMessage="1" sqref="A2:A38" xr:uid="{9B54097F-FC85-4211-A267-FC8EBE6A0162}">
      <formula1>$R$1:$R$2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D57C92-BFE0-48F7-9E06-B6E902AA02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L2</xm:sqref>
        </x14:conditionalFormatting>
        <x14:conditionalFormatting xmlns:xm="http://schemas.microsoft.com/office/excel/2006/main">
          <x14:cfRule type="dataBar" id="{6BAA9567-A3B0-4613-B8A4-A72C41E2FA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B003-89CB-493A-9593-F37DA49AE595}">
  <dimension ref="A1:L30"/>
  <sheetViews>
    <sheetView topLeftCell="A14" workbookViewId="0">
      <selection activeCell="D35" sqref="D35"/>
    </sheetView>
  </sheetViews>
  <sheetFormatPr defaultRowHeight="15"/>
  <cols>
    <col min="1" max="1" width="23.5703125" bestFit="1" customWidth="1"/>
    <col min="2" max="2" width="30.28515625" bestFit="1" customWidth="1"/>
    <col min="3" max="3" width="57.7109375" bestFit="1" customWidth="1"/>
    <col min="4" max="4" width="50.140625" bestFit="1" customWidth="1"/>
    <col min="5" max="5" width="10.85546875" customWidth="1"/>
  </cols>
  <sheetData>
    <row r="1" spans="1:12">
      <c r="A1" t="s">
        <v>856</v>
      </c>
      <c r="B1" t="s">
        <v>857</v>
      </c>
      <c r="C1" t="s">
        <v>858</v>
      </c>
      <c r="D1" t="s">
        <v>859</v>
      </c>
    </row>
    <row r="2" spans="1:12">
      <c r="A2" t="s">
        <v>860</v>
      </c>
      <c r="B2" t="s">
        <v>861</v>
      </c>
      <c r="C2" t="s">
        <v>862</v>
      </c>
      <c r="D2" t="s">
        <v>863</v>
      </c>
      <c r="L2" t="str">
        <f>Registro_Limpeza!C26</f>
        <v>levar em consideração media e divisão por 3 do nivel de risco</v>
      </c>
    </row>
    <row r="3" spans="1:12">
      <c r="A3" t="s">
        <v>864</v>
      </c>
      <c r="B3" t="s">
        <v>865</v>
      </c>
      <c r="C3" t="s">
        <v>866</v>
      </c>
      <c r="D3" t="s">
        <v>867</v>
      </c>
    </row>
    <row r="4" spans="1:12">
      <c r="A4" t="s">
        <v>864</v>
      </c>
      <c r="B4" t="s">
        <v>868</v>
      </c>
      <c r="C4" t="s">
        <v>869</v>
      </c>
      <c r="D4" t="s">
        <v>870</v>
      </c>
    </row>
    <row r="5" spans="1:12">
      <c r="A5" t="s">
        <v>864</v>
      </c>
      <c r="B5" t="s">
        <v>871</v>
      </c>
      <c r="C5" t="s">
        <v>872</v>
      </c>
      <c r="D5" t="s">
        <v>873</v>
      </c>
    </row>
    <row r="6" spans="1:12">
      <c r="A6" t="s">
        <v>864</v>
      </c>
      <c r="B6" t="s">
        <v>874</v>
      </c>
      <c r="C6" t="s">
        <v>875</v>
      </c>
      <c r="D6" t="s">
        <v>876</v>
      </c>
    </row>
    <row r="7" spans="1:12">
      <c r="A7" t="s">
        <v>877</v>
      </c>
      <c r="B7" t="s">
        <v>878</v>
      </c>
      <c r="C7" t="s">
        <v>879</v>
      </c>
      <c r="D7" t="s">
        <v>880</v>
      </c>
    </row>
    <row r="8" spans="1:12">
      <c r="A8" t="s">
        <v>877</v>
      </c>
      <c r="B8" t="s">
        <v>865</v>
      </c>
      <c r="C8" t="s">
        <v>866</v>
      </c>
      <c r="D8" t="s">
        <v>867</v>
      </c>
    </row>
    <row r="9" spans="1:12">
      <c r="A9" t="s">
        <v>877</v>
      </c>
      <c r="B9" t="s">
        <v>881</v>
      </c>
      <c r="C9" t="s">
        <v>882</v>
      </c>
      <c r="D9" t="s">
        <v>883</v>
      </c>
    </row>
    <row r="10" spans="1:12">
      <c r="A10" t="s">
        <v>884</v>
      </c>
      <c r="B10" t="s">
        <v>885</v>
      </c>
      <c r="C10" t="s">
        <v>886</v>
      </c>
      <c r="D10" t="s">
        <v>887</v>
      </c>
    </row>
    <row r="11" spans="1:12">
      <c r="A11" t="s">
        <v>884</v>
      </c>
      <c r="B11" t="s">
        <v>888</v>
      </c>
      <c r="C11" t="s">
        <v>875</v>
      </c>
      <c r="D11" t="s">
        <v>876</v>
      </c>
    </row>
    <row r="12" spans="1:12">
      <c r="A12" t="s">
        <v>884</v>
      </c>
      <c r="B12" t="s">
        <v>881</v>
      </c>
      <c r="C12" t="s">
        <v>882</v>
      </c>
      <c r="D12" t="s">
        <v>883</v>
      </c>
    </row>
    <row r="13" spans="1:12">
      <c r="A13" t="s">
        <v>889</v>
      </c>
      <c r="B13" t="s">
        <v>890</v>
      </c>
      <c r="C13" t="s">
        <v>891</v>
      </c>
      <c r="D13" t="s">
        <v>867</v>
      </c>
    </row>
    <row r="14" spans="1:12">
      <c r="A14" t="s">
        <v>892</v>
      </c>
      <c r="B14" t="s">
        <v>881</v>
      </c>
      <c r="C14" t="s">
        <v>893</v>
      </c>
      <c r="D14" t="s">
        <v>894</v>
      </c>
    </row>
    <row r="15" spans="1:12">
      <c r="A15" t="s">
        <v>892</v>
      </c>
      <c r="B15" t="s">
        <v>895</v>
      </c>
      <c r="C15" t="s">
        <v>875</v>
      </c>
      <c r="D15" t="s">
        <v>876</v>
      </c>
    </row>
    <row r="16" spans="1:12">
      <c r="A16" t="s">
        <v>896</v>
      </c>
      <c r="B16" t="s">
        <v>897</v>
      </c>
      <c r="C16" t="s">
        <v>898</v>
      </c>
    </row>
    <row r="17" spans="1:4">
      <c r="A17" t="s">
        <v>896</v>
      </c>
      <c r="B17" t="s">
        <v>899</v>
      </c>
      <c r="C17" t="s">
        <v>875</v>
      </c>
      <c r="D17" t="s">
        <v>876</v>
      </c>
    </row>
    <row r="18" spans="1:4">
      <c r="A18" t="s">
        <v>896</v>
      </c>
      <c r="B18" t="s">
        <v>865</v>
      </c>
      <c r="C18" t="s">
        <v>866</v>
      </c>
      <c r="D18" t="s">
        <v>867</v>
      </c>
    </row>
    <row r="19" spans="1:4">
      <c r="A19" t="s">
        <v>7</v>
      </c>
      <c r="B19" t="s">
        <v>865</v>
      </c>
      <c r="C19" t="s">
        <v>866</v>
      </c>
      <c r="D19" t="s">
        <v>867</v>
      </c>
    </row>
    <row r="20" spans="1:4">
      <c r="A20" t="s">
        <v>7</v>
      </c>
      <c r="B20" t="s">
        <v>900</v>
      </c>
      <c r="C20" t="s">
        <v>875</v>
      </c>
      <c r="D20" t="s">
        <v>876</v>
      </c>
    </row>
    <row r="21" spans="1:4">
      <c r="A21" t="s">
        <v>901</v>
      </c>
      <c r="B21" t="s">
        <v>881</v>
      </c>
      <c r="C21" t="s">
        <v>902</v>
      </c>
      <c r="D21" t="s">
        <v>903</v>
      </c>
    </row>
    <row r="22" spans="1:4">
      <c r="A22" t="s">
        <v>901</v>
      </c>
      <c r="B22" t="s">
        <v>904</v>
      </c>
      <c r="C22" t="s">
        <v>875</v>
      </c>
      <c r="D22" t="s">
        <v>876</v>
      </c>
    </row>
    <row r="23" spans="1:4">
      <c r="A23" t="s">
        <v>905</v>
      </c>
      <c r="B23" t="s">
        <v>906</v>
      </c>
      <c r="C23" t="s">
        <v>907</v>
      </c>
      <c r="D23" t="s">
        <v>908</v>
      </c>
    </row>
    <row r="24" spans="1:4">
      <c r="A24" t="s">
        <v>909</v>
      </c>
      <c r="B24" t="s">
        <v>881</v>
      </c>
      <c r="C24" t="s">
        <v>910</v>
      </c>
      <c r="D24" t="s">
        <v>903</v>
      </c>
    </row>
    <row r="25" spans="1:4">
      <c r="A25" t="s">
        <v>909</v>
      </c>
      <c r="B25" t="s">
        <v>911</v>
      </c>
      <c r="C25" t="s">
        <v>912</v>
      </c>
      <c r="D25" t="s">
        <v>913</v>
      </c>
    </row>
    <row r="26" spans="1:4">
      <c r="A26" t="s">
        <v>914</v>
      </c>
      <c r="B26" t="s">
        <v>915</v>
      </c>
      <c r="C26" t="s">
        <v>916</v>
      </c>
      <c r="D26" t="s">
        <v>917</v>
      </c>
    </row>
    <row r="27" spans="1:4">
      <c r="A27" t="s">
        <v>914</v>
      </c>
      <c r="B27" t="s">
        <v>918</v>
      </c>
      <c r="C27" t="s">
        <v>919</v>
      </c>
      <c r="D27" t="s">
        <v>920</v>
      </c>
    </row>
    <row r="28" spans="1:4">
      <c r="A28" t="s">
        <v>914</v>
      </c>
      <c r="B28" t="s">
        <v>921</v>
      </c>
      <c r="C28" t="s">
        <v>922</v>
      </c>
      <c r="D28" t="s">
        <v>923</v>
      </c>
    </row>
    <row r="29" spans="1:4">
      <c r="A29" t="s">
        <v>9</v>
      </c>
      <c r="B29" t="s">
        <v>881</v>
      </c>
      <c r="C29" t="s">
        <v>924</v>
      </c>
      <c r="D29" t="s">
        <v>925</v>
      </c>
    </row>
    <row r="30" spans="1:4">
      <c r="A30" t="s">
        <v>926</v>
      </c>
      <c r="B30" t="s">
        <v>927</v>
      </c>
      <c r="C30" t="s">
        <v>928</v>
      </c>
      <c r="D30" t="s">
        <v>923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1CDA-8D54-477F-A17A-47A40F8966B3}">
  <dimension ref="A1:N369"/>
  <sheetViews>
    <sheetView workbookViewId="0"/>
  </sheetViews>
  <sheetFormatPr defaultRowHeight="15"/>
  <cols>
    <col min="1" max="1" width="9.42578125" bestFit="1" customWidth="1"/>
    <col min="2" max="2" width="24.5703125" bestFit="1" customWidth="1"/>
    <col min="3" max="3" width="15" bestFit="1" customWidth="1"/>
    <col min="4" max="4" width="7.85546875" bestFit="1" customWidth="1"/>
    <col min="5" max="5" width="16.42578125" bestFit="1" customWidth="1"/>
    <col min="6" max="6" width="31.85546875" bestFit="1" customWidth="1"/>
    <col min="7" max="7" width="23.42578125" bestFit="1" customWidth="1"/>
    <col min="8" max="8" width="14.140625" bestFit="1" customWidth="1"/>
    <col min="9" max="9" width="15.42578125" bestFit="1" customWidth="1"/>
    <col min="10" max="10" width="17.140625" bestFit="1" customWidth="1"/>
    <col min="11" max="11" width="13.7109375" bestFit="1" customWidth="1"/>
    <col min="12" max="12" width="10.42578125" bestFit="1" customWidth="1"/>
    <col min="13" max="13" width="17.140625" bestFit="1" customWidth="1"/>
    <col min="14" max="14" width="15" bestFit="1" customWidth="1"/>
  </cols>
  <sheetData>
    <row r="1" spans="1:14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70</v>
      </c>
      <c r="N1" t="s">
        <v>73</v>
      </c>
    </row>
    <row r="2" spans="1:14">
      <c r="A2" t="s">
        <v>74</v>
      </c>
      <c r="B2" t="s">
        <v>335</v>
      </c>
      <c r="C2" t="s">
        <v>336</v>
      </c>
      <c r="D2">
        <v>32</v>
      </c>
      <c r="E2" s="11">
        <v>34347</v>
      </c>
      <c r="F2" t="s">
        <v>274</v>
      </c>
      <c r="G2" t="s">
        <v>363</v>
      </c>
      <c r="H2">
        <v>15600</v>
      </c>
      <c r="I2">
        <v>0</v>
      </c>
      <c r="J2" t="s">
        <v>51</v>
      </c>
      <c r="K2">
        <v>34</v>
      </c>
      <c r="M2" t="s">
        <v>51</v>
      </c>
      <c r="N2">
        <v>16000</v>
      </c>
    </row>
    <row r="3" spans="1:14">
      <c r="A3" t="s">
        <v>78</v>
      </c>
      <c r="B3" t="s">
        <v>766</v>
      </c>
      <c r="C3">
        <v>36100</v>
      </c>
      <c r="D3">
        <v>24</v>
      </c>
      <c r="E3" s="11">
        <v>37313</v>
      </c>
      <c r="F3" t="s">
        <v>231</v>
      </c>
      <c r="G3" t="s">
        <v>232</v>
      </c>
      <c r="H3" t="s">
        <v>769</v>
      </c>
      <c r="I3">
        <v>76500</v>
      </c>
      <c r="J3" t="s">
        <v>51</v>
      </c>
      <c r="K3">
        <v>33</v>
      </c>
      <c r="M3" t="s">
        <v>51</v>
      </c>
      <c r="N3">
        <v>26000</v>
      </c>
    </row>
    <row r="4" spans="1:14">
      <c r="A4" t="s">
        <v>74</v>
      </c>
      <c r="B4" t="s">
        <v>121</v>
      </c>
      <c r="C4" t="s">
        <v>122</v>
      </c>
      <c r="D4">
        <v>33</v>
      </c>
      <c r="E4">
        <v>34144</v>
      </c>
      <c r="F4" t="s">
        <v>288</v>
      </c>
      <c r="G4" t="s">
        <v>447</v>
      </c>
      <c r="H4" t="s">
        <v>123</v>
      </c>
      <c r="I4" t="s">
        <v>83</v>
      </c>
      <c r="J4" t="s">
        <v>349</v>
      </c>
      <c r="K4">
        <v>22</v>
      </c>
      <c r="M4" t="s">
        <v>349</v>
      </c>
      <c r="N4">
        <v>51500</v>
      </c>
    </row>
    <row r="5" spans="1:14">
      <c r="A5" t="s">
        <v>74</v>
      </c>
      <c r="B5" t="s">
        <v>487</v>
      </c>
      <c r="C5" t="s">
        <v>488</v>
      </c>
      <c r="D5">
        <v>63</v>
      </c>
      <c r="E5">
        <v>23156</v>
      </c>
      <c r="F5" t="s">
        <v>277</v>
      </c>
      <c r="H5" t="s">
        <v>490</v>
      </c>
      <c r="I5">
        <v>8500</v>
      </c>
      <c r="J5" t="s">
        <v>349</v>
      </c>
      <c r="K5">
        <v>39</v>
      </c>
      <c r="M5" t="s">
        <v>349</v>
      </c>
      <c r="N5">
        <v>36500</v>
      </c>
    </row>
    <row r="6" spans="1:14">
      <c r="A6" t="s">
        <v>74</v>
      </c>
      <c r="B6" t="s">
        <v>443</v>
      </c>
      <c r="C6" t="s">
        <v>444</v>
      </c>
      <c r="D6">
        <v>32</v>
      </c>
      <c r="E6">
        <v>34299</v>
      </c>
      <c r="F6" t="s">
        <v>274</v>
      </c>
      <c r="G6" t="s">
        <v>748</v>
      </c>
      <c r="H6" s="12">
        <v>30000</v>
      </c>
      <c r="J6" t="s">
        <v>50</v>
      </c>
      <c r="K6">
        <v>5</v>
      </c>
      <c r="M6" t="s">
        <v>50</v>
      </c>
      <c r="N6">
        <v>65000</v>
      </c>
    </row>
    <row r="7" spans="1:14">
      <c r="A7" t="s">
        <v>74</v>
      </c>
      <c r="B7" t="s">
        <v>607</v>
      </c>
      <c r="C7" t="s">
        <v>608</v>
      </c>
      <c r="D7">
        <v>48</v>
      </c>
      <c r="E7">
        <v>28647</v>
      </c>
      <c r="F7" t="s">
        <v>239</v>
      </c>
      <c r="H7">
        <v>13200</v>
      </c>
      <c r="I7" t="s">
        <v>609</v>
      </c>
      <c r="J7" t="s">
        <v>50</v>
      </c>
      <c r="K7">
        <v>1</v>
      </c>
      <c r="M7" t="s">
        <v>50</v>
      </c>
      <c r="N7">
        <v>32500</v>
      </c>
    </row>
    <row r="8" spans="1:14">
      <c r="A8" t="s">
        <v>929</v>
      </c>
      <c r="B8" t="s">
        <v>185</v>
      </c>
      <c r="C8" t="s">
        <v>186</v>
      </c>
      <c r="D8">
        <v>28</v>
      </c>
      <c r="E8" s="11">
        <v>35830</v>
      </c>
      <c r="F8" t="s">
        <v>239</v>
      </c>
      <c r="G8" t="s">
        <v>303</v>
      </c>
      <c r="H8" t="s">
        <v>187</v>
      </c>
      <c r="I8" s="12">
        <v>19000</v>
      </c>
      <c r="J8" t="s">
        <v>51</v>
      </c>
      <c r="K8">
        <v>4</v>
      </c>
      <c r="M8" t="s">
        <v>51</v>
      </c>
      <c r="N8">
        <v>32500</v>
      </c>
    </row>
    <row r="9" spans="1:14">
      <c r="A9" t="s">
        <v>78</v>
      </c>
      <c r="B9" t="s">
        <v>930</v>
      </c>
      <c r="C9" t="s">
        <v>413</v>
      </c>
      <c r="D9">
        <v>42</v>
      </c>
      <c r="E9" s="11">
        <v>30810</v>
      </c>
      <c r="F9" t="s">
        <v>101</v>
      </c>
      <c r="G9" t="s">
        <v>102</v>
      </c>
      <c r="H9" t="s">
        <v>854</v>
      </c>
      <c r="I9" t="s">
        <v>855</v>
      </c>
      <c r="J9" t="s">
        <v>50</v>
      </c>
      <c r="K9">
        <v>19</v>
      </c>
      <c r="M9" t="s">
        <v>50</v>
      </c>
      <c r="N9">
        <v>63500</v>
      </c>
    </row>
    <row r="10" spans="1:14">
      <c r="A10" t="s">
        <v>74</v>
      </c>
      <c r="B10" t="s">
        <v>565</v>
      </c>
      <c r="C10" t="s">
        <v>566</v>
      </c>
      <c r="D10">
        <v>34</v>
      </c>
      <c r="E10" s="11">
        <v>33624</v>
      </c>
      <c r="F10" t="s">
        <v>101</v>
      </c>
      <c r="G10" t="s">
        <v>931</v>
      </c>
      <c r="H10">
        <v>8000</v>
      </c>
      <c r="I10" s="13">
        <v>14500</v>
      </c>
      <c r="J10" t="s">
        <v>51</v>
      </c>
      <c r="K10">
        <v>9</v>
      </c>
      <c r="M10" t="s">
        <v>51</v>
      </c>
      <c r="N10">
        <v>17500</v>
      </c>
    </row>
    <row r="11" spans="1:14">
      <c r="A11" t="s">
        <v>78</v>
      </c>
      <c r="B11" t="s">
        <v>843</v>
      </c>
      <c r="C11" t="s">
        <v>346</v>
      </c>
      <c r="D11">
        <v>61</v>
      </c>
      <c r="E11" s="11">
        <v>23667</v>
      </c>
      <c r="F11" t="s">
        <v>156</v>
      </c>
      <c r="G11" t="s">
        <v>116</v>
      </c>
      <c r="H11" t="s">
        <v>715</v>
      </c>
      <c r="I11">
        <v>44500</v>
      </c>
      <c r="J11" t="s">
        <v>51</v>
      </c>
      <c r="K11">
        <v>32</v>
      </c>
      <c r="M11" t="s">
        <v>51</v>
      </c>
      <c r="N11">
        <v>2000</v>
      </c>
    </row>
    <row r="12" spans="1:14">
      <c r="A12" t="s">
        <v>74</v>
      </c>
      <c r="B12" t="s">
        <v>800</v>
      </c>
      <c r="C12" t="s">
        <v>373</v>
      </c>
      <c r="D12">
        <v>33</v>
      </c>
      <c r="E12">
        <v>34147</v>
      </c>
      <c r="F12" t="s">
        <v>156</v>
      </c>
      <c r="G12" t="s">
        <v>116</v>
      </c>
      <c r="H12">
        <v>28700</v>
      </c>
      <c r="I12">
        <v>12500</v>
      </c>
      <c r="J12" t="s">
        <v>50</v>
      </c>
      <c r="K12">
        <v>41</v>
      </c>
      <c r="M12" t="s">
        <v>50</v>
      </c>
      <c r="N12">
        <v>99500</v>
      </c>
    </row>
    <row r="13" spans="1:14">
      <c r="A13" t="s">
        <v>74</v>
      </c>
      <c r="B13" t="s">
        <v>932</v>
      </c>
      <c r="C13">
        <v>35800</v>
      </c>
      <c r="D13">
        <v>70</v>
      </c>
      <c r="E13">
        <v>20515</v>
      </c>
      <c r="F13" t="s">
        <v>115</v>
      </c>
      <c r="G13" t="s">
        <v>116</v>
      </c>
      <c r="H13" t="s">
        <v>249</v>
      </c>
      <c r="I13">
        <v>62000</v>
      </c>
      <c r="J13" t="s">
        <v>51</v>
      </c>
      <c r="K13">
        <v>45</v>
      </c>
      <c r="M13" t="s">
        <v>51</v>
      </c>
      <c r="N13">
        <v>35500</v>
      </c>
    </row>
    <row r="14" spans="1:14">
      <c r="A14" t="s">
        <v>74</v>
      </c>
      <c r="B14" t="s">
        <v>700</v>
      </c>
      <c r="C14" t="s">
        <v>701</v>
      </c>
      <c r="D14">
        <v>54</v>
      </c>
      <c r="E14" s="11">
        <v>26382</v>
      </c>
      <c r="F14" t="s">
        <v>231</v>
      </c>
      <c r="G14" t="s">
        <v>232</v>
      </c>
      <c r="H14">
        <v>22100</v>
      </c>
      <c r="I14">
        <v>37000</v>
      </c>
      <c r="J14" t="s">
        <v>50</v>
      </c>
      <c r="K14">
        <v>34</v>
      </c>
      <c r="M14" t="s">
        <v>50</v>
      </c>
      <c r="N14">
        <v>87000</v>
      </c>
    </row>
    <row r="15" spans="1:14">
      <c r="A15" t="s">
        <v>74</v>
      </c>
      <c r="B15" t="s">
        <v>128</v>
      </c>
      <c r="C15">
        <v>8600</v>
      </c>
      <c r="E15">
        <v>32260</v>
      </c>
      <c r="F15" t="s">
        <v>101</v>
      </c>
      <c r="G15" t="s">
        <v>130</v>
      </c>
      <c r="H15" t="s">
        <v>131</v>
      </c>
      <c r="I15">
        <v>0</v>
      </c>
      <c r="J15" t="s">
        <v>51</v>
      </c>
      <c r="K15">
        <v>31</v>
      </c>
      <c r="M15" t="s">
        <v>51</v>
      </c>
      <c r="N15">
        <v>47500</v>
      </c>
    </row>
    <row r="16" spans="1:14">
      <c r="A16" t="s">
        <v>78</v>
      </c>
      <c r="B16" t="s">
        <v>602</v>
      </c>
      <c r="C16">
        <v>200</v>
      </c>
      <c r="D16">
        <v>55</v>
      </c>
      <c r="E16">
        <v>25892</v>
      </c>
      <c r="F16" t="s">
        <v>231</v>
      </c>
      <c r="G16" t="s">
        <v>629</v>
      </c>
      <c r="H16">
        <v>5300</v>
      </c>
      <c r="I16" s="13">
        <v>6500</v>
      </c>
      <c r="J16" t="s">
        <v>50</v>
      </c>
      <c r="K16">
        <v>42</v>
      </c>
      <c r="M16" t="s">
        <v>50</v>
      </c>
      <c r="N16">
        <v>96000</v>
      </c>
    </row>
    <row r="17" spans="1:14">
      <c r="A17" t="s">
        <v>78</v>
      </c>
      <c r="B17" t="s">
        <v>432</v>
      </c>
      <c r="C17" t="s">
        <v>433</v>
      </c>
      <c r="D17">
        <v>47</v>
      </c>
      <c r="E17">
        <v>29064</v>
      </c>
      <c r="F17" t="s">
        <v>86</v>
      </c>
      <c r="G17" t="s">
        <v>87</v>
      </c>
      <c r="H17">
        <v>13300</v>
      </c>
      <c r="I17">
        <v>1000</v>
      </c>
      <c r="J17" t="s">
        <v>51</v>
      </c>
      <c r="K17">
        <v>24</v>
      </c>
      <c r="M17" t="s">
        <v>51</v>
      </c>
      <c r="N17">
        <v>61500</v>
      </c>
    </row>
    <row r="18" spans="1:14">
      <c r="A18" t="s">
        <v>78</v>
      </c>
      <c r="B18" t="s">
        <v>305</v>
      </c>
      <c r="C18">
        <v>31800</v>
      </c>
      <c r="D18">
        <v>43</v>
      </c>
      <c r="E18">
        <v>30391</v>
      </c>
      <c r="F18" t="s">
        <v>219</v>
      </c>
      <c r="G18" t="s">
        <v>164</v>
      </c>
      <c r="H18">
        <v>7100</v>
      </c>
      <c r="I18" t="s">
        <v>307</v>
      </c>
      <c r="J18" t="s">
        <v>50</v>
      </c>
      <c r="K18">
        <v>23</v>
      </c>
      <c r="M18" t="s">
        <v>50</v>
      </c>
      <c r="N18">
        <v>67000</v>
      </c>
    </row>
    <row r="19" spans="1:14">
      <c r="A19" t="s">
        <v>74</v>
      </c>
      <c r="B19" t="s">
        <v>640</v>
      </c>
      <c r="C19" t="s">
        <v>468</v>
      </c>
      <c r="D19">
        <v>32</v>
      </c>
      <c r="E19" s="11">
        <v>34457</v>
      </c>
      <c r="F19" t="s">
        <v>86</v>
      </c>
      <c r="G19" t="s">
        <v>358</v>
      </c>
      <c r="H19" s="13">
        <v>21300</v>
      </c>
      <c r="I19" s="12">
        <v>48000</v>
      </c>
      <c r="J19" t="s">
        <v>50</v>
      </c>
      <c r="K19">
        <v>11</v>
      </c>
      <c r="M19" t="s">
        <v>50</v>
      </c>
      <c r="N19">
        <v>35000</v>
      </c>
    </row>
    <row r="20" spans="1:14">
      <c r="A20" t="s">
        <v>74</v>
      </c>
      <c r="B20" t="s">
        <v>634</v>
      </c>
      <c r="C20">
        <v>22300</v>
      </c>
      <c r="D20">
        <v>25</v>
      </c>
      <c r="E20" s="11">
        <v>36831</v>
      </c>
      <c r="F20" t="s">
        <v>223</v>
      </c>
      <c r="G20" t="s">
        <v>82</v>
      </c>
      <c r="H20" s="13">
        <v>9400</v>
      </c>
      <c r="I20">
        <v>51500</v>
      </c>
      <c r="J20" t="s">
        <v>50</v>
      </c>
      <c r="K20">
        <v>14</v>
      </c>
      <c r="M20" t="s">
        <v>50</v>
      </c>
      <c r="N20">
        <v>29500</v>
      </c>
    </row>
    <row r="21" spans="1:14">
      <c r="A21" t="s">
        <v>74</v>
      </c>
      <c r="B21" t="s">
        <v>356</v>
      </c>
      <c r="C21" t="s">
        <v>357</v>
      </c>
      <c r="D21">
        <v>23</v>
      </c>
      <c r="E21">
        <v>37627</v>
      </c>
      <c r="F21" t="s">
        <v>86</v>
      </c>
      <c r="G21" t="s">
        <v>358</v>
      </c>
      <c r="I21">
        <v>69000</v>
      </c>
      <c r="J21" t="s">
        <v>50</v>
      </c>
      <c r="K21">
        <v>20</v>
      </c>
      <c r="M21" t="s">
        <v>50</v>
      </c>
      <c r="N21">
        <v>69000</v>
      </c>
    </row>
    <row r="22" spans="1:14">
      <c r="A22" t="s">
        <v>78</v>
      </c>
      <c r="B22" t="s">
        <v>582</v>
      </c>
      <c r="C22" t="s">
        <v>583</v>
      </c>
      <c r="D22">
        <v>53</v>
      </c>
      <c r="E22" s="11">
        <v>26629</v>
      </c>
      <c r="F22" t="s">
        <v>246</v>
      </c>
      <c r="G22" t="s">
        <v>220</v>
      </c>
      <c r="H22" s="13">
        <v>16500</v>
      </c>
      <c r="I22" s="12">
        <v>4000</v>
      </c>
      <c r="J22" t="s">
        <v>50</v>
      </c>
      <c r="K22">
        <v>14</v>
      </c>
      <c r="M22" t="s">
        <v>50</v>
      </c>
      <c r="N22">
        <v>36000</v>
      </c>
    </row>
    <row r="23" spans="1:14">
      <c r="A23" t="s">
        <v>74</v>
      </c>
      <c r="B23" t="s">
        <v>716</v>
      </c>
      <c r="C23" t="s">
        <v>619</v>
      </c>
      <c r="E23">
        <v>21378</v>
      </c>
      <c r="F23" t="s">
        <v>156</v>
      </c>
      <c r="H23">
        <v>14300</v>
      </c>
      <c r="I23">
        <v>32500</v>
      </c>
      <c r="J23" t="s">
        <v>51</v>
      </c>
      <c r="K23">
        <v>15</v>
      </c>
      <c r="M23" t="s">
        <v>51</v>
      </c>
      <c r="N23">
        <v>8000</v>
      </c>
    </row>
    <row r="24" spans="1:14">
      <c r="A24" t="s">
        <v>78</v>
      </c>
      <c r="B24" t="s">
        <v>933</v>
      </c>
      <c r="C24" t="s">
        <v>524</v>
      </c>
      <c r="D24">
        <v>33</v>
      </c>
      <c r="E24" s="11">
        <v>34082</v>
      </c>
      <c r="F24" t="s">
        <v>156</v>
      </c>
      <c r="G24" t="s">
        <v>116</v>
      </c>
      <c r="H24">
        <v>23600</v>
      </c>
      <c r="I24" s="13">
        <v>75500</v>
      </c>
      <c r="J24" t="s">
        <v>50</v>
      </c>
      <c r="K24">
        <v>16</v>
      </c>
      <c r="M24" t="s">
        <v>50</v>
      </c>
      <c r="N24">
        <v>88000</v>
      </c>
    </row>
    <row r="25" spans="1:14">
      <c r="A25" t="s">
        <v>74</v>
      </c>
      <c r="B25" t="s">
        <v>520</v>
      </c>
      <c r="C25" t="s">
        <v>521</v>
      </c>
      <c r="D25">
        <v>68</v>
      </c>
      <c r="E25">
        <v>21145</v>
      </c>
      <c r="F25" t="s">
        <v>215</v>
      </c>
      <c r="G25" t="s">
        <v>164</v>
      </c>
      <c r="H25">
        <v>29000</v>
      </c>
      <c r="I25">
        <v>67500</v>
      </c>
      <c r="J25" t="s">
        <v>50</v>
      </c>
      <c r="K25">
        <v>25</v>
      </c>
      <c r="M25" t="s">
        <v>50</v>
      </c>
      <c r="N25">
        <v>18000</v>
      </c>
    </row>
    <row r="26" spans="1:14">
      <c r="A26" t="s">
        <v>78</v>
      </c>
      <c r="B26" t="s">
        <v>494</v>
      </c>
      <c r="C26" t="s">
        <v>495</v>
      </c>
      <c r="D26">
        <v>62</v>
      </c>
      <c r="E26" s="11">
        <v>23259</v>
      </c>
      <c r="F26" t="s">
        <v>288</v>
      </c>
      <c r="G26" t="s">
        <v>934</v>
      </c>
      <c r="I26">
        <v>0</v>
      </c>
      <c r="J26" t="s">
        <v>51</v>
      </c>
      <c r="K26" t="s">
        <v>935</v>
      </c>
      <c r="M26" t="s">
        <v>51</v>
      </c>
      <c r="N26">
        <v>12000</v>
      </c>
    </row>
    <row r="27" spans="1:14">
      <c r="A27" t="s">
        <v>74</v>
      </c>
      <c r="B27" t="s">
        <v>516</v>
      </c>
      <c r="C27" t="s">
        <v>517</v>
      </c>
      <c r="D27">
        <v>58</v>
      </c>
      <c r="E27">
        <v>24911</v>
      </c>
      <c r="F27" t="s">
        <v>252</v>
      </c>
      <c r="G27" t="s">
        <v>87</v>
      </c>
      <c r="H27" s="12">
        <v>25400</v>
      </c>
      <c r="I27">
        <v>70500</v>
      </c>
      <c r="J27" t="s">
        <v>51</v>
      </c>
      <c r="K27">
        <v>11</v>
      </c>
      <c r="M27" t="s">
        <v>51</v>
      </c>
      <c r="N27">
        <v>47000</v>
      </c>
    </row>
    <row r="28" spans="1:14">
      <c r="A28" t="s">
        <v>74</v>
      </c>
      <c r="B28" t="s">
        <v>443</v>
      </c>
      <c r="C28">
        <v>34300</v>
      </c>
      <c r="D28">
        <v>48</v>
      </c>
      <c r="E28" s="11">
        <v>28408</v>
      </c>
      <c r="F28" t="s">
        <v>280</v>
      </c>
      <c r="H28" s="13">
        <v>13300</v>
      </c>
      <c r="I28">
        <v>42000</v>
      </c>
      <c r="J28" t="s">
        <v>51</v>
      </c>
      <c r="K28">
        <v>27</v>
      </c>
      <c r="M28" t="s">
        <v>51</v>
      </c>
      <c r="N28">
        <v>40000</v>
      </c>
    </row>
    <row r="29" spans="1:14">
      <c r="A29" t="s">
        <v>74</v>
      </c>
      <c r="B29" t="s">
        <v>936</v>
      </c>
      <c r="C29" t="s">
        <v>535</v>
      </c>
      <c r="D29">
        <v>29</v>
      </c>
      <c r="E29">
        <v>35323</v>
      </c>
      <c r="F29" t="s">
        <v>243</v>
      </c>
      <c r="G29" t="s">
        <v>82</v>
      </c>
      <c r="H29">
        <v>21200</v>
      </c>
      <c r="I29">
        <v>75000</v>
      </c>
      <c r="J29" t="s">
        <v>50</v>
      </c>
      <c r="K29">
        <v>6</v>
      </c>
      <c r="M29" t="s">
        <v>50</v>
      </c>
      <c r="N29">
        <v>63500</v>
      </c>
    </row>
    <row r="30" spans="1:14">
      <c r="A30" t="s">
        <v>937</v>
      </c>
      <c r="B30" t="s">
        <v>250</v>
      </c>
      <c r="C30" t="s">
        <v>251</v>
      </c>
      <c r="D30">
        <v>38</v>
      </c>
      <c r="E30">
        <v>32166</v>
      </c>
      <c r="F30" t="s">
        <v>219</v>
      </c>
      <c r="G30" t="s">
        <v>743</v>
      </c>
      <c r="H30" t="s">
        <v>249</v>
      </c>
      <c r="I30">
        <v>39000</v>
      </c>
      <c r="J30" t="s">
        <v>50</v>
      </c>
      <c r="K30">
        <v>25</v>
      </c>
      <c r="M30" t="s">
        <v>50</v>
      </c>
      <c r="N30">
        <v>88500</v>
      </c>
    </row>
    <row r="31" spans="1:14">
      <c r="A31" t="s">
        <v>78</v>
      </c>
      <c r="B31" t="s">
        <v>188</v>
      </c>
      <c r="C31" t="s">
        <v>189</v>
      </c>
      <c r="D31">
        <v>68</v>
      </c>
      <c r="E31">
        <v>21293</v>
      </c>
      <c r="F31" t="s">
        <v>101</v>
      </c>
      <c r="G31" t="s">
        <v>130</v>
      </c>
      <c r="H31">
        <v>3800</v>
      </c>
      <c r="I31">
        <v>70000</v>
      </c>
      <c r="J31" t="s">
        <v>51</v>
      </c>
      <c r="K31">
        <v>34</v>
      </c>
      <c r="M31" t="s">
        <v>51</v>
      </c>
      <c r="N31">
        <v>7500</v>
      </c>
    </row>
    <row r="32" spans="1:14">
      <c r="A32" t="s">
        <v>74</v>
      </c>
      <c r="B32" t="s">
        <v>686</v>
      </c>
      <c r="C32" t="s">
        <v>687</v>
      </c>
      <c r="D32">
        <v>19</v>
      </c>
      <c r="E32" s="11">
        <v>39220</v>
      </c>
      <c r="F32" t="s">
        <v>223</v>
      </c>
      <c r="G32" t="s">
        <v>82</v>
      </c>
      <c r="H32">
        <v>18000</v>
      </c>
      <c r="I32">
        <v>50500</v>
      </c>
      <c r="J32" t="s">
        <v>412</v>
      </c>
      <c r="K32">
        <v>11</v>
      </c>
      <c r="M32" t="s">
        <v>412</v>
      </c>
      <c r="N32">
        <v>26000</v>
      </c>
    </row>
    <row r="33" spans="1:14">
      <c r="A33" t="s">
        <v>74</v>
      </c>
      <c r="B33" t="s">
        <v>735</v>
      </c>
      <c r="C33">
        <v>15400</v>
      </c>
      <c r="D33">
        <v>42</v>
      </c>
      <c r="E33">
        <v>30642</v>
      </c>
      <c r="F33" t="s">
        <v>226</v>
      </c>
      <c r="G33" t="s">
        <v>226</v>
      </c>
      <c r="H33" t="s">
        <v>160</v>
      </c>
      <c r="I33">
        <v>19500</v>
      </c>
      <c r="J33" t="s">
        <v>50</v>
      </c>
      <c r="K33">
        <v>42</v>
      </c>
      <c r="M33" t="s">
        <v>50</v>
      </c>
      <c r="N33">
        <v>89500</v>
      </c>
    </row>
    <row r="34" spans="1:14">
      <c r="A34" t="s">
        <v>74</v>
      </c>
      <c r="B34" t="s">
        <v>425</v>
      </c>
      <c r="C34" t="s">
        <v>426</v>
      </c>
      <c r="D34">
        <v>27</v>
      </c>
      <c r="E34">
        <v>36319</v>
      </c>
      <c r="F34" t="s">
        <v>231</v>
      </c>
      <c r="G34" t="s">
        <v>441</v>
      </c>
      <c r="H34">
        <v>28800</v>
      </c>
      <c r="I34" s="13">
        <v>78500</v>
      </c>
      <c r="J34" t="s">
        <v>50</v>
      </c>
      <c r="K34">
        <v>2</v>
      </c>
      <c r="M34" t="s">
        <v>50</v>
      </c>
      <c r="N34">
        <v>53000</v>
      </c>
    </row>
    <row r="35" spans="1:14">
      <c r="A35" t="s">
        <v>74</v>
      </c>
      <c r="B35" t="s">
        <v>171</v>
      </c>
      <c r="C35" t="s">
        <v>172</v>
      </c>
      <c r="D35">
        <v>42</v>
      </c>
      <c r="E35">
        <v>30878</v>
      </c>
      <c r="F35" t="s">
        <v>101</v>
      </c>
      <c r="G35" t="s">
        <v>130</v>
      </c>
      <c r="H35">
        <v>17500</v>
      </c>
      <c r="I35">
        <v>3500</v>
      </c>
      <c r="J35" t="s">
        <v>255</v>
      </c>
      <c r="K35">
        <v>25</v>
      </c>
      <c r="M35" t="s">
        <v>255</v>
      </c>
      <c r="N35">
        <v>35000</v>
      </c>
    </row>
    <row r="36" spans="1:14">
      <c r="A36" t="s">
        <v>74</v>
      </c>
      <c r="B36" t="s">
        <v>938</v>
      </c>
      <c r="C36" t="s">
        <v>196</v>
      </c>
      <c r="D36">
        <v>44</v>
      </c>
      <c r="E36">
        <v>29975</v>
      </c>
      <c r="F36" t="s">
        <v>239</v>
      </c>
      <c r="G36" t="s">
        <v>939</v>
      </c>
      <c r="H36">
        <v>5300</v>
      </c>
      <c r="I36">
        <v>6000</v>
      </c>
      <c r="J36" t="s">
        <v>51</v>
      </c>
      <c r="K36">
        <v>1</v>
      </c>
      <c r="M36" t="s">
        <v>51</v>
      </c>
      <c r="N36">
        <v>4500</v>
      </c>
    </row>
    <row r="37" spans="1:14">
      <c r="A37" t="s">
        <v>74</v>
      </c>
      <c r="B37" t="s">
        <v>751</v>
      </c>
      <c r="C37" t="s">
        <v>650</v>
      </c>
      <c r="D37">
        <v>40</v>
      </c>
      <c r="E37" s="11">
        <v>31539</v>
      </c>
      <c r="F37" t="s">
        <v>215</v>
      </c>
      <c r="G37" t="s">
        <v>164</v>
      </c>
      <c r="H37">
        <v>9900</v>
      </c>
      <c r="I37">
        <v>3500</v>
      </c>
      <c r="J37" t="s">
        <v>50</v>
      </c>
      <c r="K37">
        <v>1</v>
      </c>
      <c r="M37" t="s">
        <v>50</v>
      </c>
      <c r="N37">
        <v>23500</v>
      </c>
    </row>
    <row r="38" spans="1:14">
      <c r="A38" t="s">
        <v>74</v>
      </c>
      <c r="B38" t="s">
        <v>647</v>
      </c>
      <c r="C38" t="s">
        <v>310</v>
      </c>
      <c r="D38">
        <v>65</v>
      </c>
      <c r="E38" s="11">
        <v>22236</v>
      </c>
      <c r="F38" t="s">
        <v>101</v>
      </c>
      <c r="G38" t="s">
        <v>102</v>
      </c>
      <c r="H38" t="s">
        <v>648</v>
      </c>
      <c r="I38">
        <v>28000</v>
      </c>
      <c r="J38" t="s">
        <v>50</v>
      </c>
      <c r="K38">
        <v>34</v>
      </c>
      <c r="M38" t="s">
        <v>50</v>
      </c>
      <c r="N38">
        <v>74000</v>
      </c>
    </row>
    <row r="39" spans="1:14">
      <c r="B39" t="s">
        <v>940</v>
      </c>
      <c r="C39" t="s">
        <v>550</v>
      </c>
      <c r="D39">
        <v>63</v>
      </c>
      <c r="E39">
        <v>22974</v>
      </c>
      <c r="F39" t="s">
        <v>226</v>
      </c>
      <c r="G39" t="s">
        <v>941</v>
      </c>
      <c r="H39" s="12">
        <v>14700</v>
      </c>
      <c r="I39">
        <v>0</v>
      </c>
      <c r="J39" t="s">
        <v>412</v>
      </c>
      <c r="K39">
        <v>40</v>
      </c>
      <c r="M39" t="s">
        <v>412</v>
      </c>
      <c r="N39">
        <v>83500</v>
      </c>
    </row>
    <row r="40" spans="1:14">
      <c r="A40" t="s">
        <v>74</v>
      </c>
      <c r="B40" t="s">
        <v>942</v>
      </c>
      <c r="C40" t="s">
        <v>578</v>
      </c>
      <c r="D40">
        <v>22</v>
      </c>
      <c r="F40" t="s">
        <v>156</v>
      </c>
      <c r="G40" t="s">
        <v>116</v>
      </c>
      <c r="H40">
        <v>14400</v>
      </c>
      <c r="I40">
        <v>0</v>
      </c>
      <c r="J40" t="s">
        <v>50</v>
      </c>
      <c r="K40" t="s">
        <v>943</v>
      </c>
      <c r="M40" t="s">
        <v>50</v>
      </c>
      <c r="N40">
        <v>33500</v>
      </c>
    </row>
    <row r="41" spans="1:14">
      <c r="A41" t="s">
        <v>929</v>
      </c>
      <c r="B41" t="s">
        <v>641</v>
      </c>
      <c r="C41" t="s">
        <v>390</v>
      </c>
      <c r="D41">
        <v>39</v>
      </c>
      <c r="E41">
        <v>31879</v>
      </c>
      <c r="F41" t="s">
        <v>223</v>
      </c>
      <c r="G41" t="s">
        <v>82</v>
      </c>
      <c r="H41" t="s">
        <v>642</v>
      </c>
      <c r="I41">
        <v>0</v>
      </c>
      <c r="J41" t="s">
        <v>50</v>
      </c>
      <c r="K41">
        <v>39</v>
      </c>
      <c r="M41" t="s">
        <v>50</v>
      </c>
      <c r="N41">
        <v>75000</v>
      </c>
    </row>
    <row r="42" spans="1:14">
      <c r="A42" t="s">
        <v>74</v>
      </c>
      <c r="B42" t="s">
        <v>561</v>
      </c>
      <c r="C42" t="s">
        <v>562</v>
      </c>
      <c r="D42">
        <v>63</v>
      </c>
      <c r="E42">
        <v>23231</v>
      </c>
      <c r="F42" t="s">
        <v>280</v>
      </c>
      <c r="G42" t="s">
        <v>164</v>
      </c>
      <c r="H42">
        <v>16800</v>
      </c>
      <c r="I42">
        <v>0</v>
      </c>
      <c r="K42">
        <v>32</v>
      </c>
      <c r="N42">
        <v>61500</v>
      </c>
    </row>
    <row r="43" spans="1:14">
      <c r="A43" t="s">
        <v>74</v>
      </c>
      <c r="B43" t="s">
        <v>291</v>
      </c>
      <c r="C43" t="s">
        <v>292</v>
      </c>
      <c r="D43">
        <v>54</v>
      </c>
      <c r="E43" s="11">
        <v>26213</v>
      </c>
      <c r="F43" t="s">
        <v>223</v>
      </c>
      <c r="G43" t="s">
        <v>944</v>
      </c>
      <c r="H43">
        <v>29700</v>
      </c>
      <c r="I43">
        <v>34000</v>
      </c>
      <c r="J43" t="s">
        <v>50</v>
      </c>
      <c r="K43">
        <v>35</v>
      </c>
      <c r="M43" t="s">
        <v>50</v>
      </c>
      <c r="N43">
        <v>35000</v>
      </c>
    </row>
    <row r="44" spans="1:14">
      <c r="A44" t="s">
        <v>74</v>
      </c>
      <c r="B44" t="s">
        <v>185</v>
      </c>
      <c r="C44" t="s">
        <v>945</v>
      </c>
      <c r="D44">
        <v>29</v>
      </c>
      <c r="E44">
        <v>35472</v>
      </c>
      <c r="F44" t="s">
        <v>212</v>
      </c>
      <c r="H44">
        <v>11900</v>
      </c>
      <c r="I44">
        <v>65000</v>
      </c>
      <c r="J44" t="s">
        <v>51</v>
      </c>
      <c r="K44">
        <v>29</v>
      </c>
      <c r="M44" t="s">
        <v>51</v>
      </c>
      <c r="N44">
        <v>12000</v>
      </c>
    </row>
    <row r="45" spans="1:14">
      <c r="A45" t="s">
        <v>74</v>
      </c>
      <c r="B45" t="s">
        <v>500</v>
      </c>
      <c r="C45">
        <v>16500</v>
      </c>
      <c r="D45">
        <v>37</v>
      </c>
      <c r="E45">
        <v>32513</v>
      </c>
      <c r="F45" t="s">
        <v>317</v>
      </c>
      <c r="G45" t="s">
        <v>946</v>
      </c>
      <c r="H45" s="12">
        <v>2600</v>
      </c>
      <c r="I45" t="s">
        <v>83</v>
      </c>
      <c r="J45" t="s">
        <v>50</v>
      </c>
      <c r="K45">
        <v>5</v>
      </c>
      <c r="M45" t="s">
        <v>50</v>
      </c>
      <c r="N45">
        <v>16500</v>
      </c>
    </row>
    <row r="46" spans="1:14">
      <c r="A46" t="s">
        <v>74</v>
      </c>
      <c r="B46" t="s">
        <v>551</v>
      </c>
      <c r="C46">
        <v>15100</v>
      </c>
      <c r="D46">
        <v>25</v>
      </c>
      <c r="E46" s="11">
        <v>37125</v>
      </c>
      <c r="F46" t="s">
        <v>226</v>
      </c>
      <c r="G46" t="s">
        <v>226</v>
      </c>
      <c r="H46">
        <v>2500</v>
      </c>
      <c r="I46">
        <v>72500</v>
      </c>
      <c r="J46" t="s">
        <v>50</v>
      </c>
      <c r="K46">
        <v>32</v>
      </c>
      <c r="M46" t="s">
        <v>50</v>
      </c>
      <c r="N46">
        <v>97000</v>
      </c>
    </row>
    <row r="47" spans="1:14">
      <c r="A47" t="s">
        <v>74</v>
      </c>
      <c r="B47" t="s">
        <v>108</v>
      </c>
      <c r="C47" t="s">
        <v>109</v>
      </c>
      <c r="D47">
        <v>21</v>
      </c>
      <c r="E47">
        <v>38323</v>
      </c>
      <c r="F47" t="s">
        <v>86</v>
      </c>
      <c r="G47" t="s">
        <v>87</v>
      </c>
      <c r="H47" t="s">
        <v>110</v>
      </c>
      <c r="I47">
        <v>0</v>
      </c>
      <c r="J47" t="s">
        <v>50</v>
      </c>
      <c r="K47">
        <v>25</v>
      </c>
      <c r="M47" t="s">
        <v>50</v>
      </c>
      <c r="N47">
        <v>50000</v>
      </c>
    </row>
    <row r="48" spans="1:14">
      <c r="A48" t="s">
        <v>74</v>
      </c>
      <c r="B48" t="s">
        <v>947</v>
      </c>
      <c r="C48" t="s">
        <v>659</v>
      </c>
      <c r="D48">
        <v>28</v>
      </c>
      <c r="E48" s="11">
        <v>35887</v>
      </c>
      <c r="F48" t="s">
        <v>150</v>
      </c>
      <c r="G48" t="s">
        <v>447</v>
      </c>
      <c r="H48" t="s">
        <v>829</v>
      </c>
      <c r="I48">
        <v>51000</v>
      </c>
      <c r="J48" t="s">
        <v>255</v>
      </c>
      <c r="K48">
        <v>12</v>
      </c>
      <c r="M48" t="s">
        <v>255</v>
      </c>
      <c r="N48">
        <v>72500</v>
      </c>
    </row>
    <row r="49" spans="1:14">
      <c r="A49" t="s">
        <v>74</v>
      </c>
      <c r="B49" t="s">
        <v>190</v>
      </c>
      <c r="C49">
        <v>10800</v>
      </c>
      <c r="D49">
        <v>39</v>
      </c>
      <c r="E49" s="11">
        <v>31766</v>
      </c>
      <c r="F49" t="s">
        <v>223</v>
      </c>
      <c r="G49" t="s">
        <v>946</v>
      </c>
      <c r="H49">
        <v>24700</v>
      </c>
      <c r="I49" t="s">
        <v>192</v>
      </c>
      <c r="J49" t="s">
        <v>50</v>
      </c>
      <c r="K49">
        <v>43</v>
      </c>
      <c r="M49" t="s">
        <v>50</v>
      </c>
      <c r="N49">
        <v>57000</v>
      </c>
    </row>
    <row r="50" spans="1:14">
      <c r="A50" t="s">
        <v>74</v>
      </c>
      <c r="B50" t="s">
        <v>695</v>
      </c>
      <c r="C50">
        <v>15000</v>
      </c>
      <c r="D50">
        <v>73</v>
      </c>
      <c r="E50">
        <v>19588</v>
      </c>
      <c r="F50" t="s">
        <v>215</v>
      </c>
      <c r="G50" t="s">
        <v>164</v>
      </c>
      <c r="H50" s="13">
        <v>28600</v>
      </c>
      <c r="I50">
        <v>40500</v>
      </c>
      <c r="J50" t="s">
        <v>50</v>
      </c>
      <c r="K50">
        <v>20</v>
      </c>
      <c r="M50" t="s">
        <v>50</v>
      </c>
      <c r="N50">
        <v>2500</v>
      </c>
    </row>
    <row r="51" spans="1:14">
      <c r="A51" t="s">
        <v>74</v>
      </c>
      <c r="B51" t="s">
        <v>803</v>
      </c>
      <c r="C51" t="s">
        <v>752</v>
      </c>
      <c r="D51">
        <v>42</v>
      </c>
      <c r="E51" s="11">
        <v>30662</v>
      </c>
      <c r="F51" t="s">
        <v>219</v>
      </c>
      <c r="G51" t="s">
        <v>220</v>
      </c>
      <c r="H51">
        <v>20400</v>
      </c>
      <c r="I51">
        <v>0</v>
      </c>
      <c r="J51" t="s">
        <v>255</v>
      </c>
      <c r="K51">
        <v>0</v>
      </c>
      <c r="M51" t="s">
        <v>255</v>
      </c>
      <c r="N51">
        <v>81000</v>
      </c>
    </row>
    <row r="52" spans="1:14">
      <c r="A52" t="s">
        <v>74</v>
      </c>
      <c r="B52" t="s">
        <v>151</v>
      </c>
      <c r="C52" t="s">
        <v>152</v>
      </c>
      <c r="D52">
        <v>48</v>
      </c>
      <c r="E52" s="11">
        <v>28430</v>
      </c>
      <c r="F52" t="s">
        <v>101</v>
      </c>
      <c r="G52" t="s">
        <v>102</v>
      </c>
      <c r="H52" t="s">
        <v>153</v>
      </c>
      <c r="I52">
        <v>0</v>
      </c>
      <c r="J52" t="s">
        <v>50</v>
      </c>
      <c r="K52">
        <v>3</v>
      </c>
      <c r="M52" t="s">
        <v>50</v>
      </c>
      <c r="N52">
        <v>48500</v>
      </c>
    </row>
    <row r="53" spans="1:14">
      <c r="A53" t="s">
        <v>78</v>
      </c>
      <c r="B53" t="s">
        <v>487</v>
      </c>
      <c r="C53" t="s">
        <v>948</v>
      </c>
      <c r="D53">
        <v>39</v>
      </c>
      <c r="E53" s="11">
        <v>31693</v>
      </c>
      <c r="F53" t="s">
        <v>239</v>
      </c>
      <c r="G53" t="s">
        <v>303</v>
      </c>
      <c r="H53">
        <v>22200</v>
      </c>
      <c r="I53">
        <v>0</v>
      </c>
      <c r="J53" t="s">
        <v>51</v>
      </c>
      <c r="K53">
        <v>3</v>
      </c>
      <c r="M53" t="s">
        <v>51</v>
      </c>
      <c r="N53">
        <v>7000</v>
      </c>
    </row>
    <row r="54" spans="1:14">
      <c r="A54" t="s">
        <v>74</v>
      </c>
      <c r="B54" t="s">
        <v>92</v>
      </c>
      <c r="C54" t="s">
        <v>93</v>
      </c>
      <c r="D54">
        <v>56</v>
      </c>
      <c r="E54" s="11">
        <v>25525</v>
      </c>
      <c r="F54" t="s">
        <v>226</v>
      </c>
      <c r="G54" t="s">
        <v>226</v>
      </c>
      <c r="H54" t="s">
        <v>94</v>
      </c>
      <c r="I54">
        <v>63000</v>
      </c>
      <c r="J54" t="s">
        <v>50</v>
      </c>
      <c r="K54">
        <v>0</v>
      </c>
      <c r="M54" t="s">
        <v>50</v>
      </c>
      <c r="N54">
        <v>56000</v>
      </c>
    </row>
    <row r="55" spans="1:14">
      <c r="A55" t="s">
        <v>74</v>
      </c>
      <c r="B55" t="s">
        <v>293</v>
      </c>
      <c r="C55">
        <v>14200</v>
      </c>
      <c r="D55">
        <v>48</v>
      </c>
      <c r="E55" s="11">
        <v>28681</v>
      </c>
      <c r="F55" t="s">
        <v>511</v>
      </c>
      <c r="H55">
        <v>15800</v>
      </c>
      <c r="I55" t="s">
        <v>83</v>
      </c>
      <c r="J55" t="s">
        <v>50</v>
      </c>
      <c r="K55">
        <v>12</v>
      </c>
      <c r="M55" t="s">
        <v>50</v>
      </c>
      <c r="N55">
        <v>69500</v>
      </c>
    </row>
    <row r="56" spans="1:14">
      <c r="A56" t="s">
        <v>74</v>
      </c>
      <c r="B56" t="s">
        <v>113</v>
      </c>
      <c r="C56" t="s">
        <v>114</v>
      </c>
      <c r="D56">
        <v>70</v>
      </c>
      <c r="E56" s="11">
        <v>20570</v>
      </c>
      <c r="F56" t="s">
        <v>115</v>
      </c>
      <c r="G56" t="s">
        <v>116</v>
      </c>
      <c r="H56">
        <v>16300</v>
      </c>
      <c r="I56">
        <v>16500</v>
      </c>
      <c r="J56" t="s">
        <v>50</v>
      </c>
      <c r="K56">
        <v>25</v>
      </c>
      <c r="M56" t="s">
        <v>50</v>
      </c>
      <c r="N56">
        <v>65500</v>
      </c>
    </row>
    <row r="57" spans="1:14">
      <c r="A57" t="s">
        <v>929</v>
      </c>
      <c r="B57" t="s">
        <v>688</v>
      </c>
      <c r="C57" t="s">
        <v>427</v>
      </c>
      <c r="D57">
        <v>24</v>
      </c>
      <c r="E57">
        <v>37435</v>
      </c>
      <c r="F57" t="s">
        <v>321</v>
      </c>
      <c r="G57" t="s">
        <v>949</v>
      </c>
      <c r="H57">
        <v>6100</v>
      </c>
      <c r="J57" t="s">
        <v>396</v>
      </c>
      <c r="K57">
        <v>15</v>
      </c>
      <c r="M57" t="s">
        <v>396</v>
      </c>
      <c r="N57">
        <v>67000</v>
      </c>
    </row>
    <row r="58" spans="1:14">
      <c r="A58" t="s">
        <v>74</v>
      </c>
      <c r="B58" t="s">
        <v>314</v>
      </c>
      <c r="C58" t="s">
        <v>315</v>
      </c>
      <c r="D58">
        <v>47</v>
      </c>
      <c r="E58">
        <v>28802</v>
      </c>
      <c r="F58" t="s">
        <v>321</v>
      </c>
      <c r="G58" t="s">
        <v>208</v>
      </c>
      <c r="H58">
        <v>22700</v>
      </c>
      <c r="I58">
        <v>8500</v>
      </c>
      <c r="K58">
        <v>35</v>
      </c>
      <c r="N58">
        <v>23500</v>
      </c>
    </row>
    <row r="59" spans="1:14">
      <c r="A59" t="s">
        <v>74</v>
      </c>
      <c r="B59" t="s">
        <v>281</v>
      </c>
      <c r="C59" t="s">
        <v>282</v>
      </c>
      <c r="D59">
        <v>33</v>
      </c>
      <c r="E59" s="11">
        <v>33881</v>
      </c>
      <c r="F59" t="s">
        <v>219</v>
      </c>
      <c r="G59" t="s">
        <v>220</v>
      </c>
      <c r="H59" s="13">
        <v>29700</v>
      </c>
      <c r="I59">
        <v>22000</v>
      </c>
      <c r="J59" t="s">
        <v>50</v>
      </c>
      <c r="K59" t="s">
        <v>950</v>
      </c>
      <c r="M59" t="s">
        <v>50</v>
      </c>
      <c r="N59">
        <v>81000</v>
      </c>
    </row>
    <row r="60" spans="1:14">
      <c r="A60" t="s">
        <v>78</v>
      </c>
      <c r="B60" t="s">
        <v>344</v>
      </c>
      <c r="C60" t="s">
        <v>345</v>
      </c>
      <c r="D60">
        <v>38</v>
      </c>
      <c r="E60" s="11">
        <v>32102</v>
      </c>
      <c r="F60" t="s">
        <v>101</v>
      </c>
      <c r="G60" t="s">
        <v>931</v>
      </c>
      <c r="H60">
        <v>13500</v>
      </c>
      <c r="I60">
        <v>24000</v>
      </c>
      <c r="J60" t="s">
        <v>50</v>
      </c>
      <c r="K60">
        <v>2</v>
      </c>
      <c r="M60" t="s">
        <v>50</v>
      </c>
      <c r="N60">
        <v>17500</v>
      </c>
    </row>
    <row r="61" spans="1:14">
      <c r="A61" t="s">
        <v>78</v>
      </c>
      <c r="B61" t="s">
        <v>760</v>
      </c>
      <c r="C61">
        <v>3400</v>
      </c>
      <c r="D61">
        <v>35</v>
      </c>
      <c r="E61" s="11">
        <v>33204</v>
      </c>
      <c r="F61" t="s">
        <v>280</v>
      </c>
      <c r="G61" t="s">
        <v>743</v>
      </c>
      <c r="H61">
        <v>17600</v>
      </c>
      <c r="I61">
        <v>44000</v>
      </c>
      <c r="J61" t="s">
        <v>396</v>
      </c>
      <c r="K61">
        <v>22</v>
      </c>
      <c r="M61" t="s">
        <v>396</v>
      </c>
      <c r="N61">
        <v>56500</v>
      </c>
    </row>
    <row r="62" spans="1:14">
      <c r="A62" t="s">
        <v>78</v>
      </c>
      <c r="B62" t="s">
        <v>951</v>
      </c>
      <c r="C62" t="s">
        <v>352</v>
      </c>
      <c r="D62">
        <v>67</v>
      </c>
      <c r="E62">
        <v>21512</v>
      </c>
      <c r="F62" t="s">
        <v>115</v>
      </c>
      <c r="G62" t="s">
        <v>369</v>
      </c>
      <c r="H62" s="12">
        <v>3200</v>
      </c>
      <c r="I62">
        <v>6500</v>
      </c>
      <c r="J62" t="s">
        <v>50</v>
      </c>
      <c r="K62">
        <v>20</v>
      </c>
      <c r="M62" t="s">
        <v>50</v>
      </c>
      <c r="N62">
        <v>52500</v>
      </c>
    </row>
    <row r="63" spans="1:14">
      <c r="A63" t="s">
        <v>952</v>
      </c>
      <c r="B63" t="s">
        <v>289</v>
      </c>
      <c r="C63" t="s">
        <v>290</v>
      </c>
      <c r="D63">
        <v>51</v>
      </c>
      <c r="E63" s="11">
        <v>27377</v>
      </c>
      <c r="F63" t="s">
        <v>101</v>
      </c>
      <c r="G63" t="s">
        <v>102</v>
      </c>
      <c r="H63">
        <v>16300</v>
      </c>
      <c r="J63" t="s">
        <v>255</v>
      </c>
      <c r="K63">
        <v>8</v>
      </c>
      <c r="M63" t="s">
        <v>255</v>
      </c>
      <c r="N63">
        <v>33000</v>
      </c>
    </row>
    <row r="64" spans="1:14">
      <c r="A64" t="s">
        <v>78</v>
      </c>
      <c r="B64" t="s">
        <v>283</v>
      </c>
      <c r="C64" t="s">
        <v>284</v>
      </c>
      <c r="D64" t="s">
        <v>953</v>
      </c>
      <c r="E64" s="11">
        <v>29113</v>
      </c>
      <c r="F64" t="s">
        <v>215</v>
      </c>
      <c r="G64" t="s">
        <v>164</v>
      </c>
      <c r="H64">
        <v>15000</v>
      </c>
      <c r="I64">
        <v>32500</v>
      </c>
      <c r="J64" t="s">
        <v>50</v>
      </c>
      <c r="K64">
        <v>40</v>
      </c>
      <c r="M64" t="s">
        <v>50</v>
      </c>
      <c r="N64">
        <v>4500</v>
      </c>
    </row>
    <row r="65" spans="1:14">
      <c r="A65" t="s">
        <v>74</v>
      </c>
      <c r="B65" t="s">
        <v>795</v>
      </c>
      <c r="C65">
        <v>23900</v>
      </c>
      <c r="D65">
        <v>39</v>
      </c>
      <c r="E65">
        <v>31740</v>
      </c>
      <c r="F65" t="s">
        <v>101</v>
      </c>
      <c r="G65" t="s">
        <v>103</v>
      </c>
      <c r="H65" s="12">
        <v>13200</v>
      </c>
      <c r="I65" t="s">
        <v>83</v>
      </c>
      <c r="J65" t="s">
        <v>50</v>
      </c>
      <c r="K65" t="s">
        <v>950</v>
      </c>
      <c r="M65" t="s">
        <v>50</v>
      </c>
      <c r="N65">
        <v>36000</v>
      </c>
    </row>
    <row r="66" spans="1:14">
      <c r="A66" t="s">
        <v>74</v>
      </c>
      <c r="B66" t="s">
        <v>106</v>
      </c>
      <c r="C66" t="s">
        <v>107</v>
      </c>
      <c r="D66">
        <v>24</v>
      </c>
      <c r="E66">
        <v>37172</v>
      </c>
      <c r="F66" t="s">
        <v>274</v>
      </c>
      <c r="G66" t="s">
        <v>363</v>
      </c>
      <c r="H66">
        <v>21600</v>
      </c>
      <c r="I66" s="12">
        <v>25000</v>
      </c>
      <c r="J66" t="s">
        <v>50</v>
      </c>
      <c r="K66">
        <v>33</v>
      </c>
      <c r="M66" t="s">
        <v>50</v>
      </c>
      <c r="N66">
        <v>17500</v>
      </c>
    </row>
    <row r="67" spans="1:14">
      <c r="A67" t="s">
        <v>74</v>
      </c>
      <c r="B67" t="s">
        <v>299</v>
      </c>
      <c r="C67">
        <v>16100</v>
      </c>
      <c r="D67">
        <v>57</v>
      </c>
      <c r="F67" t="s">
        <v>239</v>
      </c>
      <c r="G67" t="s">
        <v>939</v>
      </c>
      <c r="H67" t="s">
        <v>160</v>
      </c>
      <c r="J67" t="s">
        <v>51</v>
      </c>
      <c r="K67" t="s">
        <v>954</v>
      </c>
      <c r="M67" t="s">
        <v>51</v>
      </c>
      <c r="N67">
        <v>13000</v>
      </c>
    </row>
    <row r="68" spans="1:14">
      <c r="A68" t="s">
        <v>74</v>
      </c>
      <c r="B68" t="s">
        <v>529</v>
      </c>
      <c r="C68">
        <v>6300</v>
      </c>
      <c r="D68">
        <v>68</v>
      </c>
      <c r="F68" t="s">
        <v>288</v>
      </c>
      <c r="G68" t="s">
        <v>447</v>
      </c>
      <c r="H68" s="13">
        <v>19900</v>
      </c>
      <c r="I68">
        <v>35000</v>
      </c>
      <c r="J68" t="s">
        <v>255</v>
      </c>
      <c r="K68">
        <v>25</v>
      </c>
      <c r="M68" t="s">
        <v>255</v>
      </c>
      <c r="N68">
        <v>59500</v>
      </c>
    </row>
    <row r="69" spans="1:14">
      <c r="A69" t="s">
        <v>74</v>
      </c>
      <c r="B69" t="s">
        <v>826</v>
      </c>
      <c r="C69">
        <v>27200</v>
      </c>
      <c r="D69">
        <v>56</v>
      </c>
      <c r="E69" s="11">
        <v>25710</v>
      </c>
      <c r="F69" t="s">
        <v>215</v>
      </c>
      <c r="G69" t="s">
        <v>164</v>
      </c>
      <c r="H69">
        <v>14100</v>
      </c>
      <c r="I69">
        <v>1500</v>
      </c>
      <c r="J69" t="s">
        <v>50</v>
      </c>
      <c r="K69">
        <v>26</v>
      </c>
      <c r="M69" t="s">
        <v>50</v>
      </c>
      <c r="N69">
        <v>36000</v>
      </c>
    </row>
    <row r="70" spans="1:14">
      <c r="A70" t="s">
        <v>929</v>
      </c>
      <c r="B70" t="s">
        <v>757</v>
      </c>
      <c r="C70" t="s">
        <v>359</v>
      </c>
      <c r="D70">
        <v>33</v>
      </c>
      <c r="E70" s="11">
        <v>34027</v>
      </c>
      <c r="F70" t="s">
        <v>115</v>
      </c>
      <c r="G70" t="s">
        <v>157</v>
      </c>
      <c r="H70">
        <v>3400</v>
      </c>
      <c r="I70">
        <v>0</v>
      </c>
      <c r="J70" t="s">
        <v>50</v>
      </c>
      <c r="K70">
        <v>13</v>
      </c>
      <c r="M70" t="s">
        <v>50</v>
      </c>
      <c r="N70">
        <v>70000</v>
      </c>
    </row>
    <row r="71" spans="1:14">
      <c r="A71" t="s">
        <v>74</v>
      </c>
      <c r="B71" t="s">
        <v>455</v>
      </c>
      <c r="C71" t="s">
        <v>456</v>
      </c>
      <c r="D71">
        <v>41</v>
      </c>
      <c r="E71" s="11">
        <v>30944</v>
      </c>
      <c r="F71" t="s">
        <v>231</v>
      </c>
      <c r="G71" t="s">
        <v>232</v>
      </c>
      <c r="H71" t="s">
        <v>457</v>
      </c>
      <c r="I71" s="13">
        <v>20500</v>
      </c>
      <c r="J71" t="s">
        <v>51</v>
      </c>
      <c r="K71">
        <v>8</v>
      </c>
      <c r="M71" t="s">
        <v>51</v>
      </c>
      <c r="N71">
        <v>44000</v>
      </c>
    </row>
    <row r="72" spans="1:14">
      <c r="A72" t="s">
        <v>74</v>
      </c>
      <c r="B72" t="s">
        <v>633</v>
      </c>
      <c r="C72" t="s">
        <v>558</v>
      </c>
      <c r="E72" s="11">
        <v>34411</v>
      </c>
      <c r="F72" t="s">
        <v>226</v>
      </c>
      <c r="G72" t="s">
        <v>226</v>
      </c>
      <c r="I72">
        <v>0</v>
      </c>
      <c r="J72" t="s">
        <v>50</v>
      </c>
      <c r="K72">
        <v>20</v>
      </c>
      <c r="M72" t="s">
        <v>50</v>
      </c>
      <c r="N72">
        <v>42000</v>
      </c>
    </row>
    <row r="73" spans="1:14">
      <c r="A73" t="s">
        <v>74</v>
      </c>
      <c r="B73" t="s">
        <v>657</v>
      </c>
      <c r="C73" t="s">
        <v>658</v>
      </c>
      <c r="D73">
        <v>34</v>
      </c>
      <c r="E73">
        <v>33525</v>
      </c>
      <c r="F73" t="s">
        <v>280</v>
      </c>
      <c r="H73">
        <v>28000</v>
      </c>
      <c r="I73">
        <v>36500</v>
      </c>
      <c r="J73" t="s">
        <v>50</v>
      </c>
      <c r="K73">
        <v>33</v>
      </c>
      <c r="M73" t="s">
        <v>50</v>
      </c>
      <c r="N73">
        <v>60000</v>
      </c>
    </row>
    <row r="74" spans="1:14">
      <c r="A74" t="s">
        <v>74</v>
      </c>
      <c r="B74" t="s">
        <v>257</v>
      </c>
      <c r="C74" t="s">
        <v>258</v>
      </c>
      <c r="D74">
        <v>24</v>
      </c>
      <c r="E74">
        <v>37259</v>
      </c>
      <c r="F74" t="s">
        <v>226</v>
      </c>
      <c r="G74" t="s">
        <v>226</v>
      </c>
      <c r="H74">
        <v>25200</v>
      </c>
      <c r="I74">
        <v>0</v>
      </c>
      <c r="J74" t="s">
        <v>50</v>
      </c>
      <c r="K74">
        <v>10</v>
      </c>
      <c r="M74" t="s">
        <v>50</v>
      </c>
      <c r="N74">
        <v>69500</v>
      </c>
    </row>
    <row r="75" spans="1:14">
      <c r="A75" t="s">
        <v>74</v>
      </c>
      <c r="B75" t="s">
        <v>955</v>
      </c>
      <c r="C75" t="s">
        <v>139</v>
      </c>
      <c r="D75">
        <v>55</v>
      </c>
      <c r="E75">
        <v>26104</v>
      </c>
      <c r="F75" t="s">
        <v>101</v>
      </c>
      <c r="G75" t="s">
        <v>102</v>
      </c>
      <c r="H75" s="13">
        <v>22100</v>
      </c>
      <c r="I75">
        <v>41500</v>
      </c>
      <c r="J75" t="s">
        <v>50</v>
      </c>
      <c r="K75">
        <v>18</v>
      </c>
      <c r="M75" t="s">
        <v>50</v>
      </c>
      <c r="N75">
        <v>65000</v>
      </c>
    </row>
    <row r="76" spans="1:14">
      <c r="A76" t="s">
        <v>78</v>
      </c>
      <c r="B76" t="s">
        <v>338</v>
      </c>
      <c r="C76" t="s">
        <v>339</v>
      </c>
      <c r="D76">
        <v>59</v>
      </c>
      <c r="E76">
        <v>24512</v>
      </c>
      <c r="F76" t="s">
        <v>317</v>
      </c>
      <c r="G76" t="s">
        <v>944</v>
      </c>
      <c r="H76">
        <v>6300</v>
      </c>
      <c r="I76">
        <v>15000</v>
      </c>
      <c r="J76" t="s">
        <v>50</v>
      </c>
      <c r="K76">
        <v>42</v>
      </c>
      <c r="M76" t="s">
        <v>50</v>
      </c>
      <c r="N76">
        <v>8500</v>
      </c>
    </row>
    <row r="77" spans="1:14">
      <c r="A77" t="s">
        <v>78</v>
      </c>
      <c r="B77" t="s">
        <v>333</v>
      </c>
      <c r="C77" t="s">
        <v>334</v>
      </c>
      <c r="D77">
        <v>70</v>
      </c>
      <c r="E77" s="11">
        <v>20502</v>
      </c>
      <c r="F77" t="s">
        <v>239</v>
      </c>
      <c r="G77" t="s">
        <v>303</v>
      </c>
      <c r="H77" s="13">
        <v>2500</v>
      </c>
      <c r="I77">
        <v>0</v>
      </c>
      <c r="J77" t="s">
        <v>50</v>
      </c>
      <c r="K77">
        <v>38</v>
      </c>
      <c r="M77" t="s">
        <v>50</v>
      </c>
      <c r="N77">
        <v>44500</v>
      </c>
    </row>
    <row r="78" spans="1:14">
      <c r="A78" t="s">
        <v>74</v>
      </c>
      <c r="B78" t="s">
        <v>295</v>
      </c>
      <c r="C78" t="s">
        <v>296</v>
      </c>
      <c r="D78">
        <v>37</v>
      </c>
      <c r="E78">
        <v>32543</v>
      </c>
      <c r="F78" t="s">
        <v>223</v>
      </c>
      <c r="G78" t="s">
        <v>82</v>
      </c>
      <c r="H78">
        <v>29200</v>
      </c>
      <c r="I78" s="12">
        <v>45000</v>
      </c>
      <c r="J78" t="s">
        <v>50</v>
      </c>
      <c r="K78">
        <v>26</v>
      </c>
      <c r="M78" t="s">
        <v>50</v>
      </c>
      <c r="N78">
        <v>23500</v>
      </c>
    </row>
    <row r="79" spans="1:14">
      <c r="A79" t="s">
        <v>74</v>
      </c>
      <c r="B79" t="s">
        <v>533</v>
      </c>
      <c r="C79" t="s">
        <v>534</v>
      </c>
      <c r="D79">
        <v>27</v>
      </c>
      <c r="E79">
        <v>36308</v>
      </c>
      <c r="F79" t="s">
        <v>86</v>
      </c>
      <c r="G79" t="s">
        <v>87</v>
      </c>
      <c r="H79">
        <v>5300</v>
      </c>
      <c r="I79" t="s">
        <v>536</v>
      </c>
      <c r="J79" t="s">
        <v>396</v>
      </c>
      <c r="K79">
        <v>11</v>
      </c>
      <c r="M79" t="s">
        <v>396</v>
      </c>
      <c r="N79">
        <v>28500</v>
      </c>
    </row>
    <row r="80" spans="1:14">
      <c r="A80" t="s">
        <v>74</v>
      </c>
      <c r="B80" t="s">
        <v>646</v>
      </c>
      <c r="C80" t="s">
        <v>399</v>
      </c>
      <c r="D80">
        <v>55</v>
      </c>
      <c r="E80">
        <v>25874</v>
      </c>
      <c r="F80" t="s">
        <v>226</v>
      </c>
      <c r="G80" t="s">
        <v>453</v>
      </c>
      <c r="H80" s="13">
        <v>29100</v>
      </c>
      <c r="I80" t="s">
        <v>307</v>
      </c>
      <c r="J80" t="s">
        <v>50</v>
      </c>
      <c r="K80">
        <v>11</v>
      </c>
      <c r="M80" t="s">
        <v>50</v>
      </c>
      <c r="N80">
        <v>56000</v>
      </c>
    </row>
    <row r="81" spans="1:14">
      <c r="A81" t="s">
        <v>929</v>
      </c>
      <c r="B81" t="s">
        <v>783</v>
      </c>
      <c r="C81" t="s">
        <v>316</v>
      </c>
      <c r="D81">
        <v>53</v>
      </c>
      <c r="E81" s="11">
        <v>26812</v>
      </c>
      <c r="F81" t="s">
        <v>156</v>
      </c>
      <c r="G81" t="s">
        <v>116</v>
      </c>
      <c r="H81">
        <v>27800</v>
      </c>
      <c r="I81" s="12">
        <v>52000</v>
      </c>
      <c r="J81" t="s">
        <v>50</v>
      </c>
      <c r="K81">
        <v>43</v>
      </c>
      <c r="M81" t="s">
        <v>50</v>
      </c>
      <c r="N81">
        <v>93500</v>
      </c>
    </row>
    <row r="82" spans="1:14">
      <c r="A82" t="s">
        <v>74</v>
      </c>
      <c r="B82" t="s">
        <v>579</v>
      </c>
      <c r="C82" t="s">
        <v>393</v>
      </c>
      <c r="D82">
        <v>40</v>
      </c>
      <c r="E82">
        <v>31647</v>
      </c>
      <c r="F82" t="s">
        <v>215</v>
      </c>
      <c r="G82" t="s">
        <v>164</v>
      </c>
      <c r="H82" s="12">
        <v>18700</v>
      </c>
      <c r="I82">
        <v>15000</v>
      </c>
      <c r="K82">
        <v>26</v>
      </c>
      <c r="N82">
        <v>89500</v>
      </c>
    </row>
    <row r="83" spans="1:14">
      <c r="A83" t="s">
        <v>74</v>
      </c>
      <c r="B83" t="s">
        <v>845</v>
      </c>
      <c r="C83">
        <v>34400</v>
      </c>
      <c r="D83">
        <v>64</v>
      </c>
      <c r="E83">
        <v>22836</v>
      </c>
      <c r="F83" t="s">
        <v>256</v>
      </c>
      <c r="G83" t="s">
        <v>180</v>
      </c>
      <c r="H83">
        <v>24300</v>
      </c>
      <c r="I83" s="13">
        <v>16500</v>
      </c>
      <c r="J83" t="s">
        <v>51</v>
      </c>
      <c r="K83">
        <v>24</v>
      </c>
      <c r="M83" t="s">
        <v>51</v>
      </c>
      <c r="N83">
        <v>57000</v>
      </c>
    </row>
    <row r="84" spans="1:14">
      <c r="A84" t="s">
        <v>74</v>
      </c>
      <c r="B84" t="s">
        <v>265</v>
      </c>
      <c r="C84" t="s">
        <v>266</v>
      </c>
      <c r="D84">
        <v>25</v>
      </c>
      <c r="E84" s="11">
        <v>37091</v>
      </c>
      <c r="F84" t="s">
        <v>274</v>
      </c>
      <c r="G84" t="s">
        <v>363</v>
      </c>
      <c r="H84" s="13">
        <v>28800</v>
      </c>
      <c r="J84" t="s">
        <v>50</v>
      </c>
      <c r="K84">
        <v>12</v>
      </c>
      <c r="M84" t="s">
        <v>50</v>
      </c>
      <c r="N84">
        <v>46500</v>
      </c>
    </row>
    <row r="85" spans="1:14">
      <c r="A85" t="s">
        <v>74</v>
      </c>
      <c r="B85" t="s">
        <v>458</v>
      </c>
      <c r="C85" t="s">
        <v>459</v>
      </c>
      <c r="D85" t="s">
        <v>956</v>
      </c>
      <c r="E85" s="11">
        <v>26161</v>
      </c>
      <c r="F85" t="s">
        <v>243</v>
      </c>
      <c r="H85">
        <v>12200</v>
      </c>
      <c r="I85" t="s">
        <v>462</v>
      </c>
      <c r="J85" t="s">
        <v>349</v>
      </c>
      <c r="K85">
        <v>33</v>
      </c>
      <c r="M85" t="s">
        <v>349</v>
      </c>
      <c r="N85">
        <v>78000</v>
      </c>
    </row>
    <row r="86" spans="1:14">
      <c r="A86" t="s">
        <v>74</v>
      </c>
      <c r="B86" t="s">
        <v>849</v>
      </c>
      <c r="C86">
        <v>32000</v>
      </c>
      <c r="D86">
        <v>68</v>
      </c>
      <c r="E86">
        <v>21162</v>
      </c>
      <c r="F86" t="s">
        <v>219</v>
      </c>
      <c r="G86" t="s">
        <v>164</v>
      </c>
      <c r="H86" s="13">
        <v>11500</v>
      </c>
      <c r="I86">
        <v>17500</v>
      </c>
      <c r="J86" t="s">
        <v>50</v>
      </c>
      <c r="K86">
        <v>19</v>
      </c>
      <c r="M86" t="s">
        <v>50</v>
      </c>
      <c r="N86">
        <v>26000</v>
      </c>
    </row>
    <row r="87" spans="1:14">
      <c r="A87" t="s">
        <v>74</v>
      </c>
      <c r="B87" t="s">
        <v>430</v>
      </c>
      <c r="C87" t="s">
        <v>431</v>
      </c>
      <c r="D87">
        <v>37</v>
      </c>
      <c r="E87">
        <v>32412</v>
      </c>
      <c r="F87" t="s">
        <v>215</v>
      </c>
      <c r="G87" t="s">
        <v>743</v>
      </c>
      <c r="H87">
        <v>24700</v>
      </c>
      <c r="I87" s="12">
        <v>23000</v>
      </c>
      <c r="J87" t="s">
        <v>51</v>
      </c>
      <c r="K87" t="s">
        <v>957</v>
      </c>
      <c r="M87" t="s">
        <v>51</v>
      </c>
      <c r="N87">
        <v>37500</v>
      </c>
    </row>
    <row r="88" spans="1:14">
      <c r="A88" t="s">
        <v>74</v>
      </c>
      <c r="B88" t="s">
        <v>958</v>
      </c>
      <c r="C88" t="s">
        <v>159</v>
      </c>
      <c r="D88">
        <v>62</v>
      </c>
      <c r="E88">
        <v>23488</v>
      </c>
      <c r="F88" t="s">
        <v>274</v>
      </c>
      <c r="G88" t="s">
        <v>363</v>
      </c>
      <c r="H88" t="s">
        <v>160</v>
      </c>
      <c r="I88" t="s">
        <v>83</v>
      </c>
      <c r="J88" t="s">
        <v>50</v>
      </c>
      <c r="K88" t="s">
        <v>950</v>
      </c>
      <c r="M88" t="s">
        <v>50</v>
      </c>
      <c r="N88">
        <v>72000</v>
      </c>
    </row>
    <row r="89" spans="1:14">
      <c r="A89" t="s">
        <v>74</v>
      </c>
      <c r="B89" t="s">
        <v>450</v>
      </c>
      <c r="C89" t="s">
        <v>451</v>
      </c>
      <c r="D89" t="s">
        <v>959</v>
      </c>
      <c r="E89">
        <v>37491</v>
      </c>
      <c r="F89" t="s">
        <v>226</v>
      </c>
      <c r="G89" t="s">
        <v>453</v>
      </c>
      <c r="H89" s="12">
        <v>8900</v>
      </c>
      <c r="I89">
        <v>19500</v>
      </c>
      <c r="J89" t="s">
        <v>51</v>
      </c>
      <c r="K89">
        <v>33</v>
      </c>
      <c r="M89" t="s">
        <v>51</v>
      </c>
      <c r="N89">
        <v>96500</v>
      </c>
    </row>
    <row r="90" spans="1:14">
      <c r="A90" t="s">
        <v>74</v>
      </c>
      <c r="B90" t="s">
        <v>213</v>
      </c>
      <c r="C90" t="s">
        <v>214</v>
      </c>
      <c r="D90">
        <v>35</v>
      </c>
      <c r="F90" t="s">
        <v>223</v>
      </c>
      <c r="G90" t="s">
        <v>82</v>
      </c>
      <c r="H90">
        <v>28000</v>
      </c>
      <c r="I90" t="s">
        <v>216</v>
      </c>
      <c r="J90" t="s">
        <v>50</v>
      </c>
      <c r="K90">
        <v>39</v>
      </c>
      <c r="M90" t="s">
        <v>50</v>
      </c>
      <c r="N90">
        <v>32000</v>
      </c>
    </row>
    <row r="91" spans="1:14">
      <c r="A91" t="s">
        <v>74</v>
      </c>
      <c r="B91" t="s">
        <v>615</v>
      </c>
      <c r="C91" t="s">
        <v>616</v>
      </c>
      <c r="D91">
        <v>40</v>
      </c>
      <c r="E91">
        <v>31408</v>
      </c>
      <c r="F91" t="s">
        <v>604</v>
      </c>
      <c r="H91">
        <v>17400</v>
      </c>
      <c r="I91" s="13">
        <v>53000</v>
      </c>
      <c r="J91" t="s">
        <v>51</v>
      </c>
      <c r="K91">
        <v>20</v>
      </c>
      <c r="M91" t="s">
        <v>51</v>
      </c>
      <c r="N91">
        <v>52500</v>
      </c>
    </row>
    <row r="92" spans="1:14">
      <c r="A92" t="s">
        <v>937</v>
      </c>
      <c r="B92" t="s">
        <v>473</v>
      </c>
      <c r="C92" t="s">
        <v>454</v>
      </c>
      <c r="D92">
        <v>59</v>
      </c>
      <c r="E92">
        <v>24362</v>
      </c>
      <c r="F92" t="s">
        <v>280</v>
      </c>
      <c r="G92" t="s">
        <v>164</v>
      </c>
      <c r="H92">
        <v>18900</v>
      </c>
      <c r="I92">
        <v>1000</v>
      </c>
      <c r="J92" t="s">
        <v>412</v>
      </c>
      <c r="K92">
        <v>42</v>
      </c>
      <c r="M92" t="s">
        <v>412</v>
      </c>
      <c r="N92">
        <v>16500</v>
      </c>
    </row>
    <row r="93" spans="1:14">
      <c r="A93" t="s">
        <v>78</v>
      </c>
      <c r="B93" t="s">
        <v>960</v>
      </c>
      <c r="C93" t="s">
        <v>423</v>
      </c>
      <c r="E93">
        <v>19672</v>
      </c>
      <c r="F93" t="s">
        <v>226</v>
      </c>
      <c r="G93" t="s">
        <v>226</v>
      </c>
      <c r="H93">
        <v>21000</v>
      </c>
      <c r="I93">
        <v>0</v>
      </c>
      <c r="J93" t="s">
        <v>255</v>
      </c>
      <c r="K93">
        <v>11</v>
      </c>
      <c r="M93" t="s">
        <v>255</v>
      </c>
      <c r="N93">
        <v>75500</v>
      </c>
    </row>
    <row r="94" spans="1:14">
      <c r="A94" t="s">
        <v>74</v>
      </c>
      <c r="B94" t="s">
        <v>599</v>
      </c>
      <c r="C94" t="s">
        <v>382</v>
      </c>
      <c r="D94">
        <v>42</v>
      </c>
      <c r="E94" s="11">
        <v>30666</v>
      </c>
      <c r="F94" t="s">
        <v>288</v>
      </c>
      <c r="G94" t="s">
        <v>137</v>
      </c>
      <c r="H94">
        <v>6000</v>
      </c>
      <c r="I94" s="12">
        <v>55000</v>
      </c>
      <c r="J94" t="s">
        <v>50</v>
      </c>
      <c r="K94">
        <v>5</v>
      </c>
      <c r="M94" t="s">
        <v>50</v>
      </c>
      <c r="N94">
        <v>10000</v>
      </c>
    </row>
    <row r="95" spans="1:14">
      <c r="A95" t="s">
        <v>74</v>
      </c>
      <c r="B95" t="s">
        <v>233</v>
      </c>
      <c r="C95" t="s">
        <v>234</v>
      </c>
      <c r="D95">
        <v>60</v>
      </c>
      <c r="E95" s="11">
        <v>24082</v>
      </c>
      <c r="F95" t="s">
        <v>321</v>
      </c>
      <c r="G95" t="s">
        <v>949</v>
      </c>
      <c r="H95" s="13">
        <v>13800</v>
      </c>
      <c r="I95">
        <v>45500</v>
      </c>
      <c r="J95" t="s">
        <v>50</v>
      </c>
      <c r="K95">
        <v>30</v>
      </c>
      <c r="M95" t="s">
        <v>50</v>
      </c>
      <c r="N95">
        <v>17500</v>
      </c>
    </row>
    <row r="96" spans="1:14">
      <c r="A96" t="s">
        <v>74</v>
      </c>
      <c r="B96" t="s">
        <v>556</v>
      </c>
      <c r="C96" t="s">
        <v>557</v>
      </c>
      <c r="D96">
        <v>36</v>
      </c>
      <c r="E96">
        <v>32791</v>
      </c>
      <c r="F96" t="s">
        <v>243</v>
      </c>
      <c r="G96" t="s">
        <v>944</v>
      </c>
      <c r="H96">
        <v>23900</v>
      </c>
      <c r="I96">
        <v>58000</v>
      </c>
      <c r="J96" t="s">
        <v>50</v>
      </c>
      <c r="K96">
        <v>27</v>
      </c>
      <c r="M96" t="s">
        <v>50</v>
      </c>
      <c r="N96">
        <v>38000</v>
      </c>
    </row>
    <row r="97" spans="1:14">
      <c r="A97" t="s">
        <v>74</v>
      </c>
      <c r="B97" t="s">
        <v>692</v>
      </c>
      <c r="C97" t="s">
        <v>465</v>
      </c>
      <c r="D97">
        <v>74</v>
      </c>
      <c r="E97">
        <v>19121</v>
      </c>
      <c r="F97" t="s">
        <v>219</v>
      </c>
      <c r="G97" t="s">
        <v>164</v>
      </c>
      <c r="H97">
        <v>7300</v>
      </c>
      <c r="I97">
        <v>1000</v>
      </c>
      <c r="J97" t="s">
        <v>50</v>
      </c>
      <c r="K97">
        <v>3</v>
      </c>
      <c r="M97" t="s">
        <v>50</v>
      </c>
      <c r="N97">
        <v>50500</v>
      </c>
    </row>
    <row r="98" spans="1:14">
      <c r="A98" t="s">
        <v>937</v>
      </c>
      <c r="B98" t="s">
        <v>503</v>
      </c>
      <c r="C98">
        <v>20700</v>
      </c>
      <c r="D98">
        <v>66</v>
      </c>
      <c r="E98" s="11">
        <v>22151</v>
      </c>
      <c r="F98" t="s">
        <v>212</v>
      </c>
      <c r="H98" t="s">
        <v>505</v>
      </c>
      <c r="I98">
        <v>16000</v>
      </c>
      <c r="J98" t="s">
        <v>51</v>
      </c>
      <c r="K98">
        <v>44</v>
      </c>
      <c r="M98" t="s">
        <v>51</v>
      </c>
      <c r="N98">
        <v>59000</v>
      </c>
    </row>
    <row r="99" spans="1:14">
      <c r="A99" t="s">
        <v>74</v>
      </c>
      <c r="B99" t="s">
        <v>770</v>
      </c>
      <c r="C99" t="s">
        <v>662</v>
      </c>
      <c r="D99">
        <v>34</v>
      </c>
      <c r="E99">
        <v>33835</v>
      </c>
      <c r="F99" t="s">
        <v>663</v>
      </c>
      <c r="H99">
        <v>5100</v>
      </c>
      <c r="I99">
        <v>17000</v>
      </c>
      <c r="J99" t="s">
        <v>50</v>
      </c>
      <c r="K99" t="s">
        <v>961</v>
      </c>
      <c r="M99" t="s">
        <v>50</v>
      </c>
      <c r="N99">
        <v>4500</v>
      </c>
    </row>
    <row r="100" spans="1:14">
      <c r="A100" t="s">
        <v>74</v>
      </c>
      <c r="B100" t="s">
        <v>849</v>
      </c>
      <c r="C100" t="s">
        <v>962</v>
      </c>
      <c r="D100">
        <v>65</v>
      </c>
      <c r="E100" s="11">
        <v>22436</v>
      </c>
      <c r="F100" t="s">
        <v>274</v>
      </c>
      <c r="G100" t="s">
        <v>748</v>
      </c>
      <c r="H100">
        <v>12700</v>
      </c>
      <c r="I100" s="12">
        <v>60500</v>
      </c>
      <c r="J100" t="s">
        <v>50</v>
      </c>
      <c r="K100">
        <v>36</v>
      </c>
      <c r="M100" t="s">
        <v>50</v>
      </c>
      <c r="N100">
        <v>28000</v>
      </c>
    </row>
    <row r="101" spans="1:14">
      <c r="A101" t="s">
        <v>78</v>
      </c>
      <c r="B101" t="s">
        <v>963</v>
      </c>
      <c r="C101" t="s">
        <v>510</v>
      </c>
      <c r="D101">
        <v>68</v>
      </c>
      <c r="E101" s="11">
        <v>21205</v>
      </c>
      <c r="F101" t="s">
        <v>243</v>
      </c>
      <c r="G101" t="s">
        <v>82</v>
      </c>
      <c r="H101">
        <v>8200</v>
      </c>
      <c r="I101" s="12">
        <v>66000</v>
      </c>
      <c r="J101" t="s">
        <v>50</v>
      </c>
      <c r="K101">
        <v>16</v>
      </c>
      <c r="M101" t="s">
        <v>50</v>
      </c>
      <c r="N101">
        <v>84000</v>
      </c>
    </row>
    <row r="102" spans="1:14">
      <c r="A102" t="s">
        <v>78</v>
      </c>
      <c r="B102" t="s">
        <v>840</v>
      </c>
      <c r="C102" t="s">
        <v>544</v>
      </c>
      <c r="D102">
        <v>59</v>
      </c>
      <c r="E102" s="11">
        <v>24554</v>
      </c>
      <c r="F102" t="s">
        <v>156</v>
      </c>
      <c r="G102" t="s">
        <v>116</v>
      </c>
      <c r="H102" s="12">
        <v>15200</v>
      </c>
      <c r="I102">
        <v>11000</v>
      </c>
      <c r="J102" t="s">
        <v>396</v>
      </c>
      <c r="K102">
        <v>27</v>
      </c>
      <c r="M102" t="s">
        <v>396</v>
      </c>
      <c r="N102">
        <v>87000</v>
      </c>
    </row>
    <row r="103" spans="1:14">
      <c r="A103" t="s">
        <v>74</v>
      </c>
      <c r="B103" t="s">
        <v>477</v>
      </c>
      <c r="C103" t="s">
        <v>478</v>
      </c>
      <c r="D103">
        <v>29</v>
      </c>
      <c r="E103">
        <v>35600</v>
      </c>
      <c r="F103" t="s">
        <v>150</v>
      </c>
      <c r="G103" t="s">
        <v>137</v>
      </c>
      <c r="H103">
        <v>10000</v>
      </c>
      <c r="I103">
        <v>25500</v>
      </c>
      <c r="J103" t="s">
        <v>50</v>
      </c>
      <c r="K103">
        <v>15</v>
      </c>
      <c r="M103" t="s">
        <v>50</v>
      </c>
      <c r="N103">
        <v>66000</v>
      </c>
    </row>
    <row r="104" spans="1:14">
      <c r="A104" t="s">
        <v>74</v>
      </c>
      <c r="B104" t="s">
        <v>84</v>
      </c>
      <c r="C104" t="s">
        <v>85</v>
      </c>
      <c r="D104">
        <v>69</v>
      </c>
      <c r="E104">
        <v>20725</v>
      </c>
      <c r="F104" t="s">
        <v>86</v>
      </c>
      <c r="G104" t="s">
        <v>88</v>
      </c>
      <c r="H104">
        <v>8100</v>
      </c>
      <c r="I104">
        <v>27500</v>
      </c>
      <c r="J104" t="s">
        <v>396</v>
      </c>
      <c r="K104">
        <v>42</v>
      </c>
      <c r="M104" t="s">
        <v>396</v>
      </c>
      <c r="N104">
        <v>72500</v>
      </c>
    </row>
    <row r="105" spans="1:14">
      <c r="A105" t="s">
        <v>74</v>
      </c>
      <c r="B105" t="s">
        <v>295</v>
      </c>
      <c r="C105" t="s">
        <v>296</v>
      </c>
      <c r="D105">
        <v>37</v>
      </c>
      <c r="E105">
        <v>32543</v>
      </c>
      <c r="F105" t="s">
        <v>223</v>
      </c>
      <c r="G105" t="s">
        <v>82</v>
      </c>
      <c r="H105">
        <v>29200</v>
      </c>
      <c r="I105" s="12">
        <v>45000</v>
      </c>
      <c r="J105" t="s">
        <v>50</v>
      </c>
      <c r="K105">
        <v>26</v>
      </c>
      <c r="M105" t="s">
        <v>50</v>
      </c>
      <c r="N105">
        <v>78000</v>
      </c>
    </row>
    <row r="106" spans="1:14">
      <c r="A106" t="s">
        <v>78</v>
      </c>
      <c r="B106" t="s">
        <v>964</v>
      </c>
      <c r="C106" t="s">
        <v>355</v>
      </c>
      <c r="D106">
        <v>30</v>
      </c>
      <c r="E106" s="11">
        <v>35200</v>
      </c>
      <c r="F106" t="s">
        <v>115</v>
      </c>
      <c r="G106" t="s">
        <v>369</v>
      </c>
      <c r="H106">
        <v>26500</v>
      </c>
      <c r="I106">
        <v>14500</v>
      </c>
      <c r="J106">
        <v>0</v>
      </c>
      <c r="K106">
        <v>15</v>
      </c>
      <c r="M106">
        <v>0</v>
      </c>
      <c r="N106">
        <v>65500</v>
      </c>
    </row>
    <row r="107" spans="1:14">
      <c r="A107" t="s">
        <v>74</v>
      </c>
      <c r="B107" t="s">
        <v>592</v>
      </c>
      <c r="C107" t="s">
        <v>593</v>
      </c>
      <c r="D107">
        <v>58</v>
      </c>
      <c r="E107">
        <v>24905</v>
      </c>
      <c r="F107" t="s">
        <v>156</v>
      </c>
      <c r="G107" t="s">
        <v>369</v>
      </c>
      <c r="H107" s="13">
        <v>12400</v>
      </c>
      <c r="I107" s="13">
        <v>21500</v>
      </c>
      <c r="J107" t="s">
        <v>51</v>
      </c>
      <c r="K107" t="s">
        <v>965</v>
      </c>
      <c r="M107" t="s">
        <v>51</v>
      </c>
      <c r="N107">
        <v>80000</v>
      </c>
    </row>
    <row r="108" spans="1:14">
      <c r="A108" t="s">
        <v>74</v>
      </c>
      <c r="B108" t="s">
        <v>76</v>
      </c>
      <c r="C108">
        <v>24000</v>
      </c>
      <c r="D108">
        <v>47</v>
      </c>
      <c r="E108" s="11">
        <v>29031</v>
      </c>
      <c r="F108" t="s">
        <v>532</v>
      </c>
      <c r="H108" s="13">
        <v>28400</v>
      </c>
      <c r="I108">
        <v>78000</v>
      </c>
      <c r="J108" t="s">
        <v>50</v>
      </c>
      <c r="K108">
        <v>37</v>
      </c>
      <c r="M108" t="s">
        <v>50</v>
      </c>
      <c r="N108">
        <v>99000</v>
      </c>
    </row>
    <row r="109" spans="1:14">
      <c r="A109" t="s">
        <v>74</v>
      </c>
      <c r="B109" t="s">
        <v>966</v>
      </c>
      <c r="C109" t="s">
        <v>591</v>
      </c>
      <c r="D109">
        <v>31</v>
      </c>
      <c r="E109" s="11">
        <v>34852</v>
      </c>
      <c r="F109" t="s">
        <v>212</v>
      </c>
      <c r="H109">
        <v>20500</v>
      </c>
      <c r="I109" s="12">
        <v>47500</v>
      </c>
      <c r="J109" t="s">
        <v>50</v>
      </c>
      <c r="K109">
        <v>11</v>
      </c>
      <c r="M109" t="s">
        <v>50</v>
      </c>
      <c r="N109">
        <v>18500</v>
      </c>
    </row>
    <row r="110" spans="1:14">
      <c r="A110" t="s">
        <v>967</v>
      </c>
      <c r="B110" t="s">
        <v>730</v>
      </c>
      <c r="C110" t="s">
        <v>968</v>
      </c>
      <c r="D110">
        <v>63</v>
      </c>
      <c r="E110">
        <v>23084</v>
      </c>
      <c r="F110" t="s">
        <v>223</v>
      </c>
      <c r="G110" t="s">
        <v>82</v>
      </c>
      <c r="H110">
        <v>17300</v>
      </c>
      <c r="I110">
        <v>22000</v>
      </c>
      <c r="J110" t="s">
        <v>50</v>
      </c>
      <c r="K110">
        <v>10</v>
      </c>
      <c r="M110" t="s">
        <v>50</v>
      </c>
      <c r="N110">
        <v>97000</v>
      </c>
    </row>
    <row r="111" spans="1:14">
      <c r="A111" t="s">
        <v>74</v>
      </c>
      <c r="B111" t="s">
        <v>753</v>
      </c>
      <c r="C111">
        <v>12700</v>
      </c>
      <c r="D111">
        <v>26</v>
      </c>
      <c r="E111" s="11">
        <v>36518</v>
      </c>
      <c r="F111" t="s">
        <v>246</v>
      </c>
      <c r="G111" t="s">
        <v>164</v>
      </c>
      <c r="H111" s="12">
        <v>5000</v>
      </c>
      <c r="I111" t="s">
        <v>755</v>
      </c>
      <c r="J111" t="s">
        <v>50</v>
      </c>
      <c r="K111">
        <v>35</v>
      </c>
      <c r="M111" t="s">
        <v>50</v>
      </c>
      <c r="N111">
        <v>18500</v>
      </c>
    </row>
    <row r="112" spans="1:14">
      <c r="A112" t="s">
        <v>74</v>
      </c>
      <c r="B112" t="s">
        <v>540</v>
      </c>
      <c r="C112">
        <v>18000</v>
      </c>
      <c r="D112">
        <v>29</v>
      </c>
      <c r="E112">
        <v>35344</v>
      </c>
      <c r="F112" t="s">
        <v>274</v>
      </c>
      <c r="G112" t="s">
        <v>748</v>
      </c>
      <c r="H112">
        <v>19900</v>
      </c>
      <c r="I112">
        <v>49500</v>
      </c>
      <c r="J112" t="s">
        <v>51</v>
      </c>
      <c r="K112">
        <v>27</v>
      </c>
      <c r="M112" t="s">
        <v>51</v>
      </c>
      <c r="N112">
        <v>23000</v>
      </c>
    </row>
    <row r="113" spans="1:14">
      <c r="A113" t="s">
        <v>74</v>
      </c>
      <c r="B113" t="s">
        <v>684</v>
      </c>
      <c r="C113" t="s">
        <v>685</v>
      </c>
      <c r="D113">
        <v>51</v>
      </c>
      <c r="E113" s="11">
        <v>27413</v>
      </c>
      <c r="F113" t="s">
        <v>215</v>
      </c>
      <c r="G113" t="s">
        <v>220</v>
      </c>
      <c r="H113">
        <v>18500</v>
      </c>
      <c r="I113" s="13">
        <v>69500</v>
      </c>
      <c r="J113" t="s">
        <v>50</v>
      </c>
      <c r="K113" t="s">
        <v>969</v>
      </c>
      <c r="M113" t="s">
        <v>50</v>
      </c>
      <c r="N113">
        <v>18000</v>
      </c>
    </row>
    <row r="114" spans="1:14">
      <c r="A114" t="s">
        <v>74</v>
      </c>
      <c r="B114" t="s">
        <v>836</v>
      </c>
      <c r="C114" t="s">
        <v>689</v>
      </c>
      <c r="D114">
        <v>46</v>
      </c>
      <c r="E114" s="11">
        <v>29197</v>
      </c>
      <c r="F114" t="s">
        <v>156</v>
      </c>
      <c r="G114" t="s">
        <v>116</v>
      </c>
      <c r="H114">
        <v>3200</v>
      </c>
      <c r="I114">
        <v>0</v>
      </c>
      <c r="J114" t="s">
        <v>50</v>
      </c>
      <c r="K114">
        <v>16</v>
      </c>
      <c r="M114" t="s">
        <v>50</v>
      </c>
      <c r="N114">
        <v>61500</v>
      </c>
    </row>
    <row r="115" spans="1:14">
      <c r="A115" t="s">
        <v>74</v>
      </c>
      <c r="B115" t="s">
        <v>708</v>
      </c>
      <c r="C115" t="s">
        <v>681</v>
      </c>
      <c r="D115">
        <v>65</v>
      </c>
      <c r="E115" s="11">
        <v>22505</v>
      </c>
      <c r="F115" t="s">
        <v>246</v>
      </c>
      <c r="G115" t="s">
        <v>164</v>
      </c>
      <c r="H115" s="12">
        <v>29000</v>
      </c>
      <c r="I115">
        <v>28500</v>
      </c>
      <c r="J115" t="s">
        <v>50</v>
      </c>
      <c r="K115">
        <v>28</v>
      </c>
      <c r="M115" t="s">
        <v>50</v>
      </c>
      <c r="N115">
        <v>57500</v>
      </c>
    </row>
    <row r="116" spans="1:14">
      <c r="A116" t="s">
        <v>74</v>
      </c>
      <c r="B116" t="s">
        <v>374</v>
      </c>
      <c r="C116" t="s">
        <v>375</v>
      </c>
      <c r="D116">
        <v>26</v>
      </c>
      <c r="E116">
        <v>36475</v>
      </c>
      <c r="F116" t="s">
        <v>367</v>
      </c>
      <c r="H116">
        <v>13900</v>
      </c>
      <c r="I116" s="12">
        <v>53500</v>
      </c>
      <c r="J116" t="s">
        <v>50</v>
      </c>
      <c r="K116">
        <v>12</v>
      </c>
      <c r="M116" t="s">
        <v>50</v>
      </c>
      <c r="N116">
        <v>85000</v>
      </c>
    </row>
    <row r="117" spans="1:14">
      <c r="A117" t="s">
        <v>78</v>
      </c>
      <c r="B117" t="s">
        <v>970</v>
      </c>
      <c r="C117" t="s">
        <v>461</v>
      </c>
      <c r="D117">
        <v>63</v>
      </c>
      <c r="E117">
        <v>22994</v>
      </c>
      <c r="F117" t="s">
        <v>101</v>
      </c>
      <c r="G117" t="s">
        <v>931</v>
      </c>
      <c r="H117">
        <v>20000</v>
      </c>
      <c r="I117" s="12">
        <v>29500</v>
      </c>
      <c r="J117" t="s">
        <v>50</v>
      </c>
      <c r="K117">
        <v>42</v>
      </c>
      <c r="M117" t="s">
        <v>50</v>
      </c>
      <c r="N117">
        <v>5000</v>
      </c>
    </row>
    <row r="118" spans="1:14">
      <c r="A118" t="s">
        <v>74</v>
      </c>
      <c r="B118" t="s">
        <v>815</v>
      </c>
      <c r="C118">
        <v>27900</v>
      </c>
      <c r="D118">
        <v>71</v>
      </c>
      <c r="E118" s="11">
        <v>20094</v>
      </c>
      <c r="F118" t="s">
        <v>317</v>
      </c>
      <c r="G118" t="s">
        <v>82</v>
      </c>
      <c r="H118">
        <v>24100</v>
      </c>
      <c r="I118">
        <v>0</v>
      </c>
      <c r="J118" t="s">
        <v>396</v>
      </c>
      <c r="K118">
        <v>10</v>
      </c>
      <c r="M118" t="s">
        <v>396</v>
      </c>
      <c r="N118">
        <v>87000</v>
      </c>
    </row>
    <row r="119" spans="1:14">
      <c r="A119" t="s">
        <v>74</v>
      </c>
      <c r="B119" t="s">
        <v>134</v>
      </c>
      <c r="D119">
        <v>73</v>
      </c>
      <c r="E119">
        <v>19538</v>
      </c>
      <c r="F119" t="s">
        <v>288</v>
      </c>
      <c r="G119" t="s">
        <v>137</v>
      </c>
      <c r="H119">
        <v>12700</v>
      </c>
      <c r="I119" s="12">
        <v>79500</v>
      </c>
      <c r="J119" t="s">
        <v>50</v>
      </c>
      <c r="K119">
        <v>35</v>
      </c>
      <c r="M119" t="s">
        <v>50</v>
      </c>
      <c r="N119">
        <v>39000</v>
      </c>
    </row>
    <row r="120" spans="1:14">
      <c r="A120" t="s">
        <v>74</v>
      </c>
      <c r="B120" t="s">
        <v>830</v>
      </c>
      <c r="C120">
        <v>26400</v>
      </c>
      <c r="D120">
        <v>57</v>
      </c>
      <c r="E120">
        <v>25238</v>
      </c>
      <c r="F120" t="s">
        <v>367</v>
      </c>
      <c r="H120">
        <v>3200</v>
      </c>
      <c r="J120" t="s">
        <v>50</v>
      </c>
      <c r="K120">
        <v>18</v>
      </c>
      <c r="M120" t="s">
        <v>50</v>
      </c>
      <c r="N120">
        <v>64000</v>
      </c>
    </row>
    <row r="121" spans="1:14">
      <c r="A121" t="s">
        <v>74</v>
      </c>
      <c r="B121" t="s">
        <v>244</v>
      </c>
      <c r="C121">
        <v>9900</v>
      </c>
      <c r="D121">
        <v>64</v>
      </c>
      <c r="E121" s="11">
        <v>22828</v>
      </c>
      <c r="F121" t="s">
        <v>252</v>
      </c>
      <c r="G121" t="s">
        <v>358</v>
      </c>
      <c r="H121" s="12">
        <v>2900</v>
      </c>
      <c r="I121" s="12">
        <v>76000</v>
      </c>
      <c r="J121" t="s">
        <v>50</v>
      </c>
      <c r="K121">
        <v>32</v>
      </c>
      <c r="M121" t="s">
        <v>50</v>
      </c>
      <c r="N121">
        <v>72500</v>
      </c>
    </row>
    <row r="122" spans="1:14">
      <c r="A122" t="s">
        <v>78</v>
      </c>
      <c r="B122" t="s">
        <v>737</v>
      </c>
      <c r="C122">
        <v>16000</v>
      </c>
      <c r="D122">
        <v>73</v>
      </c>
      <c r="E122" s="11">
        <v>19299</v>
      </c>
      <c r="F122" t="s">
        <v>231</v>
      </c>
      <c r="G122" t="s">
        <v>629</v>
      </c>
      <c r="H122">
        <v>7100</v>
      </c>
      <c r="I122" s="12">
        <v>58000</v>
      </c>
      <c r="J122" t="s">
        <v>51</v>
      </c>
      <c r="K122">
        <v>22</v>
      </c>
      <c r="M122" t="s">
        <v>51</v>
      </c>
      <c r="N122">
        <v>46500</v>
      </c>
    </row>
    <row r="123" spans="1:14">
      <c r="A123" t="s">
        <v>74</v>
      </c>
      <c r="B123" t="s">
        <v>785</v>
      </c>
      <c r="C123" t="s">
        <v>567</v>
      </c>
      <c r="D123">
        <v>28</v>
      </c>
      <c r="E123" s="11">
        <v>35993</v>
      </c>
      <c r="F123" t="s">
        <v>239</v>
      </c>
      <c r="G123" t="s">
        <v>303</v>
      </c>
      <c r="H123" s="12">
        <v>13400</v>
      </c>
      <c r="I123" s="12">
        <v>54000</v>
      </c>
      <c r="J123" t="s">
        <v>50</v>
      </c>
      <c r="K123">
        <v>15</v>
      </c>
      <c r="M123" t="s">
        <v>50</v>
      </c>
      <c r="N123">
        <v>99000</v>
      </c>
    </row>
    <row r="124" spans="1:14">
      <c r="A124" t="s">
        <v>74</v>
      </c>
      <c r="B124" t="s">
        <v>971</v>
      </c>
      <c r="C124" t="s">
        <v>777</v>
      </c>
      <c r="D124">
        <v>26</v>
      </c>
      <c r="E124">
        <v>36622</v>
      </c>
      <c r="F124" t="s">
        <v>226</v>
      </c>
      <c r="G124" t="s">
        <v>226</v>
      </c>
      <c r="H124" t="s">
        <v>779</v>
      </c>
      <c r="I124" s="12">
        <v>65500</v>
      </c>
      <c r="J124" t="s">
        <v>778</v>
      </c>
      <c r="K124">
        <v>40</v>
      </c>
      <c r="M124" t="s">
        <v>778</v>
      </c>
      <c r="N124">
        <v>95500</v>
      </c>
    </row>
    <row r="125" spans="1:14">
      <c r="A125" t="s">
        <v>74</v>
      </c>
      <c r="B125" t="s">
        <v>574</v>
      </c>
      <c r="C125" t="s">
        <v>575</v>
      </c>
      <c r="D125">
        <v>69</v>
      </c>
      <c r="E125" s="11">
        <v>21051</v>
      </c>
      <c r="F125" t="s">
        <v>231</v>
      </c>
      <c r="G125" t="s">
        <v>232</v>
      </c>
      <c r="H125" t="s">
        <v>576</v>
      </c>
      <c r="I125">
        <v>40500</v>
      </c>
      <c r="J125" t="s">
        <v>50</v>
      </c>
      <c r="K125">
        <v>43</v>
      </c>
      <c r="M125" t="s">
        <v>50</v>
      </c>
      <c r="N125">
        <v>24500</v>
      </c>
    </row>
    <row r="126" spans="1:14">
      <c r="A126" t="s">
        <v>74</v>
      </c>
      <c r="B126" t="s">
        <v>725</v>
      </c>
      <c r="C126" t="s">
        <v>442</v>
      </c>
      <c r="D126">
        <v>67</v>
      </c>
      <c r="E126" s="11">
        <v>21624</v>
      </c>
      <c r="F126" t="s">
        <v>280</v>
      </c>
      <c r="G126" t="s">
        <v>220</v>
      </c>
      <c r="H126">
        <v>8500</v>
      </c>
      <c r="I126" s="12">
        <v>39500</v>
      </c>
      <c r="J126" t="s">
        <v>51</v>
      </c>
      <c r="M126" t="s">
        <v>51</v>
      </c>
      <c r="N126">
        <v>42000</v>
      </c>
    </row>
    <row r="127" spans="1:14">
      <c r="A127" t="s">
        <v>74</v>
      </c>
      <c r="B127" t="s">
        <v>570</v>
      </c>
      <c r="C127" t="s">
        <v>571</v>
      </c>
      <c r="D127">
        <v>53</v>
      </c>
      <c r="E127" s="11">
        <v>26584</v>
      </c>
      <c r="F127" t="s">
        <v>215</v>
      </c>
      <c r="G127" t="s">
        <v>164</v>
      </c>
      <c r="H127">
        <v>12200</v>
      </c>
      <c r="I127" s="12">
        <v>79500</v>
      </c>
      <c r="J127" t="s">
        <v>255</v>
      </c>
      <c r="K127">
        <v>45</v>
      </c>
      <c r="M127" t="s">
        <v>255</v>
      </c>
      <c r="N127">
        <v>57000</v>
      </c>
    </row>
    <row r="128" spans="1:14">
      <c r="A128" t="s">
        <v>74</v>
      </c>
      <c r="B128" t="s">
        <v>972</v>
      </c>
      <c r="C128" t="s">
        <v>768</v>
      </c>
      <c r="D128">
        <v>55</v>
      </c>
      <c r="E128">
        <v>25880</v>
      </c>
      <c r="F128" t="s">
        <v>231</v>
      </c>
      <c r="G128" t="s">
        <v>232</v>
      </c>
      <c r="H128">
        <v>27500</v>
      </c>
      <c r="I128">
        <v>14000</v>
      </c>
      <c r="J128" t="s">
        <v>50</v>
      </c>
      <c r="K128">
        <v>3</v>
      </c>
      <c r="M128" t="s">
        <v>50</v>
      </c>
      <c r="N128">
        <v>11500</v>
      </c>
    </row>
    <row r="129" spans="1:14">
      <c r="A129" t="s">
        <v>74</v>
      </c>
      <c r="B129" t="s">
        <v>692</v>
      </c>
      <c r="C129">
        <v>8900</v>
      </c>
      <c r="E129" s="11">
        <v>33473</v>
      </c>
      <c r="F129" t="s">
        <v>321</v>
      </c>
      <c r="G129" t="s">
        <v>949</v>
      </c>
      <c r="H129">
        <v>24000</v>
      </c>
      <c r="I129">
        <v>0</v>
      </c>
      <c r="J129" t="s">
        <v>51</v>
      </c>
      <c r="K129">
        <v>3</v>
      </c>
      <c r="M129" t="s">
        <v>51</v>
      </c>
      <c r="N129">
        <v>60000</v>
      </c>
    </row>
    <row r="130" spans="1:14">
      <c r="A130" t="s">
        <v>78</v>
      </c>
      <c r="B130" t="s">
        <v>633</v>
      </c>
      <c r="C130">
        <v>8300</v>
      </c>
      <c r="D130">
        <v>31</v>
      </c>
      <c r="E130">
        <v>34828</v>
      </c>
      <c r="F130" t="s">
        <v>150</v>
      </c>
      <c r="G130" t="s">
        <v>447</v>
      </c>
      <c r="H130" s="13">
        <v>24900</v>
      </c>
      <c r="I130">
        <v>72000</v>
      </c>
      <c r="J130" t="s">
        <v>50</v>
      </c>
      <c r="K130">
        <v>35</v>
      </c>
      <c r="M130" t="s">
        <v>50</v>
      </c>
      <c r="N130">
        <v>79000</v>
      </c>
    </row>
    <row r="131" spans="1:14">
      <c r="A131" t="s">
        <v>74</v>
      </c>
      <c r="B131" t="s">
        <v>811</v>
      </c>
      <c r="C131">
        <v>3800</v>
      </c>
      <c r="D131">
        <v>41</v>
      </c>
      <c r="E131" s="11">
        <v>30992</v>
      </c>
      <c r="F131" t="s">
        <v>239</v>
      </c>
      <c r="G131" t="s">
        <v>973</v>
      </c>
      <c r="H131" s="13">
        <v>28600</v>
      </c>
      <c r="I131" s="12">
        <v>67500</v>
      </c>
      <c r="J131" t="s">
        <v>50</v>
      </c>
      <c r="K131">
        <v>39</v>
      </c>
      <c r="M131" t="s">
        <v>50</v>
      </c>
      <c r="N131">
        <v>22000</v>
      </c>
    </row>
    <row r="132" spans="1:14">
      <c r="A132" t="s">
        <v>74</v>
      </c>
      <c r="B132" t="s">
        <v>595</v>
      </c>
      <c r="C132" t="s">
        <v>596</v>
      </c>
      <c r="D132">
        <v>56</v>
      </c>
      <c r="E132">
        <v>25671</v>
      </c>
      <c r="F132" t="s">
        <v>252</v>
      </c>
      <c r="G132" t="s">
        <v>87</v>
      </c>
      <c r="H132">
        <v>28300</v>
      </c>
      <c r="I132">
        <v>56000</v>
      </c>
      <c r="J132" t="s">
        <v>50</v>
      </c>
      <c r="K132">
        <v>6</v>
      </c>
      <c r="M132" t="s">
        <v>50</v>
      </c>
      <c r="N132">
        <v>77000</v>
      </c>
    </row>
    <row r="133" spans="1:14">
      <c r="A133" t="s">
        <v>74</v>
      </c>
      <c r="B133" t="s">
        <v>821</v>
      </c>
      <c r="C133">
        <v>37700</v>
      </c>
      <c r="D133">
        <v>23</v>
      </c>
      <c r="E133" s="11">
        <v>37566</v>
      </c>
      <c r="F133" t="s">
        <v>115</v>
      </c>
      <c r="G133" t="s">
        <v>369</v>
      </c>
      <c r="H133">
        <v>2600</v>
      </c>
      <c r="I133">
        <v>0</v>
      </c>
      <c r="J133" t="s">
        <v>51</v>
      </c>
      <c r="K133">
        <v>30</v>
      </c>
      <c r="M133" t="s">
        <v>51</v>
      </c>
      <c r="N133">
        <v>11000</v>
      </c>
    </row>
    <row r="134" spans="1:14">
      <c r="A134" t="s">
        <v>74</v>
      </c>
      <c r="B134" t="s">
        <v>428</v>
      </c>
      <c r="C134" t="s">
        <v>429</v>
      </c>
      <c r="D134">
        <v>25</v>
      </c>
      <c r="E134">
        <v>37137</v>
      </c>
      <c r="F134" t="s">
        <v>274</v>
      </c>
      <c r="G134" t="s">
        <v>363</v>
      </c>
      <c r="I134" s="13">
        <v>21000</v>
      </c>
      <c r="J134" t="s">
        <v>50</v>
      </c>
      <c r="K134">
        <v>34</v>
      </c>
      <c r="M134" t="s">
        <v>50</v>
      </c>
      <c r="N134">
        <v>7500</v>
      </c>
    </row>
    <row r="135" spans="1:14">
      <c r="A135" t="s">
        <v>74</v>
      </c>
      <c r="B135" t="s">
        <v>974</v>
      </c>
      <c r="C135" t="s">
        <v>661</v>
      </c>
      <c r="D135">
        <v>57</v>
      </c>
      <c r="E135">
        <v>25199</v>
      </c>
      <c r="F135" t="s">
        <v>223</v>
      </c>
      <c r="G135" t="s">
        <v>944</v>
      </c>
      <c r="H135" s="12">
        <v>20700</v>
      </c>
      <c r="I135">
        <v>64500</v>
      </c>
      <c r="J135" t="s">
        <v>50</v>
      </c>
      <c r="K135" t="s">
        <v>975</v>
      </c>
      <c r="M135" t="s">
        <v>50</v>
      </c>
      <c r="N135">
        <v>54500</v>
      </c>
    </row>
    <row r="136" spans="1:14">
      <c r="A136" t="s">
        <v>952</v>
      </c>
      <c r="B136" t="s">
        <v>323</v>
      </c>
      <c r="C136" t="s">
        <v>324</v>
      </c>
      <c r="D136">
        <v>73</v>
      </c>
      <c r="E136" s="11">
        <v>19314</v>
      </c>
      <c r="F136" t="s">
        <v>288</v>
      </c>
      <c r="G136" t="s">
        <v>136</v>
      </c>
      <c r="H136">
        <v>6100</v>
      </c>
      <c r="I136" t="s">
        <v>326</v>
      </c>
      <c r="J136" t="s">
        <v>50</v>
      </c>
      <c r="K136">
        <v>9</v>
      </c>
      <c r="M136" t="s">
        <v>50</v>
      </c>
      <c r="N136">
        <v>24500</v>
      </c>
    </row>
    <row r="137" spans="1:14">
      <c r="A137" t="s">
        <v>74</v>
      </c>
      <c r="B137" t="s">
        <v>674</v>
      </c>
      <c r="C137">
        <v>37000</v>
      </c>
      <c r="D137">
        <v>24</v>
      </c>
      <c r="E137" s="11">
        <v>37290</v>
      </c>
      <c r="F137" t="s">
        <v>243</v>
      </c>
      <c r="G137" t="s">
        <v>946</v>
      </c>
      <c r="H137" s="12">
        <v>6400</v>
      </c>
      <c r="I137" s="13">
        <v>41000</v>
      </c>
      <c r="J137" t="s">
        <v>50</v>
      </c>
      <c r="K137">
        <v>22</v>
      </c>
      <c r="M137" t="s">
        <v>50</v>
      </c>
      <c r="N137">
        <v>74500</v>
      </c>
    </row>
    <row r="138" spans="1:14">
      <c r="A138" t="s">
        <v>929</v>
      </c>
      <c r="B138" t="s">
        <v>824</v>
      </c>
      <c r="C138" t="s">
        <v>825</v>
      </c>
      <c r="D138">
        <v>47</v>
      </c>
      <c r="F138" t="s">
        <v>115</v>
      </c>
      <c r="H138" s="13">
        <v>11600</v>
      </c>
      <c r="I138" s="13">
        <v>63500</v>
      </c>
      <c r="J138">
        <v>0</v>
      </c>
      <c r="K138">
        <v>18</v>
      </c>
      <c r="M138">
        <v>0</v>
      </c>
      <c r="N138">
        <v>3000</v>
      </c>
    </row>
    <row r="139" spans="1:14">
      <c r="A139" t="s">
        <v>78</v>
      </c>
      <c r="B139" t="s">
        <v>976</v>
      </c>
      <c r="C139" t="s">
        <v>332</v>
      </c>
      <c r="D139">
        <v>52</v>
      </c>
      <c r="E139">
        <v>27186</v>
      </c>
      <c r="F139" t="s">
        <v>231</v>
      </c>
      <c r="G139" t="s">
        <v>441</v>
      </c>
      <c r="H139">
        <v>6400</v>
      </c>
      <c r="I139">
        <v>37000</v>
      </c>
      <c r="J139" t="s">
        <v>50</v>
      </c>
      <c r="K139">
        <v>1</v>
      </c>
      <c r="M139" t="s">
        <v>50</v>
      </c>
      <c r="N139">
        <v>87000</v>
      </c>
    </row>
    <row r="140" spans="1:14">
      <c r="A140" t="s">
        <v>78</v>
      </c>
      <c r="B140" t="s">
        <v>819</v>
      </c>
      <c r="C140">
        <v>26700</v>
      </c>
      <c r="D140">
        <v>54</v>
      </c>
      <c r="E140">
        <v>26453</v>
      </c>
      <c r="F140" t="s">
        <v>321</v>
      </c>
      <c r="G140" t="s">
        <v>949</v>
      </c>
      <c r="H140">
        <v>3900</v>
      </c>
      <c r="I140">
        <v>80000</v>
      </c>
      <c r="J140" t="s">
        <v>50</v>
      </c>
      <c r="K140" t="s">
        <v>977</v>
      </c>
      <c r="M140" t="s">
        <v>50</v>
      </c>
      <c r="N140">
        <v>30000</v>
      </c>
    </row>
    <row r="141" spans="1:14">
      <c r="A141" t="s">
        <v>74</v>
      </c>
      <c r="B141" t="s">
        <v>610</v>
      </c>
      <c r="C141" t="s">
        <v>611</v>
      </c>
      <c r="D141">
        <v>45</v>
      </c>
      <c r="E141" s="11">
        <v>29598</v>
      </c>
      <c r="F141" t="s">
        <v>239</v>
      </c>
      <c r="G141" t="s">
        <v>939</v>
      </c>
      <c r="H141">
        <v>22800</v>
      </c>
      <c r="J141" t="s">
        <v>50</v>
      </c>
      <c r="K141">
        <v>10</v>
      </c>
      <c r="M141" t="s">
        <v>50</v>
      </c>
      <c r="N141">
        <v>31000</v>
      </c>
    </row>
    <row r="142" spans="1:14">
      <c r="A142" t="s">
        <v>74</v>
      </c>
      <c r="B142" t="s">
        <v>97</v>
      </c>
      <c r="C142">
        <v>35200</v>
      </c>
      <c r="D142">
        <v>65</v>
      </c>
      <c r="E142">
        <v>22337</v>
      </c>
      <c r="F142" t="s">
        <v>219</v>
      </c>
      <c r="G142" t="s">
        <v>164</v>
      </c>
      <c r="H142">
        <v>3800</v>
      </c>
      <c r="I142">
        <v>49500</v>
      </c>
      <c r="J142" t="s">
        <v>50</v>
      </c>
      <c r="K142">
        <v>16</v>
      </c>
      <c r="M142" t="s">
        <v>50</v>
      </c>
      <c r="N142">
        <v>15500</v>
      </c>
    </row>
    <row r="143" spans="1:14">
      <c r="A143" t="s">
        <v>74</v>
      </c>
      <c r="B143" t="s">
        <v>146</v>
      </c>
      <c r="C143" t="s">
        <v>147</v>
      </c>
      <c r="D143">
        <v>66</v>
      </c>
      <c r="E143">
        <v>22151</v>
      </c>
      <c r="F143" t="s">
        <v>223</v>
      </c>
      <c r="G143" t="s">
        <v>82</v>
      </c>
      <c r="H143">
        <v>11800</v>
      </c>
      <c r="I143" s="12">
        <v>2000</v>
      </c>
      <c r="J143" t="s">
        <v>51</v>
      </c>
      <c r="K143">
        <v>23</v>
      </c>
      <c r="M143" t="s">
        <v>51</v>
      </c>
      <c r="N143">
        <v>72500</v>
      </c>
    </row>
    <row r="144" spans="1:14">
      <c r="A144" t="s">
        <v>78</v>
      </c>
      <c r="B144" t="s">
        <v>124</v>
      </c>
      <c r="C144" t="s">
        <v>125</v>
      </c>
      <c r="D144">
        <v>29</v>
      </c>
      <c r="E144">
        <v>35607</v>
      </c>
      <c r="F144" t="s">
        <v>246</v>
      </c>
      <c r="G144" t="s">
        <v>164</v>
      </c>
      <c r="H144">
        <v>13800</v>
      </c>
      <c r="I144">
        <v>41500</v>
      </c>
      <c r="J144" t="s">
        <v>50</v>
      </c>
      <c r="K144">
        <v>34</v>
      </c>
      <c r="M144" t="s">
        <v>50</v>
      </c>
      <c r="N144">
        <v>66000</v>
      </c>
    </row>
    <row r="145" spans="1:14">
      <c r="A145" t="s">
        <v>74</v>
      </c>
      <c r="B145" t="s">
        <v>350</v>
      </c>
      <c r="C145" t="s">
        <v>351</v>
      </c>
      <c r="D145">
        <v>22</v>
      </c>
      <c r="E145" s="11">
        <v>37904</v>
      </c>
      <c r="F145" t="s">
        <v>231</v>
      </c>
      <c r="G145" t="s">
        <v>232</v>
      </c>
      <c r="H145">
        <v>2300</v>
      </c>
      <c r="I145">
        <v>0</v>
      </c>
      <c r="J145" t="s">
        <v>51</v>
      </c>
      <c r="K145" t="s">
        <v>978</v>
      </c>
      <c r="M145" t="s">
        <v>51</v>
      </c>
      <c r="N145">
        <v>51500</v>
      </c>
    </row>
    <row r="146" spans="1:14">
      <c r="A146" t="s">
        <v>78</v>
      </c>
      <c r="B146" t="s">
        <v>394</v>
      </c>
      <c r="C146" t="s">
        <v>395</v>
      </c>
      <c r="D146">
        <v>29</v>
      </c>
      <c r="E146">
        <v>35598</v>
      </c>
      <c r="F146" t="s">
        <v>226</v>
      </c>
      <c r="G146" t="s">
        <v>226</v>
      </c>
      <c r="H146">
        <v>15500</v>
      </c>
      <c r="I146">
        <v>75000</v>
      </c>
      <c r="J146" t="s">
        <v>396</v>
      </c>
      <c r="K146">
        <v>25</v>
      </c>
      <c r="M146" t="s">
        <v>396</v>
      </c>
      <c r="N146">
        <v>47000</v>
      </c>
    </row>
    <row r="147" spans="1:14">
      <c r="A147" t="s">
        <v>74</v>
      </c>
      <c r="B147" t="s">
        <v>360</v>
      </c>
      <c r="C147" t="s">
        <v>361</v>
      </c>
      <c r="D147">
        <v>72</v>
      </c>
      <c r="E147">
        <v>19839</v>
      </c>
      <c r="F147" t="s">
        <v>274</v>
      </c>
      <c r="G147" t="s">
        <v>364</v>
      </c>
      <c r="H147" s="12">
        <v>3900</v>
      </c>
      <c r="I147">
        <v>27000</v>
      </c>
      <c r="J147" t="s">
        <v>50</v>
      </c>
      <c r="K147">
        <v>33</v>
      </c>
      <c r="M147" t="s">
        <v>50</v>
      </c>
      <c r="N147">
        <v>2000</v>
      </c>
    </row>
    <row r="148" spans="1:14">
      <c r="A148" t="s">
        <v>74</v>
      </c>
      <c r="B148" t="s">
        <v>391</v>
      </c>
      <c r="C148" t="s">
        <v>392</v>
      </c>
      <c r="D148">
        <v>58</v>
      </c>
      <c r="E148" s="11">
        <v>25066</v>
      </c>
      <c r="F148" t="s">
        <v>243</v>
      </c>
      <c r="G148" t="s">
        <v>946</v>
      </c>
      <c r="H148" s="13">
        <v>4500</v>
      </c>
      <c r="J148" t="s">
        <v>51</v>
      </c>
      <c r="K148">
        <v>31</v>
      </c>
      <c r="M148" t="s">
        <v>51</v>
      </c>
      <c r="N148">
        <v>97500</v>
      </c>
    </row>
    <row r="149" spans="1:14">
      <c r="A149" t="s">
        <v>937</v>
      </c>
      <c r="B149" t="s">
        <v>415</v>
      </c>
      <c r="C149">
        <v>20900</v>
      </c>
      <c r="D149">
        <v>33</v>
      </c>
      <c r="E149">
        <v>34021</v>
      </c>
      <c r="F149" t="s">
        <v>231</v>
      </c>
      <c r="G149" t="s">
        <v>232</v>
      </c>
      <c r="I149">
        <v>73500</v>
      </c>
      <c r="J149" t="s">
        <v>50</v>
      </c>
      <c r="K149">
        <v>33</v>
      </c>
      <c r="M149" t="s">
        <v>50</v>
      </c>
      <c r="N149">
        <v>95000</v>
      </c>
    </row>
    <row r="150" spans="1:14">
      <c r="A150" t="s">
        <v>74</v>
      </c>
      <c r="B150" t="s">
        <v>221</v>
      </c>
      <c r="C150">
        <v>36900</v>
      </c>
      <c r="D150">
        <v>61</v>
      </c>
      <c r="E150">
        <v>23928</v>
      </c>
      <c r="F150" t="s">
        <v>256</v>
      </c>
      <c r="G150" t="s">
        <v>232</v>
      </c>
      <c r="H150">
        <v>22900</v>
      </c>
      <c r="I150">
        <v>7500</v>
      </c>
      <c r="J150" t="s">
        <v>50</v>
      </c>
      <c r="K150">
        <v>12</v>
      </c>
      <c r="M150" t="s">
        <v>50</v>
      </c>
      <c r="N150">
        <v>73000</v>
      </c>
    </row>
    <row r="151" spans="1:14">
      <c r="A151" t="s">
        <v>74</v>
      </c>
      <c r="B151" t="s">
        <v>712</v>
      </c>
      <c r="C151" t="s">
        <v>713</v>
      </c>
      <c r="D151">
        <v>73</v>
      </c>
      <c r="E151">
        <v>19363</v>
      </c>
      <c r="F151" t="s">
        <v>243</v>
      </c>
      <c r="G151" t="s">
        <v>82</v>
      </c>
      <c r="H151" t="s">
        <v>715</v>
      </c>
      <c r="I151" s="12">
        <v>19000</v>
      </c>
      <c r="J151" t="s">
        <v>50</v>
      </c>
      <c r="K151">
        <v>0</v>
      </c>
      <c r="M151" t="s">
        <v>50</v>
      </c>
      <c r="N151">
        <v>17000</v>
      </c>
    </row>
    <row r="152" spans="1:14">
      <c r="A152" t="s">
        <v>979</v>
      </c>
      <c r="B152" t="s">
        <v>119</v>
      </c>
      <c r="C152">
        <v>6900</v>
      </c>
      <c r="D152">
        <v>51</v>
      </c>
      <c r="E152">
        <v>27590</v>
      </c>
      <c r="F152" t="s">
        <v>219</v>
      </c>
      <c r="G152" t="s">
        <v>164</v>
      </c>
      <c r="H152" s="13">
        <v>19400</v>
      </c>
      <c r="I152">
        <v>4000</v>
      </c>
      <c r="J152" t="s">
        <v>50</v>
      </c>
      <c r="K152">
        <v>30</v>
      </c>
      <c r="M152" t="s">
        <v>50</v>
      </c>
      <c r="N152">
        <v>38500</v>
      </c>
    </row>
    <row r="153" spans="1:14">
      <c r="A153" t="s">
        <v>74</v>
      </c>
      <c r="B153" t="s">
        <v>199</v>
      </c>
      <c r="C153" t="s">
        <v>200</v>
      </c>
      <c r="D153">
        <v>43</v>
      </c>
      <c r="E153" s="11">
        <v>30309</v>
      </c>
      <c r="F153" t="s">
        <v>321</v>
      </c>
      <c r="G153" t="s">
        <v>949</v>
      </c>
      <c r="H153" s="12">
        <v>18400</v>
      </c>
      <c r="I153">
        <v>62000</v>
      </c>
      <c r="J153" t="s">
        <v>50</v>
      </c>
      <c r="K153">
        <v>33</v>
      </c>
      <c r="M153" t="s">
        <v>50</v>
      </c>
      <c r="N153">
        <v>31000</v>
      </c>
    </row>
    <row r="154" spans="1:14">
      <c r="A154" t="s">
        <v>78</v>
      </c>
      <c r="B154" t="s">
        <v>275</v>
      </c>
      <c r="C154" t="s">
        <v>276</v>
      </c>
      <c r="D154">
        <v>63</v>
      </c>
      <c r="E154">
        <v>23119</v>
      </c>
      <c r="F154" t="s">
        <v>274</v>
      </c>
      <c r="G154" t="s">
        <v>748</v>
      </c>
      <c r="H154">
        <v>9300</v>
      </c>
      <c r="I154">
        <v>48500</v>
      </c>
      <c r="J154" t="s">
        <v>50</v>
      </c>
      <c r="K154">
        <v>28</v>
      </c>
      <c r="M154" t="s">
        <v>50</v>
      </c>
      <c r="N154">
        <v>20000</v>
      </c>
    </row>
    <row r="155" spans="1:14">
      <c r="A155" t="s">
        <v>78</v>
      </c>
      <c r="B155" t="s">
        <v>435</v>
      </c>
      <c r="C155" t="s">
        <v>436</v>
      </c>
      <c r="D155">
        <v>63</v>
      </c>
      <c r="E155" s="11">
        <v>22924</v>
      </c>
      <c r="F155" t="s">
        <v>115</v>
      </c>
      <c r="G155" t="s">
        <v>369</v>
      </c>
      <c r="H155">
        <v>29000</v>
      </c>
      <c r="I155" s="12">
        <v>36500</v>
      </c>
      <c r="J155" t="s">
        <v>50</v>
      </c>
      <c r="K155">
        <v>38</v>
      </c>
      <c r="M155" t="s">
        <v>50</v>
      </c>
      <c r="N155">
        <v>47000</v>
      </c>
    </row>
    <row r="156" spans="1:14">
      <c r="A156" t="s">
        <v>78</v>
      </c>
      <c r="B156" t="s">
        <v>620</v>
      </c>
      <c r="C156">
        <v>23700</v>
      </c>
      <c r="E156">
        <v>19234</v>
      </c>
      <c r="F156" t="s">
        <v>243</v>
      </c>
      <c r="G156" t="s">
        <v>82</v>
      </c>
      <c r="H156" s="12">
        <v>8900</v>
      </c>
      <c r="I156" s="12">
        <v>4000</v>
      </c>
      <c r="J156" t="s">
        <v>50</v>
      </c>
      <c r="K156">
        <v>38</v>
      </c>
      <c r="M156" t="s">
        <v>50</v>
      </c>
      <c r="N156">
        <v>22500</v>
      </c>
    </row>
    <row r="157" spans="1:14">
      <c r="B157" t="s">
        <v>649</v>
      </c>
      <c r="C157" t="s">
        <v>600</v>
      </c>
      <c r="D157">
        <v>61</v>
      </c>
      <c r="E157">
        <v>23813</v>
      </c>
      <c r="F157" t="s">
        <v>115</v>
      </c>
      <c r="G157" t="s">
        <v>116</v>
      </c>
      <c r="H157" s="12">
        <v>26300</v>
      </c>
      <c r="I157">
        <v>40000</v>
      </c>
      <c r="J157" t="s">
        <v>51</v>
      </c>
      <c r="K157" t="s">
        <v>957</v>
      </c>
      <c r="M157" t="s">
        <v>51</v>
      </c>
      <c r="N157">
        <v>16500</v>
      </c>
    </row>
    <row r="158" spans="1:14">
      <c r="A158" t="s">
        <v>74</v>
      </c>
      <c r="B158" t="s">
        <v>792</v>
      </c>
      <c r="C158" t="s">
        <v>320</v>
      </c>
      <c r="D158">
        <v>53</v>
      </c>
      <c r="E158" s="11">
        <v>26631</v>
      </c>
      <c r="F158" t="s">
        <v>321</v>
      </c>
      <c r="G158" t="s">
        <v>207</v>
      </c>
      <c r="H158" s="12">
        <v>22700</v>
      </c>
      <c r="I158">
        <v>42500</v>
      </c>
      <c r="J158" t="s">
        <v>51</v>
      </c>
      <c r="K158">
        <v>25</v>
      </c>
      <c r="M158" t="s">
        <v>51</v>
      </c>
      <c r="N158">
        <v>86000</v>
      </c>
    </row>
    <row r="159" spans="1:14">
      <c r="A159" t="s">
        <v>74</v>
      </c>
      <c r="B159" t="s">
        <v>347</v>
      </c>
      <c r="C159" t="s">
        <v>348</v>
      </c>
      <c r="D159">
        <v>48</v>
      </c>
      <c r="E159">
        <v>28673</v>
      </c>
      <c r="F159" t="s">
        <v>321</v>
      </c>
      <c r="G159" t="s">
        <v>207</v>
      </c>
      <c r="H159" s="12">
        <v>2300</v>
      </c>
      <c r="I159">
        <v>26500</v>
      </c>
      <c r="J159" t="s">
        <v>349</v>
      </c>
      <c r="K159">
        <v>44</v>
      </c>
      <c r="M159" t="s">
        <v>349</v>
      </c>
      <c r="N159">
        <v>81000</v>
      </c>
    </row>
    <row r="160" spans="1:14">
      <c r="A160" t="s">
        <v>78</v>
      </c>
      <c r="B160" t="s">
        <v>848</v>
      </c>
      <c r="C160" t="s">
        <v>714</v>
      </c>
      <c r="E160">
        <v>38001</v>
      </c>
      <c r="F160" t="s">
        <v>215</v>
      </c>
      <c r="G160" t="s">
        <v>220</v>
      </c>
      <c r="H160">
        <v>2100</v>
      </c>
      <c r="I160">
        <v>79500</v>
      </c>
      <c r="J160" t="s">
        <v>51</v>
      </c>
      <c r="K160">
        <v>29</v>
      </c>
      <c r="M160" t="s">
        <v>51</v>
      </c>
      <c r="N160">
        <v>64000</v>
      </c>
    </row>
    <row r="161" spans="1:14">
      <c r="A161" t="s">
        <v>78</v>
      </c>
      <c r="B161" t="s">
        <v>839</v>
      </c>
      <c r="C161" t="s">
        <v>622</v>
      </c>
      <c r="D161">
        <v>33</v>
      </c>
      <c r="E161" s="11">
        <v>33955</v>
      </c>
      <c r="F161" t="s">
        <v>280</v>
      </c>
      <c r="G161" t="s">
        <v>164</v>
      </c>
      <c r="H161">
        <v>25700</v>
      </c>
      <c r="I161">
        <v>35000</v>
      </c>
      <c r="J161" t="s">
        <v>50</v>
      </c>
      <c r="K161">
        <v>40</v>
      </c>
      <c r="M161" t="s">
        <v>50</v>
      </c>
      <c r="N161">
        <v>1000</v>
      </c>
    </row>
    <row r="162" spans="1:14">
      <c r="A162" t="s">
        <v>78</v>
      </c>
      <c r="B162" t="s">
        <v>421</v>
      </c>
      <c r="C162">
        <v>27300</v>
      </c>
      <c r="D162">
        <v>66</v>
      </c>
      <c r="E162">
        <v>21873</v>
      </c>
      <c r="F162" t="s">
        <v>215</v>
      </c>
      <c r="G162" t="s">
        <v>164</v>
      </c>
      <c r="H162" s="12">
        <v>9900</v>
      </c>
      <c r="I162" t="s">
        <v>424</v>
      </c>
      <c r="J162" t="s">
        <v>50</v>
      </c>
      <c r="K162">
        <v>13</v>
      </c>
      <c r="M162" t="s">
        <v>50</v>
      </c>
      <c r="N162">
        <v>37000</v>
      </c>
    </row>
    <row r="163" spans="1:14">
      <c r="A163" t="s">
        <v>937</v>
      </c>
      <c r="B163" t="s">
        <v>980</v>
      </c>
      <c r="C163">
        <v>33700</v>
      </c>
      <c r="D163">
        <v>44</v>
      </c>
      <c r="E163">
        <v>30167</v>
      </c>
      <c r="F163" t="s">
        <v>223</v>
      </c>
      <c r="H163">
        <v>5500</v>
      </c>
      <c r="I163" s="12">
        <v>26000</v>
      </c>
      <c r="J163" t="s">
        <v>50</v>
      </c>
      <c r="K163" t="s">
        <v>981</v>
      </c>
      <c r="M163" t="s">
        <v>50</v>
      </c>
      <c r="N163">
        <v>64000</v>
      </c>
    </row>
    <row r="164" spans="1:14">
      <c r="A164" t="s">
        <v>78</v>
      </c>
      <c r="B164" t="s">
        <v>377</v>
      </c>
      <c r="C164" t="s">
        <v>378</v>
      </c>
      <c r="D164">
        <v>33</v>
      </c>
      <c r="E164" s="11">
        <v>34154</v>
      </c>
      <c r="F164" t="s">
        <v>219</v>
      </c>
      <c r="G164" t="s">
        <v>164</v>
      </c>
      <c r="H164">
        <v>2400</v>
      </c>
      <c r="I164" s="12">
        <v>78000</v>
      </c>
      <c r="J164" t="s">
        <v>50</v>
      </c>
      <c r="K164">
        <v>6</v>
      </c>
      <c r="M164" t="s">
        <v>50</v>
      </c>
      <c r="N164">
        <v>28000</v>
      </c>
    </row>
    <row r="165" spans="1:14">
      <c r="A165" t="s">
        <v>74</v>
      </c>
      <c r="B165" t="s">
        <v>512</v>
      </c>
      <c r="C165" t="s">
        <v>513</v>
      </c>
      <c r="D165">
        <v>51</v>
      </c>
      <c r="E165" s="11">
        <v>27505</v>
      </c>
      <c r="F165" t="s">
        <v>476</v>
      </c>
      <c r="H165" s="12">
        <v>7200</v>
      </c>
      <c r="I165" t="s">
        <v>515</v>
      </c>
      <c r="J165" t="s">
        <v>51</v>
      </c>
      <c r="K165">
        <v>40</v>
      </c>
      <c r="M165" t="s">
        <v>51</v>
      </c>
      <c r="N165">
        <v>5500</v>
      </c>
    </row>
    <row r="166" spans="1:14">
      <c r="A166" t="s">
        <v>979</v>
      </c>
      <c r="B166" t="s">
        <v>835</v>
      </c>
      <c r="D166">
        <v>61</v>
      </c>
      <c r="E166">
        <v>23932</v>
      </c>
      <c r="F166" t="s">
        <v>86</v>
      </c>
      <c r="G166" t="s">
        <v>87</v>
      </c>
      <c r="H166">
        <v>4100</v>
      </c>
      <c r="I166">
        <v>78000</v>
      </c>
      <c r="J166" t="s">
        <v>50</v>
      </c>
      <c r="K166">
        <v>25</v>
      </c>
      <c r="M166" t="s">
        <v>50</v>
      </c>
      <c r="N166">
        <v>48000</v>
      </c>
    </row>
    <row r="167" spans="1:14">
      <c r="A167" t="s">
        <v>74</v>
      </c>
      <c r="B167" t="s">
        <v>728</v>
      </c>
      <c r="C167">
        <v>18800</v>
      </c>
      <c r="D167">
        <v>43</v>
      </c>
      <c r="E167">
        <v>30355</v>
      </c>
      <c r="F167" t="s">
        <v>246</v>
      </c>
      <c r="G167" t="s">
        <v>164</v>
      </c>
      <c r="H167" s="12">
        <v>21700</v>
      </c>
      <c r="I167">
        <v>31000</v>
      </c>
      <c r="J167" t="s">
        <v>50</v>
      </c>
      <c r="K167">
        <v>27</v>
      </c>
      <c r="M167" t="s">
        <v>50</v>
      </c>
      <c r="N167">
        <v>45500</v>
      </c>
    </row>
    <row r="168" spans="1:14">
      <c r="A168" t="s">
        <v>74</v>
      </c>
      <c r="B168" t="s">
        <v>823</v>
      </c>
      <c r="C168" t="s">
        <v>482</v>
      </c>
      <c r="D168">
        <v>56</v>
      </c>
      <c r="E168" s="11">
        <v>25808</v>
      </c>
      <c r="F168" t="s">
        <v>223</v>
      </c>
      <c r="G168" t="s">
        <v>82</v>
      </c>
      <c r="H168">
        <v>5400</v>
      </c>
      <c r="I168">
        <v>61000</v>
      </c>
      <c r="J168" t="s">
        <v>50</v>
      </c>
      <c r="K168">
        <v>12</v>
      </c>
      <c r="M168" t="s">
        <v>50</v>
      </c>
      <c r="N168">
        <v>96500</v>
      </c>
    </row>
    <row r="169" spans="1:14">
      <c r="A169" t="s">
        <v>929</v>
      </c>
      <c r="B169" t="s">
        <v>126</v>
      </c>
      <c r="C169">
        <v>10200</v>
      </c>
      <c r="D169">
        <v>35</v>
      </c>
      <c r="E169" s="11">
        <v>33444</v>
      </c>
      <c r="F169" t="s">
        <v>288</v>
      </c>
      <c r="G169" t="s">
        <v>447</v>
      </c>
      <c r="H169" s="13">
        <v>8400</v>
      </c>
      <c r="I169">
        <v>62500</v>
      </c>
      <c r="J169" t="s">
        <v>50</v>
      </c>
      <c r="K169">
        <v>31</v>
      </c>
      <c r="M169" t="s">
        <v>50</v>
      </c>
      <c r="N169">
        <v>83500</v>
      </c>
    </row>
    <row r="170" spans="1:14">
      <c r="A170" t="s">
        <v>78</v>
      </c>
      <c r="B170" t="s">
        <v>144</v>
      </c>
      <c r="C170" t="s">
        <v>145</v>
      </c>
      <c r="D170">
        <v>44</v>
      </c>
      <c r="E170">
        <v>29948</v>
      </c>
      <c r="F170" t="s">
        <v>226</v>
      </c>
      <c r="G170" t="s">
        <v>226</v>
      </c>
      <c r="I170">
        <v>0</v>
      </c>
      <c r="J170" t="s">
        <v>50</v>
      </c>
      <c r="K170">
        <v>4</v>
      </c>
      <c r="M170" t="s">
        <v>50</v>
      </c>
      <c r="N170">
        <v>80000</v>
      </c>
    </row>
    <row r="171" spans="1:14">
      <c r="A171" t="s">
        <v>78</v>
      </c>
      <c r="B171" t="s">
        <v>553</v>
      </c>
      <c r="C171" t="s">
        <v>554</v>
      </c>
      <c r="D171">
        <v>31</v>
      </c>
      <c r="E171" s="11">
        <v>34738</v>
      </c>
      <c r="F171" t="s">
        <v>223</v>
      </c>
      <c r="G171" t="s">
        <v>82</v>
      </c>
      <c r="H171">
        <v>22600</v>
      </c>
      <c r="I171">
        <v>58000</v>
      </c>
      <c r="J171" t="s">
        <v>255</v>
      </c>
      <c r="K171" t="s">
        <v>982</v>
      </c>
      <c r="M171" t="s">
        <v>255</v>
      </c>
      <c r="N171">
        <v>26500</v>
      </c>
    </row>
    <row r="172" spans="1:14">
      <c r="A172" t="s">
        <v>78</v>
      </c>
      <c r="B172" t="s">
        <v>500</v>
      </c>
      <c r="C172">
        <v>4000</v>
      </c>
      <c r="D172">
        <v>48</v>
      </c>
      <c r="E172" s="11">
        <v>28663</v>
      </c>
      <c r="F172" t="s">
        <v>150</v>
      </c>
      <c r="G172" t="s">
        <v>447</v>
      </c>
      <c r="H172">
        <v>24700</v>
      </c>
      <c r="I172">
        <v>30500</v>
      </c>
      <c r="J172" t="s">
        <v>50</v>
      </c>
      <c r="K172">
        <v>34</v>
      </c>
      <c r="M172" t="s">
        <v>50</v>
      </c>
      <c r="N172">
        <v>87500</v>
      </c>
    </row>
    <row r="173" spans="1:14">
      <c r="A173" t="s">
        <v>78</v>
      </c>
      <c r="B173" t="s">
        <v>519</v>
      </c>
      <c r="C173" t="s">
        <v>337</v>
      </c>
      <c r="D173">
        <v>30</v>
      </c>
      <c r="E173">
        <v>35213</v>
      </c>
      <c r="F173" t="s">
        <v>663</v>
      </c>
      <c r="H173">
        <v>3900</v>
      </c>
      <c r="I173">
        <v>45000</v>
      </c>
      <c r="J173" t="s">
        <v>50</v>
      </c>
      <c r="K173">
        <v>34</v>
      </c>
      <c r="M173" t="s">
        <v>50</v>
      </c>
      <c r="N173">
        <v>41500</v>
      </c>
    </row>
    <row r="174" spans="1:14">
      <c r="A174" t="s">
        <v>78</v>
      </c>
      <c r="B174" t="s">
        <v>165</v>
      </c>
      <c r="C174" t="s">
        <v>166</v>
      </c>
      <c r="D174">
        <v>21</v>
      </c>
      <c r="E174" s="11">
        <v>38328</v>
      </c>
      <c r="F174" t="s">
        <v>101</v>
      </c>
      <c r="G174" t="s">
        <v>103</v>
      </c>
      <c r="H174">
        <v>4400</v>
      </c>
      <c r="I174">
        <v>23500</v>
      </c>
      <c r="J174" t="s">
        <v>51</v>
      </c>
      <c r="K174">
        <v>31</v>
      </c>
      <c r="M174" t="s">
        <v>51</v>
      </c>
      <c r="N174">
        <v>91000</v>
      </c>
    </row>
    <row r="175" spans="1:14">
      <c r="A175" t="s">
        <v>74</v>
      </c>
      <c r="B175" t="s">
        <v>983</v>
      </c>
      <c r="C175">
        <v>30000</v>
      </c>
      <c r="D175">
        <v>48</v>
      </c>
      <c r="E175">
        <v>28509</v>
      </c>
      <c r="F175" t="s">
        <v>252</v>
      </c>
      <c r="G175" t="s">
        <v>358</v>
      </c>
      <c r="H175" t="s">
        <v>711</v>
      </c>
      <c r="I175" s="12">
        <v>9000</v>
      </c>
      <c r="J175">
        <v>0</v>
      </c>
      <c r="K175">
        <v>28</v>
      </c>
      <c r="M175">
        <v>0</v>
      </c>
      <c r="N175">
        <v>80000</v>
      </c>
    </row>
    <row r="176" spans="1:14">
      <c r="A176" t="s">
        <v>74</v>
      </c>
      <c r="B176" t="s">
        <v>799</v>
      </c>
      <c r="C176" t="s">
        <v>645</v>
      </c>
      <c r="E176">
        <v>25925</v>
      </c>
      <c r="F176" t="s">
        <v>101</v>
      </c>
      <c r="G176" t="s">
        <v>103</v>
      </c>
      <c r="H176" s="12">
        <v>20200</v>
      </c>
      <c r="I176">
        <v>61000</v>
      </c>
      <c r="J176" t="s">
        <v>50</v>
      </c>
      <c r="K176">
        <v>10</v>
      </c>
      <c r="M176" t="s">
        <v>50</v>
      </c>
      <c r="N176">
        <v>6500</v>
      </c>
    </row>
    <row r="177" spans="1:14">
      <c r="B177" t="s">
        <v>227</v>
      </c>
      <c r="C177" t="s">
        <v>228</v>
      </c>
      <c r="D177">
        <v>56</v>
      </c>
      <c r="E177" s="11">
        <v>25705</v>
      </c>
      <c r="F177" t="s">
        <v>150</v>
      </c>
      <c r="G177" t="s">
        <v>447</v>
      </c>
      <c r="H177" s="12">
        <v>11100</v>
      </c>
      <c r="I177" s="12">
        <v>13000</v>
      </c>
      <c r="J177" t="s">
        <v>50</v>
      </c>
      <c r="K177">
        <v>38</v>
      </c>
      <c r="M177" t="s">
        <v>50</v>
      </c>
      <c r="N177">
        <v>88000</v>
      </c>
    </row>
    <row r="178" spans="1:14">
      <c r="A178" t="s">
        <v>74</v>
      </c>
      <c r="B178" t="s">
        <v>173</v>
      </c>
      <c r="C178" t="s">
        <v>174</v>
      </c>
      <c r="D178">
        <v>62</v>
      </c>
      <c r="E178" s="11">
        <v>23337</v>
      </c>
      <c r="F178" t="s">
        <v>288</v>
      </c>
      <c r="G178" t="s">
        <v>447</v>
      </c>
      <c r="H178">
        <v>11900</v>
      </c>
      <c r="I178" s="13">
        <v>58500</v>
      </c>
      <c r="J178" t="s">
        <v>50</v>
      </c>
      <c r="K178">
        <v>37</v>
      </c>
      <c r="M178" t="s">
        <v>50</v>
      </c>
      <c r="N178">
        <v>48000</v>
      </c>
    </row>
    <row r="179" spans="1:14">
      <c r="A179" t="s">
        <v>74</v>
      </c>
      <c r="B179" t="s">
        <v>201</v>
      </c>
      <c r="C179" t="s">
        <v>202</v>
      </c>
      <c r="D179">
        <v>26</v>
      </c>
      <c r="E179">
        <v>36619</v>
      </c>
      <c r="F179" t="s">
        <v>252</v>
      </c>
      <c r="G179" t="s">
        <v>87</v>
      </c>
      <c r="H179" t="s">
        <v>203</v>
      </c>
      <c r="I179">
        <v>42500</v>
      </c>
      <c r="J179" t="s">
        <v>51</v>
      </c>
      <c r="K179">
        <v>29</v>
      </c>
      <c r="M179" t="s">
        <v>51</v>
      </c>
      <c r="N179">
        <v>66000</v>
      </c>
    </row>
    <row r="180" spans="1:14">
      <c r="A180" t="s">
        <v>74</v>
      </c>
      <c r="B180" t="s">
        <v>673</v>
      </c>
      <c r="C180" t="s">
        <v>612</v>
      </c>
      <c r="D180">
        <v>30</v>
      </c>
      <c r="E180" s="11">
        <v>35109</v>
      </c>
      <c r="F180" t="s">
        <v>231</v>
      </c>
      <c r="G180" t="s">
        <v>629</v>
      </c>
      <c r="H180">
        <v>2600</v>
      </c>
      <c r="I180">
        <v>62000</v>
      </c>
      <c r="J180" t="s">
        <v>50</v>
      </c>
      <c r="K180">
        <v>22</v>
      </c>
      <c r="M180" t="s">
        <v>50</v>
      </c>
      <c r="N180">
        <v>62000</v>
      </c>
    </row>
    <row r="181" spans="1:14">
      <c r="A181" t="s">
        <v>74</v>
      </c>
      <c r="B181" t="s">
        <v>572</v>
      </c>
      <c r="C181" t="s">
        <v>573</v>
      </c>
      <c r="E181" s="11">
        <v>19168</v>
      </c>
      <c r="F181" t="s">
        <v>101</v>
      </c>
      <c r="G181" t="s">
        <v>130</v>
      </c>
      <c r="H181">
        <v>25000</v>
      </c>
      <c r="I181">
        <v>0</v>
      </c>
      <c r="J181" t="s">
        <v>50</v>
      </c>
      <c r="K181">
        <v>3</v>
      </c>
      <c r="M181" t="s">
        <v>50</v>
      </c>
      <c r="N181">
        <v>2500</v>
      </c>
    </row>
    <row r="182" spans="1:14">
      <c r="A182" t="s">
        <v>78</v>
      </c>
      <c r="B182" t="s">
        <v>984</v>
      </c>
      <c r="C182" t="s">
        <v>704</v>
      </c>
      <c r="D182">
        <v>65</v>
      </c>
      <c r="E182">
        <v>22205</v>
      </c>
      <c r="F182" t="s">
        <v>219</v>
      </c>
      <c r="G182" t="s">
        <v>164</v>
      </c>
      <c r="H182">
        <v>19800</v>
      </c>
      <c r="I182" s="13">
        <v>78500</v>
      </c>
      <c r="J182" t="s">
        <v>50</v>
      </c>
      <c r="K182">
        <v>34</v>
      </c>
      <c r="M182" t="s">
        <v>50</v>
      </c>
      <c r="N182">
        <v>23000</v>
      </c>
    </row>
    <row r="183" spans="1:14">
      <c r="A183" t="s">
        <v>78</v>
      </c>
      <c r="B183" t="s">
        <v>437</v>
      </c>
      <c r="C183" t="s">
        <v>417</v>
      </c>
      <c r="D183">
        <v>58</v>
      </c>
      <c r="E183" s="11">
        <v>24726</v>
      </c>
      <c r="F183" t="s">
        <v>156</v>
      </c>
      <c r="G183" t="s">
        <v>116</v>
      </c>
      <c r="H183" t="s">
        <v>438</v>
      </c>
      <c r="I183">
        <v>40000</v>
      </c>
      <c r="J183" t="s">
        <v>50</v>
      </c>
      <c r="K183">
        <v>16</v>
      </c>
      <c r="M183" t="s">
        <v>50</v>
      </c>
      <c r="N183">
        <v>98500</v>
      </c>
    </row>
    <row r="184" spans="1:14">
      <c r="A184" t="s">
        <v>74</v>
      </c>
      <c r="B184" t="s">
        <v>538</v>
      </c>
      <c r="C184" t="s">
        <v>343</v>
      </c>
      <c r="D184">
        <v>45</v>
      </c>
      <c r="E184">
        <v>29769</v>
      </c>
      <c r="F184" t="s">
        <v>231</v>
      </c>
      <c r="G184" t="s">
        <v>441</v>
      </c>
      <c r="H184">
        <v>24400</v>
      </c>
      <c r="I184" s="12">
        <v>7500</v>
      </c>
      <c r="J184" t="s">
        <v>255</v>
      </c>
      <c r="K184">
        <v>13</v>
      </c>
      <c r="M184" t="s">
        <v>255</v>
      </c>
      <c r="N184">
        <v>95000</v>
      </c>
    </row>
    <row r="185" spans="1:14">
      <c r="A185" t="s">
        <v>74</v>
      </c>
      <c r="B185" t="s">
        <v>682</v>
      </c>
      <c r="C185">
        <v>34800</v>
      </c>
      <c r="D185">
        <v>26</v>
      </c>
      <c r="E185">
        <v>36596</v>
      </c>
      <c r="F185" t="s">
        <v>246</v>
      </c>
      <c r="G185" t="s">
        <v>743</v>
      </c>
      <c r="H185">
        <v>3500</v>
      </c>
      <c r="I185">
        <v>50000</v>
      </c>
      <c r="J185">
        <v>0</v>
      </c>
      <c r="K185">
        <v>40</v>
      </c>
      <c r="M185">
        <v>0</v>
      </c>
      <c r="N185">
        <v>46500</v>
      </c>
    </row>
    <row r="186" spans="1:14">
      <c r="A186" t="s">
        <v>74</v>
      </c>
      <c r="B186" t="s">
        <v>617</v>
      </c>
      <c r="C186" t="s">
        <v>618</v>
      </c>
      <c r="D186">
        <v>42</v>
      </c>
      <c r="E186">
        <v>30898</v>
      </c>
      <c r="F186" t="s">
        <v>239</v>
      </c>
      <c r="H186">
        <v>20800</v>
      </c>
      <c r="I186" s="12">
        <v>54000</v>
      </c>
      <c r="J186" t="s">
        <v>50</v>
      </c>
      <c r="K186">
        <v>4</v>
      </c>
      <c r="M186" t="s">
        <v>50</v>
      </c>
      <c r="N186">
        <v>73500</v>
      </c>
    </row>
    <row r="187" spans="1:14">
      <c r="A187" t="s">
        <v>78</v>
      </c>
      <c r="B187" t="s">
        <v>664</v>
      </c>
      <c r="C187" t="s">
        <v>385</v>
      </c>
      <c r="D187">
        <v>66</v>
      </c>
      <c r="E187" s="11">
        <v>21954</v>
      </c>
      <c r="F187" t="s">
        <v>150</v>
      </c>
      <c r="G187" t="s">
        <v>934</v>
      </c>
      <c r="H187">
        <v>3400</v>
      </c>
      <c r="I187">
        <v>78000</v>
      </c>
      <c r="J187" t="s">
        <v>50</v>
      </c>
      <c r="K187">
        <v>9</v>
      </c>
      <c r="M187" t="s">
        <v>50</v>
      </c>
      <c r="N187">
        <v>51500</v>
      </c>
    </row>
    <row r="188" spans="1:14">
      <c r="A188" t="s">
        <v>979</v>
      </c>
      <c r="B188" t="s">
        <v>111</v>
      </c>
      <c r="C188" t="s">
        <v>112</v>
      </c>
      <c r="D188">
        <v>49</v>
      </c>
      <c r="E188">
        <v>28049</v>
      </c>
      <c r="F188" t="s">
        <v>219</v>
      </c>
      <c r="G188" t="s">
        <v>164</v>
      </c>
      <c r="H188">
        <v>25200</v>
      </c>
      <c r="I188">
        <v>59500</v>
      </c>
      <c r="J188" t="s">
        <v>50</v>
      </c>
      <c r="K188">
        <v>37</v>
      </c>
      <c r="M188" t="s">
        <v>50</v>
      </c>
      <c r="N188">
        <v>86500</v>
      </c>
    </row>
    <row r="189" spans="1:14">
      <c r="A189" t="s">
        <v>74</v>
      </c>
      <c r="B189" t="s">
        <v>636</v>
      </c>
      <c r="C189" t="s">
        <v>637</v>
      </c>
      <c r="D189">
        <v>60</v>
      </c>
      <c r="E189" s="11">
        <v>24021</v>
      </c>
      <c r="F189" t="s">
        <v>280</v>
      </c>
      <c r="G189" t="s">
        <v>220</v>
      </c>
      <c r="H189">
        <v>22900</v>
      </c>
      <c r="I189">
        <v>4500</v>
      </c>
      <c r="J189" t="s">
        <v>51</v>
      </c>
      <c r="K189">
        <v>29</v>
      </c>
      <c r="M189" t="s">
        <v>51</v>
      </c>
      <c r="N189">
        <v>43500</v>
      </c>
    </row>
    <row r="190" spans="1:14">
      <c r="A190" t="s">
        <v>985</v>
      </c>
      <c r="B190" t="s">
        <v>278</v>
      </c>
      <c r="C190">
        <v>17500</v>
      </c>
      <c r="D190">
        <v>60</v>
      </c>
      <c r="E190" s="11">
        <v>24091</v>
      </c>
      <c r="F190" t="s">
        <v>239</v>
      </c>
      <c r="G190" t="s">
        <v>303</v>
      </c>
      <c r="H190">
        <v>10100</v>
      </c>
      <c r="I190">
        <v>55000</v>
      </c>
      <c r="J190" t="s">
        <v>50</v>
      </c>
      <c r="K190">
        <v>26</v>
      </c>
      <c r="M190" t="s">
        <v>50</v>
      </c>
      <c r="N190">
        <v>54000</v>
      </c>
    </row>
    <row r="191" spans="1:14">
      <c r="A191" t="s">
        <v>74</v>
      </c>
      <c r="B191" t="s">
        <v>240</v>
      </c>
      <c r="C191">
        <v>16300</v>
      </c>
      <c r="D191" t="s">
        <v>986</v>
      </c>
      <c r="E191" s="11">
        <v>36255</v>
      </c>
      <c r="F191" t="s">
        <v>219</v>
      </c>
      <c r="G191" t="s">
        <v>164</v>
      </c>
      <c r="H191">
        <v>14000</v>
      </c>
      <c r="I191">
        <v>63500</v>
      </c>
      <c r="J191" t="s">
        <v>50</v>
      </c>
      <c r="K191">
        <v>24</v>
      </c>
      <c r="M191" t="s">
        <v>50</v>
      </c>
      <c r="N191">
        <v>87000</v>
      </c>
    </row>
    <row r="192" spans="1:14">
      <c r="A192" t="s">
        <v>74</v>
      </c>
      <c r="B192" t="s">
        <v>694</v>
      </c>
      <c r="C192" t="s">
        <v>638</v>
      </c>
      <c r="D192">
        <v>53</v>
      </c>
      <c r="E192">
        <v>26898</v>
      </c>
      <c r="F192" t="s">
        <v>215</v>
      </c>
      <c r="G192" t="s">
        <v>164</v>
      </c>
      <c r="H192">
        <v>27100</v>
      </c>
      <c r="I192">
        <v>68000</v>
      </c>
      <c r="J192" t="s">
        <v>50</v>
      </c>
      <c r="K192" t="s">
        <v>987</v>
      </c>
      <c r="M192" t="s">
        <v>50</v>
      </c>
      <c r="N192">
        <v>49500</v>
      </c>
    </row>
    <row r="193" spans="1:14">
      <c r="A193" t="s">
        <v>74</v>
      </c>
      <c r="B193" t="s">
        <v>497</v>
      </c>
      <c r="C193" t="s">
        <v>498</v>
      </c>
      <c r="D193">
        <v>37</v>
      </c>
      <c r="E193">
        <v>32414</v>
      </c>
      <c r="F193" t="s">
        <v>639</v>
      </c>
      <c r="H193">
        <v>12800</v>
      </c>
      <c r="I193">
        <v>76500</v>
      </c>
      <c r="J193" t="s">
        <v>50</v>
      </c>
      <c r="K193" t="s">
        <v>981</v>
      </c>
      <c r="M193" t="s">
        <v>50</v>
      </c>
      <c r="N193">
        <v>18500</v>
      </c>
    </row>
    <row r="194" spans="1:14">
      <c r="A194" t="s">
        <v>74</v>
      </c>
      <c r="B194" t="s">
        <v>665</v>
      </c>
      <c r="C194">
        <v>35000</v>
      </c>
      <c r="D194">
        <v>18</v>
      </c>
      <c r="E194" s="11">
        <v>39342</v>
      </c>
      <c r="F194" t="s">
        <v>223</v>
      </c>
      <c r="G194" t="s">
        <v>82</v>
      </c>
      <c r="H194">
        <v>28900</v>
      </c>
      <c r="I194">
        <v>22000</v>
      </c>
      <c r="J194" t="s">
        <v>50</v>
      </c>
      <c r="K194">
        <v>23</v>
      </c>
      <c r="M194" t="s">
        <v>50</v>
      </c>
      <c r="N194">
        <v>90000</v>
      </c>
    </row>
    <row r="195" spans="1:14">
      <c r="A195" t="s">
        <v>74</v>
      </c>
      <c r="B195" t="s">
        <v>533</v>
      </c>
      <c r="C195" t="s">
        <v>534</v>
      </c>
      <c r="D195">
        <v>27</v>
      </c>
      <c r="E195">
        <v>36308</v>
      </c>
      <c r="F195" t="s">
        <v>86</v>
      </c>
      <c r="G195" t="s">
        <v>87</v>
      </c>
      <c r="H195">
        <v>5300</v>
      </c>
      <c r="I195" t="s">
        <v>536</v>
      </c>
      <c r="J195" t="s">
        <v>396</v>
      </c>
      <c r="K195">
        <v>11</v>
      </c>
      <c r="M195" t="s">
        <v>396</v>
      </c>
      <c r="N195">
        <v>4500</v>
      </c>
    </row>
    <row r="196" spans="1:14">
      <c r="A196" t="s">
        <v>74</v>
      </c>
      <c r="B196" t="s">
        <v>988</v>
      </c>
      <c r="C196" t="s">
        <v>370</v>
      </c>
      <c r="D196">
        <v>25</v>
      </c>
      <c r="E196">
        <v>36824</v>
      </c>
      <c r="F196" t="s">
        <v>219</v>
      </c>
      <c r="G196" t="s">
        <v>164</v>
      </c>
      <c r="H196">
        <v>18300</v>
      </c>
      <c r="I196">
        <v>41000</v>
      </c>
      <c r="J196" t="s">
        <v>50</v>
      </c>
      <c r="K196">
        <v>9</v>
      </c>
      <c r="M196" t="s">
        <v>50</v>
      </c>
      <c r="N196">
        <v>32500</v>
      </c>
    </row>
    <row r="197" spans="1:14">
      <c r="A197" t="s">
        <v>74</v>
      </c>
      <c r="B197" t="s">
        <v>643</v>
      </c>
      <c r="C197" t="s">
        <v>644</v>
      </c>
      <c r="D197">
        <v>55</v>
      </c>
      <c r="E197">
        <v>26103</v>
      </c>
      <c r="F197" t="s">
        <v>231</v>
      </c>
      <c r="G197" t="s">
        <v>232</v>
      </c>
      <c r="H197">
        <v>9600</v>
      </c>
      <c r="I197">
        <v>43000</v>
      </c>
      <c r="J197" t="s">
        <v>50</v>
      </c>
      <c r="K197">
        <v>36</v>
      </c>
      <c r="M197" t="s">
        <v>50</v>
      </c>
      <c r="N197">
        <v>67500</v>
      </c>
    </row>
    <row r="198" spans="1:14">
      <c r="A198" t="s">
        <v>74</v>
      </c>
      <c r="B198" t="s">
        <v>989</v>
      </c>
      <c r="C198" t="s">
        <v>182</v>
      </c>
      <c r="D198">
        <v>23</v>
      </c>
      <c r="E198">
        <v>37530</v>
      </c>
      <c r="F198" t="s">
        <v>277</v>
      </c>
      <c r="H198">
        <v>10700</v>
      </c>
      <c r="I198">
        <v>15000</v>
      </c>
      <c r="J198" t="s">
        <v>50</v>
      </c>
      <c r="K198">
        <v>42</v>
      </c>
      <c r="M198" t="s">
        <v>50</v>
      </c>
      <c r="N198">
        <v>81500</v>
      </c>
    </row>
    <row r="199" spans="1:14">
      <c r="A199" t="s">
        <v>78</v>
      </c>
      <c r="B199" t="s">
        <v>802</v>
      </c>
      <c r="C199" t="s">
        <v>313</v>
      </c>
      <c r="D199">
        <v>58</v>
      </c>
      <c r="E199">
        <v>24872</v>
      </c>
      <c r="F199" t="s">
        <v>101</v>
      </c>
      <c r="G199" t="s">
        <v>103</v>
      </c>
      <c r="H199" s="12">
        <v>12500</v>
      </c>
      <c r="I199" s="13">
        <v>44500</v>
      </c>
      <c r="J199" t="s">
        <v>396</v>
      </c>
      <c r="K199">
        <v>13</v>
      </c>
      <c r="M199" t="s">
        <v>396</v>
      </c>
      <c r="N199">
        <v>16000</v>
      </c>
    </row>
    <row r="200" spans="1:14">
      <c r="A200" t="s">
        <v>74</v>
      </c>
      <c r="B200" t="s">
        <v>414</v>
      </c>
      <c r="D200">
        <v>24</v>
      </c>
      <c r="F200" t="s">
        <v>288</v>
      </c>
      <c r="G200" t="s">
        <v>136</v>
      </c>
      <c r="H200">
        <v>17000</v>
      </c>
      <c r="I200">
        <v>41000</v>
      </c>
      <c r="J200" t="s">
        <v>50</v>
      </c>
      <c r="K200">
        <v>37</v>
      </c>
      <c r="M200" t="s">
        <v>50</v>
      </c>
      <c r="N200">
        <v>33000</v>
      </c>
    </row>
    <row r="201" spans="1:14">
      <c r="A201" t="s">
        <v>74</v>
      </c>
      <c r="B201" t="s">
        <v>793</v>
      </c>
      <c r="C201">
        <v>7700</v>
      </c>
      <c r="E201" s="11">
        <v>31337</v>
      </c>
      <c r="F201" t="s">
        <v>252</v>
      </c>
      <c r="G201" t="s">
        <v>87</v>
      </c>
      <c r="H201">
        <v>14000</v>
      </c>
      <c r="I201">
        <v>0</v>
      </c>
      <c r="J201" t="s">
        <v>255</v>
      </c>
      <c r="K201">
        <v>24</v>
      </c>
      <c r="M201" t="s">
        <v>255</v>
      </c>
      <c r="N201">
        <v>82000</v>
      </c>
    </row>
    <row r="202" spans="1:14">
      <c r="A202" t="s">
        <v>74</v>
      </c>
      <c r="B202" t="s">
        <v>128</v>
      </c>
      <c r="C202" t="s">
        <v>990</v>
      </c>
      <c r="D202">
        <v>59</v>
      </c>
      <c r="E202">
        <v>24710</v>
      </c>
      <c r="F202" t="s">
        <v>486</v>
      </c>
      <c r="H202" s="13">
        <v>19900</v>
      </c>
      <c r="I202" s="13">
        <v>55000</v>
      </c>
      <c r="J202" t="s">
        <v>50</v>
      </c>
      <c r="K202">
        <v>26</v>
      </c>
      <c r="M202" t="s">
        <v>50</v>
      </c>
      <c r="N202">
        <v>100000</v>
      </c>
    </row>
    <row r="203" spans="1:14">
      <c r="A203" t="s">
        <v>78</v>
      </c>
      <c r="B203" t="s">
        <v>991</v>
      </c>
      <c r="C203" t="s">
        <v>759</v>
      </c>
      <c r="D203">
        <v>74</v>
      </c>
      <c r="E203">
        <v>19073</v>
      </c>
      <c r="F203" t="s">
        <v>239</v>
      </c>
      <c r="H203">
        <v>7100</v>
      </c>
      <c r="I203">
        <v>61500</v>
      </c>
      <c r="J203" t="s">
        <v>50</v>
      </c>
      <c r="K203" t="s">
        <v>935</v>
      </c>
      <c r="M203" t="s">
        <v>50</v>
      </c>
      <c r="N203">
        <v>50500</v>
      </c>
    </row>
    <row r="204" spans="1:14">
      <c r="A204" t="s">
        <v>74</v>
      </c>
      <c r="B204" t="s">
        <v>771</v>
      </c>
      <c r="C204" t="s">
        <v>772</v>
      </c>
      <c r="D204">
        <v>64</v>
      </c>
      <c r="E204" s="11">
        <v>22886</v>
      </c>
      <c r="F204" t="s">
        <v>101</v>
      </c>
      <c r="G204" t="s">
        <v>130</v>
      </c>
      <c r="H204" s="13">
        <v>8800</v>
      </c>
      <c r="I204" s="12">
        <v>66000</v>
      </c>
      <c r="J204" t="s">
        <v>50</v>
      </c>
      <c r="K204">
        <v>28</v>
      </c>
      <c r="M204" t="s">
        <v>50</v>
      </c>
      <c r="N204">
        <v>5000</v>
      </c>
    </row>
    <row r="205" spans="1:14">
      <c r="A205" t="s">
        <v>78</v>
      </c>
      <c r="B205" t="s">
        <v>802</v>
      </c>
      <c r="C205" t="s">
        <v>313</v>
      </c>
      <c r="D205">
        <v>58</v>
      </c>
      <c r="E205">
        <v>24872</v>
      </c>
      <c r="F205" t="s">
        <v>101</v>
      </c>
      <c r="G205" t="s">
        <v>103</v>
      </c>
      <c r="H205" s="12">
        <v>12500</v>
      </c>
      <c r="I205" s="13">
        <v>44500</v>
      </c>
      <c r="J205" t="s">
        <v>396</v>
      </c>
      <c r="K205">
        <v>13</v>
      </c>
      <c r="M205" t="s">
        <v>396</v>
      </c>
      <c r="N205">
        <v>98500</v>
      </c>
    </row>
    <row r="206" spans="1:14">
      <c r="A206" t="s">
        <v>74</v>
      </c>
      <c r="B206" t="s">
        <v>397</v>
      </c>
      <c r="C206">
        <v>23300</v>
      </c>
      <c r="D206">
        <v>38</v>
      </c>
      <c r="E206">
        <v>32066</v>
      </c>
      <c r="F206" t="s">
        <v>156</v>
      </c>
      <c r="G206" t="s">
        <v>116</v>
      </c>
      <c r="H206">
        <v>9700</v>
      </c>
      <c r="I206" s="13">
        <v>25000</v>
      </c>
      <c r="J206" t="s">
        <v>50</v>
      </c>
      <c r="K206">
        <v>0</v>
      </c>
      <c r="M206" t="s">
        <v>50</v>
      </c>
      <c r="N206">
        <v>55500</v>
      </c>
    </row>
    <row r="207" spans="1:14">
      <c r="A207" t="s">
        <v>74</v>
      </c>
      <c r="B207" t="s">
        <v>605</v>
      </c>
      <c r="C207">
        <v>9600</v>
      </c>
      <c r="D207">
        <v>49</v>
      </c>
      <c r="E207">
        <v>28330</v>
      </c>
      <c r="F207" t="s">
        <v>115</v>
      </c>
      <c r="G207" t="s">
        <v>116</v>
      </c>
      <c r="H207">
        <v>11500</v>
      </c>
      <c r="I207">
        <v>44500</v>
      </c>
      <c r="J207" t="s">
        <v>50</v>
      </c>
      <c r="K207">
        <v>45</v>
      </c>
      <c r="M207" t="s">
        <v>50</v>
      </c>
      <c r="N207">
        <v>3000</v>
      </c>
    </row>
    <row r="208" spans="1:14">
      <c r="A208" t="s">
        <v>74</v>
      </c>
      <c r="B208" t="s">
        <v>817</v>
      </c>
      <c r="C208">
        <v>19000</v>
      </c>
      <c r="D208">
        <v>42</v>
      </c>
      <c r="E208" s="11">
        <v>30724</v>
      </c>
      <c r="F208" t="s">
        <v>246</v>
      </c>
      <c r="G208" t="s">
        <v>164</v>
      </c>
      <c r="H208">
        <v>18500</v>
      </c>
      <c r="I208" s="12">
        <v>59000</v>
      </c>
      <c r="J208" t="s">
        <v>50</v>
      </c>
      <c r="K208">
        <v>44</v>
      </c>
      <c r="M208" t="s">
        <v>50</v>
      </c>
      <c r="N208">
        <v>16500</v>
      </c>
    </row>
    <row r="209" spans="1:14">
      <c r="A209" t="s">
        <v>74</v>
      </c>
      <c r="B209" t="s">
        <v>702</v>
      </c>
      <c r="C209" t="s">
        <v>703</v>
      </c>
      <c r="D209">
        <v>18</v>
      </c>
      <c r="E209">
        <v>39338</v>
      </c>
      <c r="F209" t="s">
        <v>215</v>
      </c>
      <c r="G209" t="s">
        <v>220</v>
      </c>
      <c r="H209" s="13">
        <v>14100</v>
      </c>
      <c r="I209">
        <v>38500</v>
      </c>
      <c r="J209" t="s">
        <v>50</v>
      </c>
      <c r="K209">
        <v>7</v>
      </c>
      <c r="M209" t="s">
        <v>50</v>
      </c>
      <c r="N209">
        <v>11000</v>
      </c>
    </row>
    <row r="210" spans="1:14">
      <c r="A210" t="s">
        <v>74</v>
      </c>
      <c r="B210" t="s">
        <v>154</v>
      </c>
      <c r="C210">
        <v>4900</v>
      </c>
      <c r="D210">
        <v>18</v>
      </c>
      <c r="E210">
        <v>39369</v>
      </c>
      <c r="F210" t="s">
        <v>156</v>
      </c>
      <c r="G210" t="s">
        <v>157</v>
      </c>
      <c r="H210">
        <v>18500</v>
      </c>
      <c r="I210">
        <v>74500</v>
      </c>
      <c r="J210" t="s">
        <v>51</v>
      </c>
      <c r="K210">
        <v>20</v>
      </c>
      <c r="M210" t="s">
        <v>51</v>
      </c>
      <c r="N210">
        <v>45500</v>
      </c>
    </row>
    <row r="211" spans="1:14">
      <c r="A211" t="s">
        <v>78</v>
      </c>
      <c r="B211" t="s">
        <v>418</v>
      </c>
      <c r="C211" t="s">
        <v>419</v>
      </c>
      <c r="D211">
        <v>66</v>
      </c>
      <c r="E211" s="11">
        <v>22039</v>
      </c>
      <c r="F211" t="s">
        <v>226</v>
      </c>
      <c r="G211" t="s">
        <v>453</v>
      </c>
      <c r="H211" t="s">
        <v>420</v>
      </c>
      <c r="I211" t="s">
        <v>330</v>
      </c>
      <c r="J211" t="s">
        <v>50</v>
      </c>
      <c r="K211">
        <v>28</v>
      </c>
      <c r="M211" t="s">
        <v>50</v>
      </c>
      <c r="N211">
        <v>74500</v>
      </c>
    </row>
    <row r="212" spans="1:14">
      <c r="A212" t="s">
        <v>74</v>
      </c>
      <c r="B212" t="s">
        <v>408</v>
      </c>
      <c r="C212" t="s">
        <v>405</v>
      </c>
      <c r="D212">
        <v>35</v>
      </c>
      <c r="E212" s="11">
        <v>33336</v>
      </c>
      <c r="F212" t="s">
        <v>274</v>
      </c>
      <c r="G212" t="s">
        <v>363</v>
      </c>
      <c r="H212" t="s">
        <v>409</v>
      </c>
      <c r="I212">
        <v>54000</v>
      </c>
      <c r="J212">
        <v>0</v>
      </c>
      <c r="K212">
        <v>44</v>
      </c>
      <c r="M212">
        <v>0</v>
      </c>
      <c r="N212">
        <v>18000</v>
      </c>
    </row>
    <row r="213" spans="1:14">
      <c r="A213" t="s">
        <v>74</v>
      </c>
      <c r="B213" t="s">
        <v>525</v>
      </c>
      <c r="C213">
        <v>27800</v>
      </c>
      <c r="D213">
        <v>38</v>
      </c>
      <c r="E213">
        <v>32152</v>
      </c>
      <c r="F213" t="s">
        <v>626</v>
      </c>
      <c r="H213">
        <v>2000</v>
      </c>
      <c r="I213">
        <v>60000</v>
      </c>
      <c r="J213" t="s">
        <v>50</v>
      </c>
      <c r="K213" t="s">
        <v>992</v>
      </c>
      <c r="M213" t="s">
        <v>50</v>
      </c>
      <c r="N213">
        <v>54000</v>
      </c>
    </row>
    <row r="214" spans="1:14">
      <c r="A214" t="s">
        <v>78</v>
      </c>
      <c r="B214" t="s">
        <v>283</v>
      </c>
      <c r="C214" t="s">
        <v>284</v>
      </c>
      <c r="D214" t="s">
        <v>953</v>
      </c>
      <c r="E214" s="11">
        <v>29113</v>
      </c>
      <c r="F214" t="s">
        <v>215</v>
      </c>
      <c r="G214" t="s">
        <v>164</v>
      </c>
      <c r="H214">
        <v>15000</v>
      </c>
      <c r="I214">
        <v>0</v>
      </c>
      <c r="J214" t="s">
        <v>50</v>
      </c>
      <c r="K214">
        <v>40</v>
      </c>
      <c r="M214" t="s">
        <v>50</v>
      </c>
      <c r="N214">
        <v>90500</v>
      </c>
    </row>
    <row r="215" spans="1:14">
      <c r="A215" t="s">
        <v>74</v>
      </c>
      <c r="B215" t="s">
        <v>142</v>
      </c>
      <c r="C215" t="s">
        <v>143</v>
      </c>
      <c r="D215">
        <v>72</v>
      </c>
      <c r="E215">
        <v>19800</v>
      </c>
      <c r="F215" t="s">
        <v>86</v>
      </c>
      <c r="G215" t="s">
        <v>87</v>
      </c>
      <c r="H215">
        <v>24300</v>
      </c>
      <c r="I215">
        <v>13500</v>
      </c>
      <c r="J215" t="s">
        <v>50</v>
      </c>
      <c r="K215">
        <v>33</v>
      </c>
      <c r="M215" t="s">
        <v>50</v>
      </c>
      <c r="N215">
        <v>14500</v>
      </c>
    </row>
    <row r="216" spans="1:14">
      <c r="A216" t="s">
        <v>74</v>
      </c>
      <c r="B216" t="s">
        <v>537</v>
      </c>
      <c r="C216" t="s">
        <v>376</v>
      </c>
      <c r="D216">
        <v>69</v>
      </c>
      <c r="F216" t="s">
        <v>115</v>
      </c>
      <c r="G216" t="s">
        <v>116</v>
      </c>
      <c r="H216" s="13">
        <v>4500</v>
      </c>
      <c r="I216">
        <v>0</v>
      </c>
      <c r="J216" t="s">
        <v>51</v>
      </c>
      <c r="K216">
        <v>32</v>
      </c>
      <c r="M216" t="s">
        <v>51</v>
      </c>
      <c r="N216">
        <v>56500</v>
      </c>
    </row>
    <row r="217" spans="1:14">
      <c r="A217" t="s">
        <v>74</v>
      </c>
      <c r="B217" t="s">
        <v>563</v>
      </c>
      <c r="C217" t="s">
        <v>564</v>
      </c>
      <c r="D217">
        <v>22</v>
      </c>
      <c r="E217">
        <v>38079</v>
      </c>
      <c r="F217" t="s">
        <v>231</v>
      </c>
      <c r="G217" t="s">
        <v>232</v>
      </c>
      <c r="H217">
        <v>9200</v>
      </c>
      <c r="I217" s="12">
        <v>5000</v>
      </c>
      <c r="J217" t="s">
        <v>50</v>
      </c>
      <c r="K217">
        <v>42</v>
      </c>
      <c r="M217" t="s">
        <v>50</v>
      </c>
      <c r="N217">
        <v>63500</v>
      </c>
    </row>
    <row r="218" spans="1:14">
      <c r="A218" t="s">
        <v>74</v>
      </c>
      <c r="B218" t="s">
        <v>807</v>
      </c>
      <c r="C218" t="s">
        <v>625</v>
      </c>
      <c r="D218">
        <v>39</v>
      </c>
      <c r="E218">
        <v>31972</v>
      </c>
      <c r="F218" t="s">
        <v>86</v>
      </c>
      <c r="G218" t="s">
        <v>358</v>
      </c>
      <c r="H218">
        <v>8700</v>
      </c>
      <c r="I218" t="s">
        <v>153</v>
      </c>
      <c r="J218" t="s">
        <v>50</v>
      </c>
      <c r="K218">
        <v>16</v>
      </c>
      <c r="M218" t="s">
        <v>50</v>
      </c>
      <c r="N218">
        <v>93500</v>
      </c>
    </row>
    <row r="219" spans="1:14">
      <c r="A219" t="s">
        <v>74</v>
      </c>
      <c r="B219" t="s">
        <v>651</v>
      </c>
      <c r="C219">
        <v>9800</v>
      </c>
      <c r="D219">
        <v>35</v>
      </c>
      <c r="E219" s="11">
        <v>33440</v>
      </c>
      <c r="F219" t="s">
        <v>101</v>
      </c>
      <c r="G219" t="s">
        <v>103</v>
      </c>
      <c r="H219" s="12">
        <v>2000</v>
      </c>
      <c r="I219" s="12">
        <v>5500</v>
      </c>
      <c r="J219" t="s">
        <v>50</v>
      </c>
      <c r="K219">
        <v>34</v>
      </c>
      <c r="M219" t="s">
        <v>50</v>
      </c>
      <c r="N219">
        <v>71000</v>
      </c>
    </row>
    <row r="220" spans="1:14">
      <c r="A220" t="s">
        <v>74</v>
      </c>
      <c r="B220" t="s">
        <v>756</v>
      </c>
      <c r="C220" t="s">
        <v>518</v>
      </c>
      <c r="D220">
        <v>72</v>
      </c>
      <c r="E220">
        <v>19623</v>
      </c>
      <c r="F220" t="s">
        <v>239</v>
      </c>
      <c r="G220" t="s">
        <v>303</v>
      </c>
      <c r="H220" s="13">
        <v>12600</v>
      </c>
      <c r="I220" s="13">
        <v>5500</v>
      </c>
      <c r="J220" t="s">
        <v>50</v>
      </c>
      <c r="K220">
        <v>35</v>
      </c>
      <c r="M220" t="s">
        <v>50</v>
      </c>
      <c r="N220">
        <v>21000</v>
      </c>
    </row>
    <row r="221" spans="1:14">
      <c r="A221" t="s">
        <v>74</v>
      </c>
      <c r="B221" t="s">
        <v>993</v>
      </c>
      <c r="C221" t="s">
        <v>655</v>
      </c>
      <c r="D221">
        <v>24</v>
      </c>
      <c r="F221" t="s">
        <v>219</v>
      </c>
      <c r="G221" t="s">
        <v>164</v>
      </c>
      <c r="H221">
        <v>29300</v>
      </c>
      <c r="I221">
        <v>32000</v>
      </c>
      <c r="J221" t="s">
        <v>51</v>
      </c>
      <c r="K221">
        <v>26</v>
      </c>
      <c r="M221" t="s">
        <v>51</v>
      </c>
      <c r="N221">
        <v>59000</v>
      </c>
    </row>
    <row r="222" spans="1:14">
      <c r="A222" t="s">
        <v>78</v>
      </c>
      <c r="B222" t="s">
        <v>400</v>
      </c>
      <c r="C222" t="s">
        <v>401</v>
      </c>
      <c r="D222">
        <v>26</v>
      </c>
      <c r="E222">
        <v>36540</v>
      </c>
      <c r="F222" t="s">
        <v>288</v>
      </c>
      <c r="G222" t="s">
        <v>934</v>
      </c>
      <c r="H222">
        <v>24000</v>
      </c>
      <c r="I222" t="s">
        <v>402</v>
      </c>
      <c r="J222" t="s">
        <v>50</v>
      </c>
      <c r="K222">
        <v>30</v>
      </c>
      <c r="M222" t="s">
        <v>50</v>
      </c>
      <c r="N222">
        <v>62500</v>
      </c>
    </row>
    <row r="223" spans="1:14">
      <c r="A223" t="s">
        <v>74</v>
      </c>
      <c r="B223" t="s">
        <v>671</v>
      </c>
      <c r="C223" t="s">
        <v>672</v>
      </c>
      <c r="D223">
        <v>35</v>
      </c>
      <c r="E223">
        <v>33309</v>
      </c>
      <c r="F223" t="s">
        <v>86</v>
      </c>
      <c r="G223" t="s">
        <v>87</v>
      </c>
      <c r="H223">
        <v>28500</v>
      </c>
      <c r="I223" s="12">
        <v>48500</v>
      </c>
      <c r="J223" t="s">
        <v>50</v>
      </c>
      <c r="K223">
        <v>24</v>
      </c>
      <c r="M223" t="s">
        <v>50</v>
      </c>
      <c r="N223">
        <v>80500</v>
      </c>
    </row>
    <row r="224" spans="1:14">
      <c r="A224" t="s">
        <v>74</v>
      </c>
      <c r="B224" t="s">
        <v>994</v>
      </c>
      <c r="C224" t="s">
        <v>149</v>
      </c>
      <c r="D224">
        <v>23</v>
      </c>
      <c r="E224" s="11">
        <v>37785</v>
      </c>
      <c r="F224" t="s">
        <v>150</v>
      </c>
      <c r="G224" t="s">
        <v>136</v>
      </c>
      <c r="H224" s="13">
        <v>17900</v>
      </c>
      <c r="I224">
        <v>28000</v>
      </c>
      <c r="J224" t="s">
        <v>50</v>
      </c>
      <c r="K224">
        <v>41</v>
      </c>
      <c r="M224" t="s">
        <v>50</v>
      </c>
      <c r="N224">
        <v>52500</v>
      </c>
    </row>
    <row r="225" spans="1:14">
      <c r="A225" t="s">
        <v>78</v>
      </c>
      <c r="B225" t="s">
        <v>758</v>
      </c>
      <c r="C225" t="s">
        <v>691</v>
      </c>
      <c r="D225">
        <v>33</v>
      </c>
      <c r="E225">
        <v>33902</v>
      </c>
      <c r="F225" t="s">
        <v>243</v>
      </c>
      <c r="G225" t="s">
        <v>946</v>
      </c>
      <c r="H225">
        <v>12500</v>
      </c>
      <c r="I225">
        <v>51500</v>
      </c>
      <c r="J225" t="s">
        <v>51</v>
      </c>
      <c r="K225">
        <v>44</v>
      </c>
      <c r="M225" t="s">
        <v>51</v>
      </c>
      <c r="N225">
        <v>24000</v>
      </c>
    </row>
    <row r="226" spans="1:14">
      <c r="A226" t="s">
        <v>74</v>
      </c>
      <c r="B226" t="s">
        <v>756</v>
      </c>
      <c r="C226" t="s">
        <v>995</v>
      </c>
      <c r="D226">
        <v>63</v>
      </c>
      <c r="E226" s="11">
        <v>22900</v>
      </c>
      <c r="F226" t="s">
        <v>226</v>
      </c>
      <c r="G226" t="s">
        <v>226</v>
      </c>
      <c r="H226">
        <v>5500</v>
      </c>
      <c r="I226" s="12">
        <v>41000</v>
      </c>
      <c r="J226" t="s">
        <v>50</v>
      </c>
      <c r="K226">
        <v>2</v>
      </c>
      <c r="M226" t="s">
        <v>50</v>
      </c>
      <c r="N226">
        <v>54500</v>
      </c>
    </row>
    <row r="227" spans="1:14">
      <c r="A227" t="s">
        <v>78</v>
      </c>
      <c r="B227" t="s">
        <v>585</v>
      </c>
      <c r="C227" t="s">
        <v>586</v>
      </c>
      <c r="D227">
        <v>31</v>
      </c>
      <c r="E227" s="11">
        <v>34885</v>
      </c>
      <c r="F227" t="s">
        <v>288</v>
      </c>
      <c r="G227" t="s">
        <v>447</v>
      </c>
      <c r="H227" s="13">
        <v>16400</v>
      </c>
      <c r="I227" t="s">
        <v>587</v>
      </c>
      <c r="J227" t="s">
        <v>349</v>
      </c>
      <c r="K227">
        <v>6</v>
      </c>
      <c r="M227" t="s">
        <v>349</v>
      </c>
      <c r="N227">
        <v>49500</v>
      </c>
    </row>
    <row r="228" spans="1:14">
      <c r="A228" t="s">
        <v>929</v>
      </c>
      <c r="B228" t="s">
        <v>744</v>
      </c>
      <c r="C228" t="s">
        <v>996</v>
      </c>
      <c r="D228">
        <v>71</v>
      </c>
      <c r="E228" s="11">
        <v>20000</v>
      </c>
      <c r="F228" t="s">
        <v>321</v>
      </c>
      <c r="G228" t="s">
        <v>949</v>
      </c>
      <c r="H228">
        <v>15100</v>
      </c>
      <c r="I228" t="s">
        <v>83</v>
      </c>
      <c r="J228" t="s">
        <v>50</v>
      </c>
      <c r="K228">
        <v>42</v>
      </c>
      <c r="M228" t="s">
        <v>50</v>
      </c>
      <c r="N228">
        <v>77000</v>
      </c>
    </row>
    <row r="229" spans="1:14">
      <c r="A229" t="s">
        <v>74</v>
      </c>
      <c r="B229" t="s">
        <v>627</v>
      </c>
      <c r="C229">
        <v>21900</v>
      </c>
      <c r="D229">
        <v>67</v>
      </c>
      <c r="E229">
        <v>21619</v>
      </c>
      <c r="F229" t="s">
        <v>231</v>
      </c>
      <c r="G229" t="s">
        <v>629</v>
      </c>
      <c r="H229">
        <v>20200</v>
      </c>
      <c r="I229">
        <v>6500</v>
      </c>
      <c r="J229" t="s">
        <v>50</v>
      </c>
      <c r="K229">
        <v>1</v>
      </c>
      <c r="M229" t="s">
        <v>50</v>
      </c>
      <c r="N229">
        <v>98500</v>
      </c>
    </row>
    <row r="230" spans="1:14">
      <c r="A230" t="s">
        <v>74</v>
      </c>
      <c r="B230" t="s">
        <v>722</v>
      </c>
      <c r="C230" t="s">
        <v>304</v>
      </c>
      <c r="D230">
        <v>27</v>
      </c>
      <c r="E230" s="11">
        <v>36288</v>
      </c>
      <c r="F230" t="s">
        <v>280</v>
      </c>
      <c r="G230" t="s">
        <v>164</v>
      </c>
      <c r="H230">
        <v>29700</v>
      </c>
      <c r="I230">
        <v>12000</v>
      </c>
      <c r="J230" t="s">
        <v>50</v>
      </c>
      <c r="K230">
        <v>37</v>
      </c>
      <c r="M230" t="s">
        <v>50</v>
      </c>
      <c r="N230">
        <v>49000</v>
      </c>
    </row>
    <row r="231" spans="1:14">
      <c r="A231" t="s">
        <v>74</v>
      </c>
      <c r="B231" t="s">
        <v>705</v>
      </c>
      <c r="C231" t="s">
        <v>679</v>
      </c>
      <c r="D231">
        <v>25</v>
      </c>
      <c r="E231" s="11">
        <v>37056</v>
      </c>
      <c r="F231" t="s">
        <v>215</v>
      </c>
      <c r="G231" t="s">
        <v>164</v>
      </c>
      <c r="H231">
        <v>25400</v>
      </c>
      <c r="I231">
        <v>4000</v>
      </c>
      <c r="J231" t="s">
        <v>50</v>
      </c>
      <c r="K231">
        <v>4</v>
      </c>
      <c r="M231" t="s">
        <v>50</v>
      </c>
      <c r="N231">
        <v>8500</v>
      </c>
    </row>
    <row r="232" spans="1:14">
      <c r="A232" t="s">
        <v>74</v>
      </c>
      <c r="B232" t="s">
        <v>844</v>
      </c>
      <c r="C232" t="s">
        <v>734</v>
      </c>
      <c r="D232">
        <v>70</v>
      </c>
      <c r="E232">
        <v>20533</v>
      </c>
      <c r="F232" t="s">
        <v>321</v>
      </c>
      <c r="G232" t="s">
        <v>207</v>
      </c>
      <c r="H232">
        <v>9100</v>
      </c>
      <c r="I232">
        <v>40500</v>
      </c>
      <c r="J232" t="s">
        <v>50</v>
      </c>
      <c r="K232">
        <v>35</v>
      </c>
      <c r="M232" t="s">
        <v>50</v>
      </c>
      <c r="N232">
        <v>53000</v>
      </c>
    </row>
    <row r="233" spans="1:14">
      <c r="A233" t="s">
        <v>78</v>
      </c>
      <c r="B233" t="s">
        <v>253</v>
      </c>
      <c r="C233" t="s">
        <v>254</v>
      </c>
      <c r="D233">
        <v>57</v>
      </c>
      <c r="E233" s="11">
        <v>25324</v>
      </c>
      <c r="F233" t="s">
        <v>246</v>
      </c>
      <c r="G233" t="s">
        <v>220</v>
      </c>
      <c r="H233">
        <v>9500</v>
      </c>
      <c r="I233">
        <v>58000</v>
      </c>
      <c r="J233" t="s">
        <v>255</v>
      </c>
      <c r="K233">
        <v>23</v>
      </c>
      <c r="M233" t="s">
        <v>255</v>
      </c>
      <c r="N233">
        <v>81500</v>
      </c>
    </row>
    <row r="234" spans="1:14">
      <c r="A234" t="s">
        <v>78</v>
      </c>
      <c r="B234" t="s">
        <v>577</v>
      </c>
      <c r="C234" t="s">
        <v>997</v>
      </c>
      <c r="D234">
        <v>58</v>
      </c>
      <c r="E234">
        <v>25054</v>
      </c>
      <c r="F234" t="s">
        <v>150</v>
      </c>
      <c r="G234" t="s">
        <v>934</v>
      </c>
      <c r="H234" s="12">
        <v>4500</v>
      </c>
      <c r="I234" s="12">
        <v>20000</v>
      </c>
      <c r="J234" t="s">
        <v>51</v>
      </c>
      <c r="K234">
        <v>9</v>
      </c>
      <c r="M234" t="s">
        <v>51</v>
      </c>
      <c r="N234">
        <v>49000</v>
      </c>
    </row>
    <row r="235" spans="1:14">
      <c r="A235" t="s">
        <v>78</v>
      </c>
      <c r="B235" t="s">
        <v>851</v>
      </c>
      <c r="C235">
        <v>6400</v>
      </c>
      <c r="D235">
        <v>57</v>
      </c>
      <c r="E235">
        <v>25206</v>
      </c>
      <c r="F235" t="s">
        <v>86</v>
      </c>
      <c r="G235" t="s">
        <v>88</v>
      </c>
      <c r="H235">
        <v>3400</v>
      </c>
      <c r="I235">
        <v>0</v>
      </c>
      <c r="J235" t="s">
        <v>50</v>
      </c>
      <c r="K235">
        <v>20</v>
      </c>
      <c r="M235" t="s">
        <v>50</v>
      </c>
      <c r="N235">
        <v>19500</v>
      </c>
    </row>
    <row r="236" spans="1:14">
      <c r="A236" t="s">
        <v>74</v>
      </c>
      <c r="B236" t="s">
        <v>386</v>
      </c>
      <c r="C236" t="s">
        <v>387</v>
      </c>
      <c r="D236">
        <v>65</v>
      </c>
      <c r="E236" s="11">
        <v>22366</v>
      </c>
      <c r="F236" t="s">
        <v>243</v>
      </c>
      <c r="G236" t="s">
        <v>946</v>
      </c>
      <c r="H236" s="13">
        <v>18000</v>
      </c>
      <c r="I236">
        <v>0</v>
      </c>
      <c r="J236" t="s">
        <v>50</v>
      </c>
      <c r="K236">
        <v>27</v>
      </c>
      <c r="M236" t="s">
        <v>50</v>
      </c>
      <c r="N236">
        <v>38500</v>
      </c>
    </row>
    <row r="237" spans="1:14">
      <c r="A237" t="s">
        <v>74</v>
      </c>
      <c r="B237" t="s">
        <v>175</v>
      </c>
      <c r="C237" t="s">
        <v>176</v>
      </c>
      <c r="D237">
        <v>39</v>
      </c>
      <c r="E237" s="11">
        <v>31814</v>
      </c>
      <c r="F237" t="s">
        <v>246</v>
      </c>
      <c r="G237" t="s">
        <v>164</v>
      </c>
      <c r="H237" s="12">
        <v>9300</v>
      </c>
      <c r="I237" s="12">
        <v>36500</v>
      </c>
      <c r="J237" t="s">
        <v>50</v>
      </c>
      <c r="M237" t="s">
        <v>50</v>
      </c>
      <c r="N237">
        <v>3000</v>
      </c>
    </row>
    <row r="238" spans="1:14">
      <c r="A238" t="s">
        <v>74</v>
      </c>
      <c r="B238" t="s">
        <v>597</v>
      </c>
      <c r="C238">
        <v>30500</v>
      </c>
      <c r="D238">
        <v>62</v>
      </c>
      <c r="E238">
        <v>23278</v>
      </c>
      <c r="F238" t="s">
        <v>219</v>
      </c>
      <c r="G238" t="s">
        <v>164</v>
      </c>
      <c r="H238">
        <v>17000</v>
      </c>
      <c r="I238">
        <v>64000</v>
      </c>
      <c r="J238" t="s">
        <v>51</v>
      </c>
      <c r="K238">
        <v>21</v>
      </c>
      <c r="M238" t="s">
        <v>51</v>
      </c>
      <c r="N238">
        <v>19000</v>
      </c>
    </row>
    <row r="239" spans="1:14">
      <c r="A239" t="s">
        <v>78</v>
      </c>
      <c r="B239" t="s">
        <v>217</v>
      </c>
      <c r="C239" t="s">
        <v>218</v>
      </c>
      <c r="D239">
        <v>69</v>
      </c>
      <c r="E239">
        <v>20785</v>
      </c>
      <c r="F239" t="s">
        <v>219</v>
      </c>
      <c r="G239" t="s">
        <v>220</v>
      </c>
      <c r="H239">
        <v>16000</v>
      </c>
      <c r="I239" s="12">
        <v>48000</v>
      </c>
      <c r="J239" t="s">
        <v>50</v>
      </c>
      <c r="K239">
        <v>29</v>
      </c>
      <c r="M239" t="s">
        <v>50</v>
      </c>
      <c r="N239">
        <v>74500</v>
      </c>
    </row>
    <row r="240" spans="1:14">
      <c r="A240" t="s">
        <v>78</v>
      </c>
      <c r="B240" t="s">
        <v>89</v>
      </c>
      <c r="C240">
        <v>27100</v>
      </c>
      <c r="D240">
        <v>55</v>
      </c>
      <c r="E240" s="11">
        <v>25895</v>
      </c>
      <c r="F240" t="s">
        <v>156</v>
      </c>
      <c r="G240" t="s">
        <v>116</v>
      </c>
      <c r="H240">
        <v>6800</v>
      </c>
      <c r="I240">
        <v>12000</v>
      </c>
      <c r="J240" t="s">
        <v>50</v>
      </c>
      <c r="K240">
        <v>6</v>
      </c>
      <c r="M240" t="s">
        <v>50</v>
      </c>
      <c r="N240">
        <v>11000</v>
      </c>
    </row>
    <row r="241" spans="1:14">
      <c r="A241" t="s">
        <v>74</v>
      </c>
      <c r="B241" t="s">
        <v>272</v>
      </c>
      <c r="C241" t="s">
        <v>273</v>
      </c>
      <c r="D241">
        <v>25</v>
      </c>
      <c r="E241" s="11">
        <v>37026</v>
      </c>
      <c r="F241" t="s">
        <v>256</v>
      </c>
      <c r="G241" t="s">
        <v>232</v>
      </c>
      <c r="H241">
        <v>28200</v>
      </c>
      <c r="I241">
        <v>0</v>
      </c>
      <c r="J241" t="s">
        <v>50</v>
      </c>
      <c r="K241">
        <v>29</v>
      </c>
      <c r="M241" t="s">
        <v>50</v>
      </c>
      <c r="N241">
        <v>92500</v>
      </c>
    </row>
    <row r="242" spans="1:14">
      <c r="A242" t="s">
        <v>78</v>
      </c>
      <c r="B242" t="s">
        <v>730</v>
      </c>
      <c r="C242">
        <v>34900</v>
      </c>
      <c r="D242" t="s">
        <v>998</v>
      </c>
      <c r="E242">
        <v>34387</v>
      </c>
      <c r="F242" t="s">
        <v>219</v>
      </c>
      <c r="G242" t="s">
        <v>164</v>
      </c>
      <c r="H242">
        <v>20500</v>
      </c>
      <c r="I242">
        <v>0</v>
      </c>
      <c r="J242" t="s">
        <v>50</v>
      </c>
      <c r="K242" t="s">
        <v>977</v>
      </c>
      <c r="M242" t="s">
        <v>50</v>
      </c>
      <c r="N242">
        <v>54500</v>
      </c>
    </row>
    <row r="243" spans="1:14">
      <c r="A243" t="s">
        <v>74</v>
      </c>
      <c r="B243" t="s">
        <v>733</v>
      </c>
      <c r="C243" t="s">
        <v>539</v>
      </c>
      <c r="D243">
        <v>53</v>
      </c>
      <c r="E243">
        <v>26620</v>
      </c>
      <c r="F243" t="s">
        <v>274</v>
      </c>
      <c r="G243" t="s">
        <v>748</v>
      </c>
      <c r="H243" s="12">
        <v>21300</v>
      </c>
      <c r="I243">
        <v>79500</v>
      </c>
      <c r="J243" t="s">
        <v>50</v>
      </c>
      <c r="K243" t="s">
        <v>992</v>
      </c>
      <c r="M243" t="s">
        <v>50</v>
      </c>
      <c r="N243">
        <v>19000</v>
      </c>
    </row>
    <row r="244" spans="1:14">
      <c r="A244" t="s">
        <v>74</v>
      </c>
      <c r="B244" t="s">
        <v>764</v>
      </c>
      <c r="C244" t="s">
        <v>693</v>
      </c>
      <c r="D244">
        <v>69</v>
      </c>
      <c r="E244" s="11">
        <v>20943</v>
      </c>
      <c r="F244" t="s">
        <v>639</v>
      </c>
      <c r="H244">
        <v>13800</v>
      </c>
      <c r="I244">
        <v>62000</v>
      </c>
      <c r="J244" t="s">
        <v>50</v>
      </c>
      <c r="K244">
        <v>31</v>
      </c>
      <c r="M244" t="s">
        <v>50</v>
      </c>
      <c r="N244">
        <v>60500</v>
      </c>
    </row>
    <row r="245" spans="1:14">
      <c r="A245" t="s">
        <v>74</v>
      </c>
      <c r="B245" t="s">
        <v>788</v>
      </c>
      <c r="C245" t="s">
        <v>379</v>
      </c>
      <c r="D245">
        <v>27</v>
      </c>
      <c r="E245">
        <v>36316</v>
      </c>
      <c r="F245" t="s">
        <v>223</v>
      </c>
      <c r="G245" t="s">
        <v>946</v>
      </c>
      <c r="H245" s="13">
        <v>10700</v>
      </c>
      <c r="I245" t="s">
        <v>790</v>
      </c>
      <c r="J245" t="s">
        <v>50</v>
      </c>
      <c r="K245">
        <v>44</v>
      </c>
      <c r="M245" t="s">
        <v>50</v>
      </c>
      <c r="N245">
        <v>48000</v>
      </c>
    </row>
    <row r="246" spans="1:14">
      <c r="A246" t="s">
        <v>74</v>
      </c>
      <c r="B246" t="s">
        <v>786</v>
      </c>
      <c r="C246">
        <v>19300</v>
      </c>
      <c r="D246">
        <v>74</v>
      </c>
      <c r="E246" s="11">
        <v>19131</v>
      </c>
      <c r="F246" t="s">
        <v>150</v>
      </c>
      <c r="G246" t="s">
        <v>137</v>
      </c>
      <c r="H246">
        <v>20700</v>
      </c>
      <c r="I246" s="12">
        <v>17500</v>
      </c>
      <c r="J246" t="s">
        <v>50</v>
      </c>
      <c r="K246">
        <v>35</v>
      </c>
      <c r="M246" t="s">
        <v>50</v>
      </c>
      <c r="N246">
        <v>65000</v>
      </c>
    </row>
    <row r="247" spans="1:14">
      <c r="A247" t="s">
        <v>952</v>
      </c>
      <c r="B247" t="s">
        <v>837</v>
      </c>
      <c r="C247" t="s">
        <v>584</v>
      </c>
      <c r="E247">
        <v>39230</v>
      </c>
      <c r="F247" t="s">
        <v>243</v>
      </c>
      <c r="G247" t="s">
        <v>82</v>
      </c>
      <c r="H247" t="s">
        <v>838</v>
      </c>
      <c r="I247" s="13">
        <v>49500</v>
      </c>
      <c r="J247" t="s">
        <v>50</v>
      </c>
      <c r="K247">
        <v>25</v>
      </c>
      <c r="M247" t="s">
        <v>50</v>
      </c>
      <c r="N247">
        <v>46500</v>
      </c>
    </row>
    <row r="248" spans="1:14">
      <c r="A248" t="s">
        <v>78</v>
      </c>
      <c r="B248" t="s">
        <v>400</v>
      </c>
      <c r="C248" t="s">
        <v>401</v>
      </c>
      <c r="D248">
        <v>26</v>
      </c>
      <c r="E248">
        <v>36540</v>
      </c>
      <c r="F248" t="s">
        <v>288</v>
      </c>
      <c r="G248" t="s">
        <v>934</v>
      </c>
      <c r="H248">
        <v>24000</v>
      </c>
      <c r="I248" t="s">
        <v>402</v>
      </c>
      <c r="J248" t="s">
        <v>50</v>
      </c>
      <c r="K248">
        <v>30</v>
      </c>
      <c r="M248" t="s">
        <v>50</v>
      </c>
      <c r="N248">
        <v>11500</v>
      </c>
    </row>
    <row r="249" spans="1:14">
      <c r="A249" t="s">
        <v>74</v>
      </c>
      <c r="B249" t="s">
        <v>261</v>
      </c>
      <c r="C249" t="s">
        <v>262</v>
      </c>
      <c r="D249">
        <v>47</v>
      </c>
      <c r="E249" s="11">
        <v>28841</v>
      </c>
      <c r="F249" t="s">
        <v>226</v>
      </c>
      <c r="G249" t="s">
        <v>226</v>
      </c>
      <c r="H249" t="s">
        <v>264</v>
      </c>
      <c r="I249" s="13">
        <v>62000</v>
      </c>
      <c r="J249" t="s">
        <v>51</v>
      </c>
      <c r="K249">
        <v>37</v>
      </c>
      <c r="M249" t="s">
        <v>51</v>
      </c>
      <c r="N249">
        <v>92500</v>
      </c>
    </row>
    <row r="250" spans="1:14">
      <c r="A250" t="s">
        <v>74</v>
      </c>
      <c r="B250" t="s">
        <v>805</v>
      </c>
      <c r="C250" t="s">
        <v>806</v>
      </c>
      <c r="D250">
        <v>34</v>
      </c>
      <c r="E250">
        <v>33746</v>
      </c>
      <c r="F250" t="s">
        <v>226</v>
      </c>
      <c r="G250" t="s">
        <v>226</v>
      </c>
      <c r="H250">
        <v>28900</v>
      </c>
      <c r="I250">
        <v>37000</v>
      </c>
      <c r="J250" t="s">
        <v>50</v>
      </c>
      <c r="K250">
        <v>21</v>
      </c>
      <c r="M250" t="s">
        <v>50</v>
      </c>
      <c r="N250">
        <v>97500</v>
      </c>
    </row>
    <row r="251" spans="1:14">
      <c r="A251" t="s">
        <v>74</v>
      </c>
      <c r="B251" t="s">
        <v>224</v>
      </c>
      <c r="C251" t="s">
        <v>225</v>
      </c>
      <c r="D251">
        <v>30</v>
      </c>
      <c r="E251" s="11">
        <v>35180</v>
      </c>
      <c r="F251" t="s">
        <v>246</v>
      </c>
      <c r="G251" t="s">
        <v>164</v>
      </c>
      <c r="H251" s="12">
        <v>13800</v>
      </c>
      <c r="I251">
        <v>42000</v>
      </c>
      <c r="K251">
        <v>29</v>
      </c>
      <c r="N251">
        <v>7000</v>
      </c>
    </row>
    <row r="252" spans="1:14">
      <c r="A252" t="s">
        <v>78</v>
      </c>
      <c r="B252" t="s">
        <v>808</v>
      </c>
      <c r="C252" t="s">
        <v>485</v>
      </c>
      <c r="D252">
        <v>67</v>
      </c>
      <c r="E252" s="11">
        <v>21674</v>
      </c>
      <c r="F252" t="s">
        <v>321</v>
      </c>
      <c r="G252" t="s">
        <v>207</v>
      </c>
      <c r="H252">
        <v>15200</v>
      </c>
      <c r="I252">
        <v>67500</v>
      </c>
      <c r="J252" t="s">
        <v>50</v>
      </c>
      <c r="K252">
        <v>12</v>
      </c>
      <c r="M252" t="s">
        <v>50</v>
      </c>
      <c r="N252">
        <v>97500</v>
      </c>
    </row>
    <row r="253" spans="1:14">
      <c r="A253" t="s">
        <v>74</v>
      </c>
      <c r="B253" t="s">
        <v>193</v>
      </c>
      <c r="C253" t="s">
        <v>194</v>
      </c>
      <c r="D253">
        <v>59</v>
      </c>
      <c r="E253" s="11">
        <v>24578</v>
      </c>
      <c r="F253" t="s">
        <v>321</v>
      </c>
      <c r="H253">
        <v>6600</v>
      </c>
      <c r="I253">
        <v>50000</v>
      </c>
      <c r="J253" t="s">
        <v>51</v>
      </c>
      <c r="K253">
        <v>9</v>
      </c>
      <c r="M253" t="s">
        <v>51</v>
      </c>
      <c r="N253">
        <v>25000</v>
      </c>
    </row>
    <row r="254" spans="1:14">
      <c r="A254" t="s">
        <v>78</v>
      </c>
      <c r="B254" t="s">
        <v>140</v>
      </c>
      <c r="C254">
        <v>24300</v>
      </c>
      <c r="D254">
        <v>25</v>
      </c>
      <c r="E254">
        <v>37131</v>
      </c>
      <c r="F254" t="s">
        <v>239</v>
      </c>
      <c r="G254" t="s">
        <v>303</v>
      </c>
      <c r="H254" s="12">
        <v>24500</v>
      </c>
      <c r="I254" t="s">
        <v>83</v>
      </c>
      <c r="J254">
        <v>0</v>
      </c>
      <c r="K254">
        <v>0</v>
      </c>
      <c r="M254">
        <v>0</v>
      </c>
      <c r="N254">
        <v>55000</v>
      </c>
    </row>
    <row r="255" spans="1:14">
      <c r="A255" t="s">
        <v>74</v>
      </c>
      <c r="B255" t="s">
        <v>445</v>
      </c>
      <c r="C255" t="s">
        <v>446</v>
      </c>
      <c r="E255">
        <v>32796</v>
      </c>
      <c r="F255" t="s">
        <v>288</v>
      </c>
      <c r="G255" t="s">
        <v>447</v>
      </c>
      <c r="H255">
        <v>28600</v>
      </c>
      <c r="J255" t="s">
        <v>50</v>
      </c>
      <c r="K255">
        <v>19</v>
      </c>
      <c r="M255" t="s">
        <v>50</v>
      </c>
      <c r="N255">
        <v>90000</v>
      </c>
    </row>
    <row r="256" spans="1:14">
      <c r="A256" t="s">
        <v>78</v>
      </c>
      <c r="B256" t="s">
        <v>999</v>
      </c>
      <c r="C256" t="s">
        <v>775</v>
      </c>
      <c r="D256">
        <v>36</v>
      </c>
      <c r="E256">
        <v>32914</v>
      </c>
      <c r="F256" t="s">
        <v>321</v>
      </c>
      <c r="G256" t="s">
        <v>207</v>
      </c>
      <c r="H256">
        <v>27600</v>
      </c>
      <c r="I256">
        <v>37000</v>
      </c>
      <c r="J256" t="s">
        <v>50</v>
      </c>
      <c r="K256">
        <v>15</v>
      </c>
      <c r="M256" t="s">
        <v>50</v>
      </c>
      <c r="N256">
        <v>41500</v>
      </c>
    </row>
    <row r="257" spans="1:14">
      <c r="A257" t="s">
        <v>78</v>
      </c>
      <c r="B257" t="s">
        <v>95</v>
      </c>
      <c r="C257">
        <v>17100</v>
      </c>
      <c r="D257">
        <v>45</v>
      </c>
      <c r="E257">
        <v>29506</v>
      </c>
      <c r="F257" t="s">
        <v>256</v>
      </c>
      <c r="G257" t="s">
        <v>232</v>
      </c>
      <c r="H257">
        <v>5100</v>
      </c>
      <c r="I257" s="12">
        <v>25000</v>
      </c>
      <c r="J257" t="s">
        <v>50</v>
      </c>
      <c r="K257">
        <v>29</v>
      </c>
      <c r="M257" t="s">
        <v>50</v>
      </c>
      <c r="N257">
        <v>88000</v>
      </c>
    </row>
    <row r="258" spans="1:14">
      <c r="A258" t="s">
        <v>929</v>
      </c>
      <c r="B258" t="s">
        <v>353</v>
      </c>
      <c r="C258" t="s">
        <v>354</v>
      </c>
      <c r="D258">
        <v>56</v>
      </c>
      <c r="E258">
        <v>25551</v>
      </c>
      <c r="F258" t="s">
        <v>226</v>
      </c>
      <c r="G258" t="s">
        <v>226</v>
      </c>
      <c r="H258" s="13">
        <v>22600</v>
      </c>
      <c r="I258">
        <v>63000</v>
      </c>
      <c r="J258" t="s">
        <v>50</v>
      </c>
      <c r="K258">
        <v>33</v>
      </c>
      <c r="M258" t="s">
        <v>50</v>
      </c>
      <c r="N258">
        <v>53000</v>
      </c>
    </row>
    <row r="259" spans="1:14">
      <c r="A259" t="s">
        <v>74</v>
      </c>
      <c r="B259" t="s">
        <v>1000</v>
      </c>
      <c r="C259" t="s">
        <v>508</v>
      </c>
      <c r="D259">
        <v>47</v>
      </c>
      <c r="E259" s="11">
        <v>29007</v>
      </c>
      <c r="F259" t="s">
        <v>156</v>
      </c>
      <c r="G259" t="s">
        <v>116</v>
      </c>
      <c r="H259">
        <v>5000</v>
      </c>
      <c r="I259" s="13">
        <v>75500</v>
      </c>
      <c r="J259" t="s">
        <v>51</v>
      </c>
      <c r="K259">
        <v>2</v>
      </c>
      <c r="M259" t="s">
        <v>51</v>
      </c>
      <c r="N259">
        <v>89500</v>
      </c>
    </row>
    <row r="260" spans="1:14">
      <c r="A260" t="s">
        <v>74</v>
      </c>
      <c r="B260" t="s">
        <v>494</v>
      </c>
      <c r="C260" t="s">
        <v>1001</v>
      </c>
      <c r="D260">
        <v>44</v>
      </c>
      <c r="E260" s="11">
        <v>30069</v>
      </c>
      <c r="F260" t="s">
        <v>86</v>
      </c>
      <c r="G260" t="s">
        <v>87</v>
      </c>
      <c r="H260">
        <v>21700</v>
      </c>
      <c r="I260">
        <v>34500</v>
      </c>
      <c r="J260" t="s">
        <v>396</v>
      </c>
      <c r="K260">
        <v>29</v>
      </c>
      <c r="M260" t="s">
        <v>396</v>
      </c>
      <c r="N260">
        <v>10500</v>
      </c>
    </row>
    <row r="261" spans="1:14">
      <c r="A261" t="s">
        <v>74</v>
      </c>
      <c r="B261" t="s">
        <v>318</v>
      </c>
      <c r="C261">
        <v>15900</v>
      </c>
      <c r="D261">
        <v>26</v>
      </c>
      <c r="E261" s="11">
        <v>36411</v>
      </c>
      <c r="F261" t="s">
        <v>86</v>
      </c>
      <c r="G261" t="s">
        <v>87</v>
      </c>
      <c r="H261" t="s">
        <v>322</v>
      </c>
      <c r="I261" s="12">
        <v>68500</v>
      </c>
      <c r="J261" t="s">
        <v>50</v>
      </c>
      <c r="K261">
        <v>27</v>
      </c>
      <c r="M261" t="s">
        <v>50</v>
      </c>
      <c r="N261">
        <v>7000</v>
      </c>
    </row>
    <row r="262" spans="1:14">
      <c r="A262" t="s">
        <v>78</v>
      </c>
      <c r="B262" t="s">
        <v>1002</v>
      </c>
      <c r="C262" t="s">
        <v>260</v>
      </c>
      <c r="D262">
        <v>49</v>
      </c>
      <c r="E262" s="11">
        <v>28286</v>
      </c>
      <c r="F262" t="s">
        <v>101</v>
      </c>
      <c r="G262" t="s">
        <v>102</v>
      </c>
      <c r="H262">
        <v>21900</v>
      </c>
      <c r="I262">
        <v>69000</v>
      </c>
      <c r="J262" t="s">
        <v>50</v>
      </c>
      <c r="K262" t="s">
        <v>1003</v>
      </c>
      <c r="M262" t="s">
        <v>50</v>
      </c>
      <c r="N262">
        <v>80500</v>
      </c>
    </row>
    <row r="263" spans="1:14">
      <c r="A263" t="s">
        <v>74</v>
      </c>
      <c r="B263" t="s">
        <v>781</v>
      </c>
      <c r="C263" t="s">
        <v>765</v>
      </c>
      <c r="D263">
        <v>71</v>
      </c>
      <c r="E263">
        <v>20187</v>
      </c>
      <c r="F263" t="s">
        <v>115</v>
      </c>
      <c r="G263" t="s">
        <v>116</v>
      </c>
      <c r="H263">
        <v>29200</v>
      </c>
      <c r="I263">
        <v>73500</v>
      </c>
      <c r="J263" t="s">
        <v>50</v>
      </c>
      <c r="K263">
        <v>2</v>
      </c>
      <c r="M263" t="s">
        <v>50</v>
      </c>
      <c r="N263">
        <v>33000</v>
      </c>
    </row>
    <row r="264" spans="1:14">
      <c r="A264" t="s">
        <v>74</v>
      </c>
      <c r="B264" t="s">
        <v>469</v>
      </c>
      <c r="C264" t="s">
        <v>470</v>
      </c>
      <c r="D264">
        <v>65</v>
      </c>
      <c r="E264">
        <v>22314</v>
      </c>
      <c r="F264" t="s">
        <v>231</v>
      </c>
      <c r="G264" t="s">
        <v>180</v>
      </c>
      <c r="H264">
        <v>6100</v>
      </c>
      <c r="I264">
        <v>40000</v>
      </c>
      <c r="J264" t="s">
        <v>50</v>
      </c>
      <c r="K264" t="s">
        <v>1004</v>
      </c>
      <c r="M264" t="s">
        <v>50</v>
      </c>
      <c r="N264">
        <v>22500</v>
      </c>
    </row>
    <row r="265" spans="1:14">
      <c r="A265" t="s">
        <v>74</v>
      </c>
      <c r="B265" t="s">
        <v>466</v>
      </c>
      <c r="C265" t="s">
        <v>467</v>
      </c>
      <c r="D265">
        <v>65</v>
      </c>
      <c r="E265">
        <v>22297</v>
      </c>
      <c r="F265" t="s">
        <v>239</v>
      </c>
      <c r="G265" t="s">
        <v>303</v>
      </c>
      <c r="H265" s="13">
        <v>27300</v>
      </c>
      <c r="I265">
        <v>48500</v>
      </c>
      <c r="J265" t="s">
        <v>50</v>
      </c>
      <c r="K265">
        <v>29</v>
      </c>
      <c r="M265" t="s">
        <v>50</v>
      </c>
      <c r="N265">
        <v>94000</v>
      </c>
    </row>
    <row r="266" spans="1:14">
      <c r="A266" t="s">
        <v>74</v>
      </c>
      <c r="B266" t="s">
        <v>720</v>
      </c>
      <c r="C266" t="s">
        <v>721</v>
      </c>
      <c r="D266">
        <v>57</v>
      </c>
      <c r="E266">
        <v>25350</v>
      </c>
      <c r="F266" t="s">
        <v>252</v>
      </c>
      <c r="G266" t="s">
        <v>87</v>
      </c>
      <c r="H266">
        <v>20600</v>
      </c>
      <c r="I266">
        <v>52500</v>
      </c>
      <c r="K266">
        <v>16</v>
      </c>
      <c r="N266">
        <v>97000</v>
      </c>
    </row>
    <row r="267" spans="1:14">
      <c r="A267" t="s">
        <v>74</v>
      </c>
      <c r="B267" t="s">
        <v>813</v>
      </c>
      <c r="C267">
        <v>2800</v>
      </c>
      <c r="D267">
        <v>24</v>
      </c>
      <c r="E267">
        <v>37470</v>
      </c>
      <c r="F267" t="s">
        <v>256</v>
      </c>
      <c r="G267" t="s">
        <v>441</v>
      </c>
      <c r="H267">
        <v>16900</v>
      </c>
      <c r="I267">
        <v>42500</v>
      </c>
      <c r="J267" t="s">
        <v>51</v>
      </c>
      <c r="K267" t="s">
        <v>1005</v>
      </c>
      <c r="M267" t="s">
        <v>51</v>
      </c>
      <c r="N267">
        <v>12500</v>
      </c>
    </row>
    <row r="268" spans="1:14">
      <c r="A268" t="s">
        <v>78</v>
      </c>
      <c r="B268" t="s">
        <v>311</v>
      </c>
      <c r="C268" t="s">
        <v>312</v>
      </c>
      <c r="D268">
        <v>55</v>
      </c>
      <c r="E268" s="11">
        <v>25848</v>
      </c>
      <c r="F268" t="s">
        <v>156</v>
      </c>
      <c r="G268" t="s">
        <v>116</v>
      </c>
      <c r="I268">
        <v>5000</v>
      </c>
      <c r="J268" t="s">
        <v>50</v>
      </c>
      <c r="K268">
        <v>8</v>
      </c>
      <c r="M268" t="s">
        <v>50</v>
      </c>
      <c r="N268">
        <v>11000</v>
      </c>
    </row>
    <row r="269" spans="1:14">
      <c r="A269" t="s">
        <v>74</v>
      </c>
      <c r="B269" t="s">
        <v>788</v>
      </c>
      <c r="C269" t="s">
        <v>1006</v>
      </c>
      <c r="D269">
        <v>67</v>
      </c>
      <c r="E269" s="11">
        <v>21573</v>
      </c>
      <c r="F269" t="s">
        <v>321</v>
      </c>
      <c r="G269" t="s">
        <v>949</v>
      </c>
      <c r="H269">
        <v>6400</v>
      </c>
      <c r="I269">
        <v>1000</v>
      </c>
      <c r="J269" t="s">
        <v>396</v>
      </c>
      <c r="K269">
        <v>27</v>
      </c>
      <c r="M269" t="s">
        <v>396</v>
      </c>
      <c r="N269">
        <v>50000</v>
      </c>
    </row>
    <row r="270" spans="1:14">
      <c r="A270" t="s">
        <v>74</v>
      </c>
      <c r="B270" t="s">
        <v>383</v>
      </c>
      <c r="C270">
        <v>15600</v>
      </c>
      <c r="D270">
        <v>44</v>
      </c>
      <c r="E270">
        <v>29843</v>
      </c>
      <c r="F270" t="s">
        <v>288</v>
      </c>
      <c r="G270" t="s">
        <v>447</v>
      </c>
      <c r="H270">
        <v>11300</v>
      </c>
      <c r="I270">
        <v>55000</v>
      </c>
      <c r="J270" t="s">
        <v>50</v>
      </c>
      <c r="K270">
        <v>38</v>
      </c>
      <c r="M270" t="s">
        <v>50</v>
      </c>
      <c r="N270">
        <v>68500</v>
      </c>
    </row>
    <row r="271" spans="1:14">
      <c r="A271" t="s">
        <v>74</v>
      </c>
      <c r="B271" t="s">
        <v>235</v>
      </c>
      <c r="C271" t="s">
        <v>236</v>
      </c>
      <c r="D271">
        <v>33</v>
      </c>
      <c r="E271">
        <v>34070</v>
      </c>
      <c r="F271" t="s">
        <v>256</v>
      </c>
      <c r="G271" t="s">
        <v>441</v>
      </c>
      <c r="H271">
        <v>29300</v>
      </c>
      <c r="I271">
        <v>69000</v>
      </c>
      <c r="J271" t="s">
        <v>51</v>
      </c>
      <c r="K271">
        <v>0</v>
      </c>
      <c r="M271" t="s">
        <v>51</v>
      </c>
      <c r="N271">
        <v>4500</v>
      </c>
    </row>
    <row r="272" spans="1:14">
      <c r="A272" t="s">
        <v>74</v>
      </c>
      <c r="B272" t="s">
        <v>371</v>
      </c>
      <c r="C272" t="s">
        <v>372</v>
      </c>
      <c r="D272">
        <v>24</v>
      </c>
      <c r="E272">
        <v>37394</v>
      </c>
      <c r="F272" t="s">
        <v>789</v>
      </c>
      <c r="H272">
        <v>14200</v>
      </c>
      <c r="I272">
        <v>71000</v>
      </c>
      <c r="J272" t="s">
        <v>50</v>
      </c>
      <c r="K272">
        <v>10</v>
      </c>
      <c r="M272" t="s">
        <v>50</v>
      </c>
      <c r="N272">
        <v>91500</v>
      </c>
    </row>
    <row r="273" spans="1:14">
      <c r="A273" t="s">
        <v>74</v>
      </c>
      <c r="B273" t="s">
        <v>471</v>
      </c>
      <c r="C273">
        <v>31900</v>
      </c>
      <c r="D273">
        <v>20</v>
      </c>
      <c r="E273">
        <v>38678</v>
      </c>
      <c r="F273" t="s">
        <v>115</v>
      </c>
      <c r="G273" t="s">
        <v>116</v>
      </c>
      <c r="H273" s="13">
        <v>9300</v>
      </c>
      <c r="I273" s="13">
        <v>35000</v>
      </c>
      <c r="J273" t="s">
        <v>50</v>
      </c>
      <c r="K273">
        <v>5</v>
      </c>
      <c r="M273" t="s">
        <v>50</v>
      </c>
      <c r="N273">
        <v>10500</v>
      </c>
    </row>
    <row r="274" spans="1:14">
      <c r="A274" t="s">
        <v>78</v>
      </c>
      <c r="B274" t="s">
        <v>653</v>
      </c>
      <c r="C274" t="s">
        <v>496</v>
      </c>
      <c r="D274">
        <v>20</v>
      </c>
      <c r="E274" s="11">
        <v>38704</v>
      </c>
      <c r="F274" t="s">
        <v>256</v>
      </c>
      <c r="G274" t="s">
        <v>629</v>
      </c>
      <c r="H274">
        <v>12900</v>
      </c>
      <c r="I274" s="12">
        <v>26500</v>
      </c>
      <c r="J274" t="s">
        <v>50</v>
      </c>
      <c r="K274">
        <v>13</v>
      </c>
      <c r="M274" t="s">
        <v>50</v>
      </c>
      <c r="N274">
        <v>2000</v>
      </c>
    </row>
    <row r="275" spans="1:14">
      <c r="A275" t="s">
        <v>74</v>
      </c>
      <c r="B275" t="s">
        <v>297</v>
      </c>
      <c r="C275" t="s">
        <v>298</v>
      </c>
      <c r="E275">
        <v>36337</v>
      </c>
      <c r="F275" t="s">
        <v>280</v>
      </c>
      <c r="G275" t="s">
        <v>164</v>
      </c>
      <c r="H275">
        <v>22500</v>
      </c>
      <c r="I275">
        <v>55500</v>
      </c>
      <c r="J275" t="s">
        <v>50</v>
      </c>
      <c r="K275">
        <v>32</v>
      </c>
      <c r="M275" t="s">
        <v>50</v>
      </c>
      <c r="N275">
        <v>91500</v>
      </c>
    </row>
    <row r="276" spans="1:14">
      <c r="A276" t="s">
        <v>74</v>
      </c>
      <c r="B276" t="s">
        <v>204</v>
      </c>
      <c r="C276">
        <v>29500</v>
      </c>
      <c r="D276">
        <v>68</v>
      </c>
      <c r="E276" s="11">
        <v>21079</v>
      </c>
      <c r="F276" t="s">
        <v>321</v>
      </c>
      <c r="G276" t="s">
        <v>208</v>
      </c>
      <c r="H276" t="s">
        <v>209</v>
      </c>
      <c r="I276">
        <v>64500</v>
      </c>
      <c r="J276" t="s">
        <v>51</v>
      </c>
      <c r="K276">
        <v>32</v>
      </c>
      <c r="M276" t="s">
        <v>51</v>
      </c>
      <c r="N276">
        <v>35500</v>
      </c>
    </row>
    <row r="277" spans="1:14">
      <c r="A277" t="s">
        <v>74</v>
      </c>
      <c r="B277" t="s">
        <v>497</v>
      </c>
      <c r="C277" t="s">
        <v>1007</v>
      </c>
      <c r="D277">
        <v>53</v>
      </c>
      <c r="E277" s="11">
        <v>26558</v>
      </c>
      <c r="F277" t="s">
        <v>288</v>
      </c>
      <c r="G277" t="s">
        <v>934</v>
      </c>
      <c r="H277">
        <v>15500</v>
      </c>
      <c r="J277" t="s">
        <v>50</v>
      </c>
      <c r="K277">
        <v>16</v>
      </c>
      <c r="M277" t="s">
        <v>50</v>
      </c>
      <c r="N277">
        <v>41000</v>
      </c>
    </row>
    <row r="278" spans="1:14">
      <c r="A278" t="s">
        <v>74</v>
      </c>
      <c r="B278" t="s">
        <v>270</v>
      </c>
      <c r="C278" t="s">
        <v>271</v>
      </c>
      <c r="D278">
        <v>62</v>
      </c>
      <c r="F278" t="s">
        <v>243</v>
      </c>
      <c r="G278" t="s">
        <v>82</v>
      </c>
      <c r="H278">
        <v>1900</v>
      </c>
      <c r="I278">
        <v>3500</v>
      </c>
      <c r="J278" t="s">
        <v>50</v>
      </c>
      <c r="K278">
        <v>19</v>
      </c>
      <c r="M278" t="s">
        <v>50</v>
      </c>
      <c r="N278">
        <v>62000</v>
      </c>
    </row>
    <row r="279" spans="1:14">
      <c r="A279" t="s">
        <v>74</v>
      </c>
      <c r="B279" t="s">
        <v>1008</v>
      </c>
      <c r="C279" t="s">
        <v>479</v>
      </c>
      <c r="D279">
        <v>61</v>
      </c>
      <c r="E279" s="11">
        <v>23964</v>
      </c>
      <c r="F279" t="s">
        <v>246</v>
      </c>
      <c r="G279" t="s">
        <v>220</v>
      </c>
      <c r="H279">
        <v>7000</v>
      </c>
      <c r="I279">
        <v>1500</v>
      </c>
      <c r="J279" t="s">
        <v>51</v>
      </c>
      <c r="K279">
        <v>32</v>
      </c>
      <c r="M279" t="s">
        <v>51</v>
      </c>
      <c r="N279">
        <v>53000</v>
      </c>
    </row>
    <row r="280" spans="1:14">
      <c r="A280" t="s">
        <v>74</v>
      </c>
      <c r="B280" t="s">
        <v>723</v>
      </c>
      <c r="C280" t="s">
        <v>493</v>
      </c>
      <c r="D280">
        <v>25</v>
      </c>
      <c r="E280">
        <v>37118</v>
      </c>
      <c r="F280" t="s">
        <v>243</v>
      </c>
      <c r="G280" t="s">
        <v>82</v>
      </c>
      <c r="H280" t="s">
        <v>724</v>
      </c>
      <c r="I280">
        <v>1500</v>
      </c>
      <c r="J280">
        <v>1</v>
      </c>
      <c r="K280">
        <v>33</v>
      </c>
      <c r="M280">
        <v>1</v>
      </c>
      <c r="N280">
        <v>14000</v>
      </c>
    </row>
    <row r="281" spans="1:14">
      <c r="A281" t="s">
        <v>952</v>
      </c>
      <c r="B281" t="s">
        <v>480</v>
      </c>
      <c r="C281" t="s">
        <v>481</v>
      </c>
      <c r="D281">
        <v>52</v>
      </c>
      <c r="E281">
        <v>27088</v>
      </c>
      <c r="F281" t="s">
        <v>231</v>
      </c>
      <c r="G281" t="s">
        <v>180</v>
      </c>
      <c r="H281">
        <v>24900</v>
      </c>
      <c r="I281">
        <v>0</v>
      </c>
      <c r="J281" t="s">
        <v>50</v>
      </c>
      <c r="K281" t="s">
        <v>965</v>
      </c>
      <c r="M281" t="s">
        <v>50</v>
      </c>
      <c r="N281">
        <v>16000</v>
      </c>
    </row>
    <row r="282" spans="1:14">
      <c r="A282" t="s">
        <v>78</v>
      </c>
      <c r="B282" t="s">
        <v>410</v>
      </c>
      <c r="C282" t="s">
        <v>411</v>
      </c>
      <c r="D282">
        <v>33</v>
      </c>
      <c r="E282">
        <v>33989</v>
      </c>
      <c r="F282" t="s">
        <v>150</v>
      </c>
      <c r="G282" t="s">
        <v>934</v>
      </c>
      <c r="H282">
        <v>23400</v>
      </c>
      <c r="I282">
        <v>59000</v>
      </c>
      <c r="J282" t="s">
        <v>412</v>
      </c>
      <c r="K282">
        <v>35</v>
      </c>
      <c r="M282" t="s">
        <v>412</v>
      </c>
      <c r="N282">
        <v>39000</v>
      </c>
    </row>
    <row r="283" spans="1:14">
      <c r="A283" t="s">
        <v>78</v>
      </c>
      <c r="B283" t="s">
        <v>483</v>
      </c>
      <c r="C283" t="s">
        <v>484</v>
      </c>
      <c r="D283">
        <v>48</v>
      </c>
      <c r="E283">
        <v>28737</v>
      </c>
      <c r="F283" t="s">
        <v>150</v>
      </c>
      <c r="G283" t="s">
        <v>447</v>
      </c>
      <c r="H283">
        <v>12400</v>
      </c>
      <c r="I283">
        <v>0</v>
      </c>
      <c r="J283" t="s">
        <v>50</v>
      </c>
      <c r="K283">
        <v>25</v>
      </c>
      <c r="M283" t="s">
        <v>50</v>
      </c>
      <c r="N283">
        <v>65500</v>
      </c>
    </row>
    <row r="284" spans="1:14">
      <c r="A284" t="s">
        <v>78</v>
      </c>
      <c r="B284" t="s">
        <v>327</v>
      </c>
      <c r="C284" t="s">
        <v>328</v>
      </c>
      <c r="D284">
        <v>55</v>
      </c>
      <c r="E284" s="11">
        <v>26142</v>
      </c>
      <c r="F284" t="s">
        <v>274</v>
      </c>
      <c r="G284" t="s">
        <v>364</v>
      </c>
      <c r="H284" t="s">
        <v>329</v>
      </c>
      <c r="I284" t="s">
        <v>330</v>
      </c>
      <c r="J284" t="s">
        <v>51</v>
      </c>
      <c r="K284">
        <v>14</v>
      </c>
      <c r="M284" t="s">
        <v>51</v>
      </c>
      <c r="N284">
        <v>27000</v>
      </c>
    </row>
    <row r="285" spans="1:14">
      <c r="A285" t="s">
        <v>74</v>
      </c>
      <c r="B285" t="s">
        <v>542</v>
      </c>
      <c r="C285" t="s">
        <v>543</v>
      </c>
      <c r="D285">
        <v>28</v>
      </c>
      <c r="F285" t="s">
        <v>115</v>
      </c>
      <c r="G285" t="s">
        <v>116</v>
      </c>
      <c r="H285">
        <v>14500</v>
      </c>
      <c r="I285">
        <v>39500</v>
      </c>
      <c r="J285" t="s">
        <v>50</v>
      </c>
      <c r="K285">
        <v>18</v>
      </c>
      <c r="M285" t="s">
        <v>50</v>
      </c>
      <c r="N285">
        <v>32000</v>
      </c>
    </row>
    <row r="286" spans="1:14">
      <c r="A286" t="s">
        <v>74</v>
      </c>
      <c r="B286" t="s">
        <v>267</v>
      </c>
      <c r="C286" t="s">
        <v>268</v>
      </c>
      <c r="D286">
        <v>52</v>
      </c>
      <c r="E286" s="11">
        <v>26921</v>
      </c>
      <c r="F286" t="s">
        <v>246</v>
      </c>
      <c r="G286" t="s">
        <v>164</v>
      </c>
      <c r="H286">
        <v>7300</v>
      </c>
      <c r="I286" t="s">
        <v>269</v>
      </c>
      <c r="J286" t="s">
        <v>50</v>
      </c>
      <c r="K286">
        <v>40</v>
      </c>
      <c r="M286" t="s">
        <v>50</v>
      </c>
      <c r="N286">
        <v>34500</v>
      </c>
    </row>
    <row r="287" spans="1:14">
      <c r="A287" t="s">
        <v>74</v>
      </c>
      <c r="B287" t="s">
        <v>237</v>
      </c>
      <c r="C287" t="s">
        <v>238</v>
      </c>
      <c r="D287">
        <v>63</v>
      </c>
      <c r="E287" s="11">
        <v>23006</v>
      </c>
      <c r="F287" t="s">
        <v>263</v>
      </c>
      <c r="H287">
        <v>11200</v>
      </c>
      <c r="K287">
        <v>41</v>
      </c>
      <c r="N287">
        <v>83500</v>
      </c>
    </row>
    <row r="288" spans="1:14">
      <c r="A288" t="s">
        <v>74</v>
      </c>
      <c r="B288" t="s">
        <v>183</v>
      </c>
      <c r="C288" t="s">
        <v>184</v>
      </c>
      <c r="D288">
        <v>53</v>
      </c>
      <c r="E288" s="11">
        <v>26840</v>
      </c>
      <c r="F288" t="s">
        <v>449</v>
      </c>
      <c r="H288">
        <v>9500</v>
      </c>
      <c r="I288" s="13">
        <v>66500</v>
      </c>
      <c r="J288" t="s">
        <v>51</v>
      </c>
      <c r="K288">
        <v>38</v>
      </c>
      <c r="M288" t="s">
        <v>51</v>
      </c>
      <c r="N288">
        <v>42500</v>
      </c>
    </row>
    <row r="289" spans="1:14">
      <c r="A289" t="s">
        <v>74</v>
      </c>
      <c r="B289" t="s">
        <v>762</v>
      </c>
      <c r="C289" t="s">
        <v>763</v>
      </c>
      <c r="D289">
        <v>71</v>
      </c>
      <c r="E289">
        <v>20275</v>
      </c>
      <c r="F289" t="s">
        <v>239</v>
      </c>
      <c r="G289" t="s">
        <v>303</v>
      </c>
      <c r="H289">
        <v>14200</v>
      </c>
      <c r="I289">
        <v>51000</v>
      </c>
      <c r="J289" t="s">
        <v>50</v>
      </c>
      <c r="K289">
        <v>10</v>
      </c>
      <c r="M289" t="s">
        <v>50</v>
      </c>
      <c r="N289">
        <v>90500</v>
      </c>
    </row>
    <row r="290" spans="1:14">
      <c r="A290" t="s">
        <v>74</v>
      </c>
      <c r="B290" t="s">
        <v>497</v>
      </c>
      <c r="C290" t="s">
        <v>498</v>
      </c>
      <c r="D290">
        <v>37</v>
      </c>
      <c r="E290">
        <v>32414</v>
      </c>
      <c r="F290" t="s">
        <v>639</v>
      </c>
      <c r="H290">
        <v>12800</v>
      </c>
      <c r="I290">
        <v>76500</v>
      </c>
      <c r="J290" t="s">
        <v>50</v>
      </c>
      <c r="K290" t="s">
        <v>981</v>
      </c>
      <c r="M290" t="s">
        <v>50</v>
      </c>
      <c r="N290">
        <v>95000</v>
      </c>
    </row>
    <row r="291" spans="1:14">
      <c r="A291" t="s">
        <v>74</v>
      </c>
      <c r="B291" t="s">
        <v>747</v>
      </c>
      <c r="C291" t="s">
        <v>489</v>
      </c>
      <c r="D291">
        <v>22</v>
      </c>
      <c r="E291">
        <v>37936</v>
      </c>
      <c r="F291" t="s">
        <v>274</v>
      </c>
      <c r="G291" t="s">
        <v>748</v>
      </c>
      <c r="H291" s="13">
        <v>4100</v>
      </c>
      <c r="I291">
        <v>2000</v>
      </c>
      <c r="J291" t="s">
        <v>50</v>
      </c>
      <c r="K291">
        <v>8</v>
      </c>
      <c r="M291" t="s">
        <v>50</v>
      </c>
      <c r="N291">
        <v>4000</v>
      </c>
    </row>
    <row r="292" spans="1:14">
      <c r="A292" t="s">
        <v>74</v>
      </c>
      <c r="B292" t="s">
        <v>132</v>
      </c>
      <c r="C292" t="s">
        <v>133</v>
      </c>
      <c r="D292">
        <v>37</v>
      </c>
      <c r="E292">
        <v>32680</v>
      </c>
      <c r="F292" t="s">
        <v>115</v>
      </c>
      <c r="G292" t="s">
        <v>116</v>
      </c>
      <c r="H292">
        <v>28900</v>
      </c>
      <c r="I292">
        <v>71000</v>
      </c>
      <c r="J292" t="s">
        <v>50</v>
      </c>
      <c r="K292">
        <v>28</v>
      </c>
      <c r="M292" t="s">
        <v>50</v>
      </c>
      <c r="N292">
        <v>36500</v>
      </c>
    </row>
    <row r="293" spans="1:14">
      <c r="A293" t="s">
        <v>74</v>
      </c>
      <c r="B293" t="s">
        <v>169</v>
      </c>
      <c r="C293">
        <v>13200</v>
      </c>
      <c r="D293">
        <v>29</v>
      </c>
      <c r="E293">
        <v>35334</v>
      </c>
      <c r="F293" t="s">
        <v>101</v>
      </c>
      <c r="G293" t="s">
        <v>130</v>
      </c>
      <c r="H293">
        <v>19500</v>
      </c>
      <c r="I293" s="12">
        <v>57000</v>
      </c>
      <c r="J293" t="s">
        <v>50</v>
      </c>
      <c r="K293">
        <v>12</v>
      </c>
      <c r="M293" t="s">
        <v>50</v>
      </c>
      <c r="N293">
        <v>20500</v>
      </c>
    </row>
    <row r="294" spans="1:14">
      <c r="A294" t="s">
        <v>74</v>
      </c>
      <c r="B294" t="s">
        <v>799</v>
      </c>
      <c r="C294" t="s">
        <v>1009</v>
      </c>
      <c r="D294">
        <v>51</v>
      </c>
      <c r="E294" s="11">
        <v>27421</v>
      </c>
      <c r="F294" t="s">
        <v>226</v>
      </c>
      <c r="G294" t="s">
        <v>226</v>
      </c>
      <c r="H294">
        <v>26000</v>
      </c>
      <c r="I294">
        <v>47500</v>
      </c>
      <c r="J294" t="s">
        <v>50</v>
      </c>
      <c r="K294">
        <v>45</v>
      </c>
      <c r="M294" t="s">
        <v>50</v>
      </c>
      <c r="N294">
        <v>60500</v>
      </c>
    </row>
    <row r="295" spans="1:14">
      <c r="A295" t="s">
        <v>78</v>
      </c>
      <c r="B295" t="s">
        <v>301</v>
      </c>
      <c r="C295" t="s">
        <v>302</v>
      </c>
      <c r="D295">
        <v>74</v>
      </c>
      <c r="E295" s="11">
        <v>19047</v>
      </c>
      <c r="F295" t="s">
        <v>239</v>
      </c>
      <c r="G295" t="s">
        <v>303</v>
      </c>
      <c r="H295">
        <v>24000</v>
      </c>
      <c r="I295">
        <v>35000</v>
      </c>
      <c r="J295" t="s">
        <v>50</v>
      </c>
      <c r="K295" t="s">
        <v>1010</v>
      </c>
      <c r="M295" t="s">
        <v>50</v>
      </c>
      <c r="N295">
        <v>29500</v>
      </c>
    </row>
    <row r="296" spans="1:14">
      <c r="A296" t="s">
        <v>74</v>
      </c>
      <c r="B296" t="s">
        <v>99</v>
      </c>
      <c r="C296" t="s">
        <v>100</v>
      </c>
      <c r="D296">
        <v>19</v>
      </c>
      <c r="E296">
        <v>39016</v>
      </c>
      <c r="F296" t="s">
        <v>101</v>
      </c>
      <c r="G296" t="s">
        <v>103</v>
      </c>
      <c r="H296" s="13">
        <v>14900</v>
      </c>
      <c r="I296">
        <v>17000</v>
      </c>
      <c r="J296" t="s">
        <v>50</v>
      </c>
      <c r="K296">
        <v>20</v>
      </c>
      <c r="M296" t="s">
        <v>50</v>
      </c>
      <c r="N296">
        <v>29500</v>
      </c>
    </row>
    <row r="297" spans="1:14">
      <c r="A297" t="s">
        <v>78</v>
      </c>
      <c r="B297" t="s">
        <v>717</v>
      </c>
      <c r="C297">
        <v>32700</v>
      </c>
      <c r="D297">
        <v>57</v>
      </c>
      <c r="E297" s="11">
        <v>25369</v>
      </c>
      <c r="F297" t="s">
        <v>115</v>
      </c>
      <c r="G297" t="s">
        <v>369</v>
      </c>
      <c r="H297">
        <v>28600</v>
      </c>
      <c r="I297" s="12">
        <v>73500</v>
      </c>
      <c r="J297" t="s">
        <v>50</v>
      </c>
      <c r="K297">
        <v>29</v>
      </c>
      <c r="M297" t="s">
        <v>50</v>
      </c>
      <c r="N297">
        <v>93500</v>
      </c>
    </row>
    <row r="298" spans="1:14">
      <c r="A298" t="s">
        <v>78</v>
      </c>
      <c r="B298" t="s">
        <v>1011</v>
      </c>
      <c r="C298">
        <v>19200</v>
      </c>
      <c r="D298">
        <v>50</v>
      </c>
      <c r="E298">
        <v>27833</v>
      </c>
      <c r="F298" t="s">
        <v>486</v>
      </c>
      <c r="H298">
        <v>16200</v>
      </c>
      <c r="I298" s="12">
        <v>25000</v>
      </c>
      <c r="J298" t="s">
        <v>396</v>
      </c>
      <c r="K298">
        <v>26</v>
      </c>
      <c r="M298" t="s">
        <v>396</v>
      </c>
      <c r="N298">
        <v>65000</v>
      </c>
    </row>
    <row r="299" spans="1:14">
      <c r="A299" t="s">
        <v>74</v>
      </c>
      <c r="B299" t="s">
        <v>712</v>
      </c>
      <c r="C299">
        <v>28500</v>
      </c>
      <c r="D299" t="s">
        <v>1012</v>
      </c>
      <c r="E299">
        <v>31115</v>
      </c>
      <c r="F299" t="s">
        <v>219</v>
      </c>
      <c r="G299" t="s">
        <v>164</v>
      </c>
      <c r="H299">
        <v>23100</v>
      </c>
      <c r="I299">
        <v>36000</v>
      </c>
      <c r="J299" t="s">
        <v>50</v>
      </c>
      <c r="K299">
        <v>19</v>
      </c>
      <c r="M299" t="s">
        <v>50</v>
      </c>
      <c r="N299">
        <v>37500</v>
      </c>
    </row>
    <row r="300" spans="1:14">
      <c r="A300" t="s">
        <v>74</v>
      </c>
      <c r="B300" t="s">
        <v>726</v>
      </c>
      <c r="C300">
        <v>13700</v>
      </c>
      <c r="D300">
        <v>73</v>
      </c>
      <c r="E300" s="11">
        <v>19323</v>
      </c>
      <c r="F300" t="s">
        <v>321</v>
      </c>
      <c r="G300" t="s">
        <v>207</v>
      </c>
      <c r="H300">
        <v>18100</v>
      </c>
      <c r="I300">
        <v>0</v>
      </c>
      <c r="J300" t="s">
        <v>50</v>
      </c>
      <c r="K300">
        <v>36</v>
      </c>
      <c r="M300" t="s">
        <v>50</v>
      </c>
      <c r="N300">
        <v>89000</v>
      </c>
    </row>
    <row r="301" spans="1:14">
      <c r="A301" t="s">
        <v>937</v>
      </c>
      <c r="B301" t="s">
        <v>474</v>
      </c>
      <c r="C301">
        <v>33100</v>
      </c>
      <c r="E301">
        <v>36759</v>
      </c>
      <c r="F301" t="s">
        <v>226</v>
      </c>
      <c r="G301" t="s">
        <v>226</v>
      </c>
      <c r="H301">
        <v>23200</v>
      </c>
      <c r="I301">
        <v>54500</v>
      </c>
      <c r="J301">
        <v>1</v>
      </c>
      <c r="K301">
        <v>26</v>
      </c>
      <c r="M301">
        <v>1</v>
      </c>
      <c r="N301">
        <v>75000</v>
      </c>
    </row>
    <row r="302" spans="1:14">
      <c r="A302" t="s">
        <v>74</v>
      </c>
      <c r="B302" t="s">
        <v>749</v>
      </c>
      <c r="C302" t="s">
        <v>750</v>
      </c>
      <c r="D302">
        <v>25</v>
      </c>
      <c r="E302" s="11">
        <v>36792</v>
      </c>
      <c r="F302" t="s">
        <v>274</v>
      </c>
      <c r="G302" t="s">
        <v>363</v>
      </c>
      <c r="H302">
        <v>22100</v>
      </c>
      <c r="I302">
        <v>30500</v>
      </c>
      <c r="J302" t="s">
        <v>50</v>
      </c>
      <c r="K302" t="s">
        <v>954</v>
      </c>
      <c r="M302" t="s">
        <v>50</v>
      </c>
      <c r="N302">
        <v>48000</v>
      </c>
    </row>
    <row r="303" spans="1:14">
      <c r="A303" t="s">
        <v>929</v>
      </c>
      <c r="B303" t="s">
        <v>630</v>
      </c>
      <c r="C303" t="s">
        <v>631</v>
      </c>
      <c r="D303">
        <v>36</v>
      </c>
      <c r="E303">
        <v>33117</v>
      </c>
      <c r="F303" t="s">
        <v>321</v>
      </c>
      <c r="G303" t="s">
        <v>207</v>
      </c>
      <c r="H303">
        <v>11600</v>
      </c>
      <c r="I303">
        <v>78500</v>
      </c>
      <c r="J303" t="s">
        <v>50</v>
      </c>
      <c r="K303">
        <v>1</v>
      </c>
      <c r="M303" t="s">
        <v>50</v>
      </c>
      <c r="N303">
        <v>42000</v>
      </c>
    </row>
    <row r="304" spans="1:14">
      <c r="A304" t="s">
        <v>78</v>
      </c>
      <c r="B304" t="s">
        <v>406</v>
      </c>
      <c r="C304">
        <v>16600</v>
      </c>
      <c r="D304">
        <v>35</v>
      </c>
      <c r="E304">
        <v>33417</v>
      </c>
      <c r="F304" t="s">
        <v>243</v>
      </c>
      <c r="G304" t="s">
        <v>946</v>
      </c>
      <c r="H304" s="12">
        <v>12400</v>
      </c>
      <c r="I304">
        <v>0</v>
      </c>
      <c r="J304" t="s">
        <v>50</v>
      </c>
      <c r="K304">
        <v>3</v>
      </c>
      <c r="M304" t="s">
        <v>50</v>
      </c>
      <c r="N304">
        <v>83500</v>
      </c>
    </row>
    <row r="305" spans="1:14">
      <c r="A305" t="s">
        <v>74</v>
      </c>
      <c r="B305" t="s">
        <v>676</v>
      </c>
      <c r="C305" t="s">
        <v>502</v>
      </c>
      <c r="D305">
        <v>64</v>
      </c>
      <c r="E305" s="11">
        <v>22845</v>
      </c>
      <c r="F305" t="s">
        <v>215</v>
      </c>
      <c r="G305" t="s">
        <v>743</v>
      </c>
      <c r="H305">
        <v>12700</v>
      </c>
      <c r="I305">
        <v>0</v>
      </c>
      <c r="J305" t="s">
        <v>50</v>
      </c>
      <c r="K305">
        <v>21</v>
      </c>
      <c r="M305" t="s">
        <v>50</v>
      </c>
      <c r="N305">
        <v>50500</v>
      </c>
    </row>
    <row r="306" spans="1:14">
      <c r="A306" t="s">
        <v>74</v>
      </c>
      <c r="B306" t="s">
        <v>491</v>
      </c>
      <c r="C306" t="s">
        <v>492</v>
      </c>
      <c r="D306">
        <v>49</v>
      </c>
      <c r="E306">
        <v>28147</v>
      </c>
      <c r="F306" t="s">
        <v>150</v>
      </c>
      <c r="G306" t="s">
        <v>136</v>
      </c>
      <c r="H306">
        <v>28400</v>
      </c>
      <c r="I306" s="13">
        <v>38500</v>
      </c>
      <c r="J306" t="s">
        <v>255</v>
      </c>
      <c r="K306" t="s">
        <v>1005</v>
      </c>
      <c r="M306" t="s">
        <v>255</v>
      </c>
      <c r="N306">
        <v>51000</v>
      </c>
    </row>
    <row r="307" spans="1:14">
      <c r="A307" t="s">
        <v>74</v>
      </c>
      <c r="B307" t="s">
        <v>117</v>
      </c>
      <c r="C307" t="s">
        <v>118</v>
      </c>
      <c r="D307">
        <v>50</v>
      </c>
      <c r="E307" s="11">
        <v>27886</v>
      </c>
      <c r="F307" t="s">
        <v>226</v>
      </c>
      <c r="G307" t="s">
        <v>226</v>
      </c>
      <c r="H307">
        <v>16100</v>
      </c>
      <c r="I307" s="13">
        <v>8000</v>
      </c>
      <c r="J307" t="s">
        <v>51</v>
      </c>
      <c r="K307">
        <v>30</v>
      </c>
      <c r="M307" t="s">
        <v>51</v>
      </c>
      <c r="N307">
        <v>27000</v>
      </c>
    </row>
    <row r="308" spans="1:14">
      <c r="B308" t="s">
        <v>388</v>
      </c>
      <c r="C308" t="s">
        <v>389</v>
      </c>
      <c r="E308" s="11">
        <v>33188</v>
      </c>
      <c r="F308" t="s">
        <v>115</v>
      </c>
      <c r="G308" t="s">
        <v>116</v>
      </c>
      <c r="H308">
        <v>29900</v>
      </c>
      <c r="I308" s="12">
        <v>64500</v>
      </c>
      <c r="J308" t="s">
        <v>50</v>
      </c>
      <c r="K308">
        <v>34</v>
      </c>
      <c r="M308" t="s">
        <v>50</v>
      </c>
      <c r="N308">
        <v>48500</v>
      </c>
    </row>
    <row r="309" spans="1:14">
      <c r="A309" t="s">
        <v>74</v>
      </c>
      <c r="B309" t="s">
        <v>161</v>
      </c>
      <c r="C309" t="s">
        <v>162</v>
      </c>
      <c r="D309">
        <v>39</v>
      </c>
      <c r="E309" s="11">
        <v>31968</v>
      </c>
      <c r="F309" t="s">
        <v>449</v>
      </c>
      <c r="H309">
        <v>8000</v>
      </c>
      <c r="I309" s="13">
        <v>69000</v>
      </c>
      <c r="J309" t="s">
        <v>50</v>
      </c>
      <c r="K309">
        <v>15</v>
      </c>
      <c r="M309" t="s">
        <v>50</v>
      </c>
      <c r="N309">
        <v>39500</v>
      </c>
    </row>
    <row r="310" spans="1:14">
      <c r="A310" t="s">
        <v>929</v>
      </c>
      <c r="B310" t="s">
        <v>697</v>
      </c>
      <c r="C310" t="s">
        <v>698</v>
      </c>
      <c r="D310">
        <v>19</v>
      </c>
      <c r="E310" s="11">
        <v>39003</v>
      </c>
      <c r="F310" t="s">
        <v>246</v>
      </c>
      <c r="G310" t="s">
        <v>164</v>
      </c>
      <c r="H310" t="s">
        <v>699</v>
      </c>
      <c r="I310" s="13">
        <v>29500</v>
      </c>
      <c r="J310" t="s">
        <v>51</v>
      </c>
      <c r="K310">
        <v>13</v>
      </c>
      <c r="M310" t="s">
        <v>51</v>
      </c>
      <c r="N310">
        <v>5000</v>
      </c>
    </row>
    <row r="311" spans="1:14">
      <c r="A311" t="s">
        <v>78</v>
      </c>
      <c r="B311" t="s">
        <v>435</v>
      </c>
      <c r="C311" t="s">
        <v>436</v>
      </c>
      <c r="D311">
        <v>63</v>
      </c>
      <c r="E311" s="11">
        <v>22924</v>
      </c>
      <c r="F311" t="s">
        <v>115</v>
      </c>
      <c r="G311" t="s">
        <v>369</v>
      </c>
      <c r="H311">
        <v>29000</v>
      </c>
      <c r="I311" s="12">
        <v>36500</v>
      </c>
      <c r="J311" t="s">
        <v>50</v>
      </c>
      <c r="K311">
        <v>38</v>
      </c>
      <c r="M311" t="s">
        <v>50</v>
      </c>
      <c r="N311">
        <v>68000</v>
      </c>
    </row>
    <row r="312" spans="1:14">
      <c r="A312" t="s">
        <v>74</v>
      </c>
      <c r="B312" t="s">
        <v>548</v>
      </c>
      <c r="C312">
        <v>17900</v>
      </c>
      <c r="D312">
        <v>44</v>
      </c>
      <c r="E312" s="11">
        <v>29991</v>
      </c>
      <c r="F312" t="s">
        <v>150</v>
      </c>
      <c r="H312">
        <v>6700</v>
      </c>
      <c r="I312">
        <v>16500</v>
      </c>
      <c r="J312" t="s">
        <v>51</v>
      </c>
      <c r="K312">
        <v>38</v>
      </c>
      <c r="M312" t="s">
        <v>51</v>
      </c>
      <c r="N312">
        <v>15500</v>
      </c>
    </row>
    <row r="313" spans="1:14">
      <c r="A313" t="s">
        <v>929</v>
      </c>
      <c r="B313" t="s">
        <v>480</v>
      </c>
      <c r="C313" t="s">
        <v>1013</v>
      </c>
      <c r="D313">
        <v>26</v>
      </c>
      <c r="E313">
        <v>36671</v>
      </c>
      <c r="F313" t="s">
        <v>231</v>
      </c>
      <c r="G313" t="s">
        <v>441</v>
      </c>
      <c r="H313">
        <v>25000</v>
      </c>
      <c r="I313">
        <v>1000</v>
      </c>
      <c r="J313" t="s">
        <v>50</v>
      </c>
      <c r="K313">
        <v>16</v>
      </c>
      <c r="M313" t="s">
        <v>50</v>
      </c>
      <c r="N313">
        <v>10500</v>
      </c>
    </row>
    <row r="314" spans="1:14">
      <c r="A314" t="s">
        <v>74</v>
      </c>
      <c r="B314" t="s">
        <v>1014</v>
      </c>
      <c r="C314">
        <v>25200</v>
      </c>
      <c r="D314">
        <v>44</v>
      </c>
      <c r="E314" s="11">
        <v>30081</v>
      </c>
      <c r="F314" t="s">
        <v>115</v>
      </c>
      <c r="G314" t="s">
        <v>116</v>
      </c>
      <c r="H314">
        <v>9600</v>
      </c>
      <c r="I314" s="13">
        <v>66000</v>
      </c>
      <c r="K314">
        <v>11</v>
      </c>
      <c r="N314">
        <v>4500</v>
      </c>
    </row>
    <row r="315" spans="1:14">
      <c r="A315" t="s">
        <v>74</v>
      </c>
      <c r="B315" t="s">
        <v>1015</v>
      </c>
      <c r="C315">
        <v>29900</v>
      </c>
      <c r="D315" t="s">
        <v>953</v>
      </c>
      <c r="F315" t="s">
        <v>219</v>
      </c>
      <c r="G315" t="s">
        <v>164</v>
      </c>
      <c r="H315">
        <v>21300</v>
      </c>
      <c r="I315">
        <v>60500</v>
      </c>
      <c r="K315">
        <v>15</v>
      </c>
      <c r="N315">
        <v>74500</v>
      </c>
    </row>
    <row r="316" spans="1:14">
      <c r="A316" t="s">
        <v>74</v>
      </c>
      <c r="B316" t="s">
        <v>79</v>
      </c>
      <c r="C316" t="s">
        <v>80</v>
      </c>
      <c r="D316">
        <v>69</v>
      </c>
      <c r="E316">
        <v>21054</v>
      </c>
      <c r="F316" t="s">
        <v>243</v>
      </c>
      <c r="G316" t="s">
        <v>82</v>
      </c>
      <c r="H316" s="13">
        <v>23800</v>
      </c>
      <c r="I316" t="s">
        <v>83</v>
      </c>
      <c r="K316">
        <v>26</v>
      </c>
      <c r="N316">
        <v>89000</v>
      </c>
    </row>
    <row r="317" spans="1:14">
      <c r="A317" t="s">
        <v>74</v>
      </c>
      <c r="B317" t="s">
        <v>177</v>
      </c>
      <c r="C317" t="s">
        <v>178</v>
      </c>
      <c r="D317">
        <v>67</v>
      </c>
      <c r="E317">
        <v>21522</v>
      </c>
      <c r="F317" t="s">
        <v>256</v>
      </c>
      <c r="G317" t="s">
        <v>180</v>
      </c>
      <c r="H317">
        <v>11300</v>
      </c>
      <c r="I317">
        <v>49500</v>
      </c>
      <c r="J317" t="s">
        <v>50</v>
      </c>
      <c r="K317">
        <v>12</v>
      </c>
      <c r="M317" t="s">
        <v>50</v>
      </c>
      <c r="N317">
        <v>34500</v>
      </c>
    </row>
    <row r="318" spans="1:14">
      <c r="A318" t="s">
        <v>74</v>
      </c>
      <c r="B318" t="s">
        <v>341</v>
      </c>
      <c r="C318" t="s">
        <v>340</v>
      </c>
      <c r="D318" t="s">
        <v>1016</v>
      </c>
      <c r="E318" s="11">
        <v>27378</v>
      </c>
      <c r="F318" t="s">
        <v>226</v>
      </c>
      <c r="G318" t="s">
        <v>226</v>
      </c>
      <c r="H318" s="12">
        <v>11600</v>
      </c>
      <c r="I318">
        <v>41000</v>
      </c>
      <c r="J318" t="s">
        <v>50</v>
      </c>
      <c r="K318" t="s">
        <v>1017</v>
      </c>
      <c r="M318" t="s">
        <v>50</v>
      </c>
      <c r="N318">
        <v>67000</v>
      </c>
    </row>
    <row r="319" spans="1:14">
      <c r="A319" t="s">
        <v>74</v>
      </c>
      <c r="B319" t="s">
        <v>522</v>
      </c>
      <c r="C319" t="s">
        <v>523</v>
      </c>
      <c r="D319">
        <v>49</v>
      </c>
      <c r="E319" s="11">
        <v>28067</v>
      </c>
      <c r="F319" t="s">
        <v>101</v>
      </c>
      <c r="G319" t="s">
        <v>130</v>
      </c>
      <c r="H319">
        <v>29800</v>
      </c>
      <c r="I319" s="13">
        <v>54500</v>
      </c>
      <c r="J319" t="s">
        <v>50</v>
      </c>
      <c r="K319">
        <v>34</v>
      </c>
      <c r="M319" t="s">
        <v>50</v>
      </c>
      <c r="N319">
        <v>72000</v>
      </c>
    </row>
    <row r="320" spans="1:14">
      <c r="A320" t="s">
        <v>74</v>
      </c>
      <c r="B320" t="s">
        <v>146</v>
      </c>
      <c r="C320" t="s">
        <v>1018</v>
      </c>
      <c r="D320">
        <v>20</v>
      </c>
      <c r="E320" s="11">
        <v>38957</v>
      </c>
      <c r="F320" t="s">
        <v>215</v>
      </c>
      <c r="G320" t="s">
        <v>164</v>
      </c>
      <c r="H320">
        <v>18200</v>
      </c>
      <c r="J320" t="s">
        <v>50</v>
      </c>
      <c r="K320">
        <v>21</v>
      </c>
      <c r="M320" t="s">
        <v>50</v>
      </c>
      <c r="N320">
        <v>61500</v>
      </c>
    </row>
    <row r="321" spans="1:14">
      <c r="A321" t="s">
        <v>74</v>
      </c>
      <c r="B321" t="s">
        <v>786</v>
      </c>
      <c r="C321">
        <v>19300</v>
      </c>
      <c r="D321">
        <v>74</v>
      </c>
      <c r="E321" s="11">
        <v>19131</v>
      </c>
      <c r="F321" t="s">
        <v>150</v>
      </c>
      <c r="G321" t="s">
        <v>137</v>
      </c>
      <c r="H321">
        <v>20700</v>
      </c>
      <c r="I321" s="12">
        <v>17500</v>
      </c>
      <c r="J321" t="s">
        <v>50</v>
      </c>
      <c r="K321">
        <v>35</v>
      </c>
      <c r="M321" t="s">
        <v>50</v>
      </c>
      <c r="N321">
        <v>68500</v>
      </c>
    </row>
    <row r="322" spans="1:14">
      <c r="A322" t="s">
        <v>78</v>
      </c>
      <c r="B322" t="s">
        <v>851</v>
      </c>
      <c r="C322">
        <v>6400</v>
      </c>
      <c r="D322">
        <v>57</v>
      </c>
      <c r="E322">
        <v>25206</v>
      </c>
      <c r="F322" t="s">
        <v>86</v>
      </c>
      <c r="G322" t="s">
        <v>88</v>
      </c>
      <c r="H322">
        <v>3400</v>
      </c>
      <c r="I322">
        <v>23500</v>
      </c>
      <c r="J322" t="s">
        <v>50</v>
      </c>
      <c r="K322">
        <v>20</v>
      </c>
      <c r="M322" t="s">
        <v>50</v>
      </c>
      <c r="N322">
        <v>50500</v>
      </c>
    </row>
    <row r="323" spans="1:14">
      <c r="A323" t="s">
        <v>74</v>
      </c>
      <c r="B323" t="s">
        <v>595</v>
      </c>
      <c r="C323" t="s">
        <v>596</v>
      </c>
      <c r="D323">
        <v>56</v>
      </c>
      <c r="E323">
        <v>25671</v>
      </c>
      <c r="F323" t="s">
        <v>252</v>
      </c>
      <c r="G323" t="s">
        <v>87</v>
      </c>
      <c r="H323">
        <v>28300</v>
      </c>
      <c r="I323">
        <v>56000</v>
      </c>
      <c r="J323" t="s">
        <v>50</v>
      </c>
      <c r="K323">
        <v>6</v>
      </c>
      <c r="M323" t="s">
        <v>50</v>
      </c>
      <c r="N323">
        <v>84500</v>
      </c>
    </row>
    <row r="324" spans="1:14">
      <c r="A324" t="s">
        <v>74</v>
      </c>
      <c r="B324" t="s">
        <v>229</v>
      </c>
      <c r="C324" t="s">
        <v>230</v>
      </c>
      <c r="D324">
        <v>68</v>
      </c>
      <c r="E324" s="11">
        <v>21145</v>
      </c>
      <c r="F324" t="s">
        <v>231</v>
      </c>
      <c r="G324" t="s">
        <v>232</v>
      </c>
      <c r="H324">
        <v>24500</v>
      </c>
      <c r="I324">
        <v>16500</v>
      </c>
      <c r="J324" t="s">
        <v>50</v>
      </c>
      <c r="K324">
        <v>22</v>
      </c>
      <c r="M324" t="s">
        <v>50</v>
      </c>
      <c r="N324">
        <v>34500</v>
      </c>
    </row>
    <row r="325" spans="1:14">
      <c r="A325" t="s">
        <v>78</v>
      </c>
      <c r="B325" t="s">
        <v>1019</v>
      </c>
      <c r="C325" t="s">
        <v>546</v>
      </c>
      <c r="D325">
        <v>73</v>
      </c>
      <c r="F325" t="s">
        <v>219</v>
      </c>
      <c r="G325" t="s">
        <v>164</v>
      </c>
      <c r="H325" t="s">
        <v>547</v>
      </c>
      <c r="I325">
        <v>47000</v>
      </c>
      <c r="J325" t="s">
        <v>50</v>
      </c>
      <c r="K325">
        <v>19</v>
      </c>
      <c r="M325" t="s">
        <v>50</v>
      </c>
      <c r="N325">
        <v>20500</v>
      </c>
    </row>
    <row r="326" spans="1:14">
      <c r="A326" t="s">
        <v>74</v>
      </c>
      <c r="B326" t="s">
        <v>832</v>
      </c>
      <c r="C326" t="s">
        <v>833</v>
      </c>
      <c r="D326">
        <v>67</v>
      </c>
      <c r="E326" s="11">
        <v>21497</v>
      </c>
      <c r="F326" t="s">
        <v>277</v>
      </c>
      <c r="H326" t="s">
        <v>834</v>
      </c>
      <c r="I326" s="12">
        <v>73500</v>
      </c>
      <c r="J326" t="s">
        <v>51</v>
      </c>
      <c r="K326">
        <v>7</v>
      </c>
      <c r="M326" t="s">
        <v>51</v>
      </c>
      <c r="N326">
        <v>24500</v>
      </c>
    </row>
    <row r="327" spans="1:14">
      <c r="A327" t="s">
        <v>74</v>
      </c>
      <c r="B327" t="s">
        <v>365</v>
      </c>
      <c r="C327" t="s">
        <v>366</v>
      </c>
      <c r="D327">
        <v>54</v>
      </c>
      <c r="E327" s="11">
        <v>26230</v>
      </c>
      <c r="F327" t="s">
        <v>215</v>
      </c>
      <c r="G327" t="s">
        <v>220</v>
      </c>
      <c r="H327">
        <v>18700</v>
      </c>
      <c r="I327">
        <v>46000</v>
      </c>
      <c r="J327" t="s">
        <v>51</v>
      </c>
      <c r="K327">
        <v>4</v>
      </c>
      <c r="M327" t="s">
        <v>51</v>
      </c>
      <c r="N327">
        <v>27500</v>
      </c>
    </row>
    <row r="328" spans="1:14">
      <c r="A328" t="s">
        <v>74</v>
      </c>
      <c r="B328" t="s">
        <v>221</v>
      </c>
      <c r="C328">
        <v>36900</v>
      </c>
      <c r="D328">
        <v>61</v>
      </c>
      <c r="E328">
        <v>23928</v>
      </c>
      <c r="F328" t="s">
        <v>256</v>
      </c>
      <c r="G328" t="s">
        <v>232</v>
      </c>
      <c r="H328">
        <v>22900</v>
      </c>
      <c r="I328">
        <v>7500</v>
      </c>
      <c r="J328" t="s">
        <v>50</v>
      </c>
      <c r="K328">
        <v>12</v>
      </c>
      <c r="M328" t="s">
        <v>50</v>
      </c>
      <c r="N328">
        <v>33000</v>
      </c>
    </row>
    <row r="329" spans="1:14">
      <c r="A329" t="s">
        <v>74</v>
      </c>
      <c r="B329" t="s">
        <v>832</v>
      </c>
      <c r="C329" t="s">
        <v>1020</v>
      </c>
      <c r="D329">
        <v>60</v>
      </c>
      <c r="E329" s="11">
        <v>24054</v>
      </c>
      <c r="F329" t="s">
        <v>274</v>
      </c>
      <c r="G329" t="s">
        <v>748</v>
      </c>
      <c r="H329">
        <v>22600</v>
      </c>
      <c r="I329" t="s">
        <v>1021</v>
      </c>
      <c r="J329" t="s">
        <v>50</v>
      </c>
      <c r="K329">
        <v>9</v>
      </c>
      <c r="M329" t="s">
        <v>50</v>
      </c>
      <c r="N329">
        <v>58500</v>
      </c>
    </row>
    <row r="330" spans="1:14">
      <c r="A330" t="s">
        <v>74</v>
      </c>
      <c r="B330" t="s">
        <v>692</v>
      </c>
      <c r="C330">
        <v>36000</v>
      </c>
      <c r="D330">
        <v>26</v>
      </c>
      <c r="E330" s="11">
        <v>36573</v>
      </c>
      <c r="F330" t="s">
        <v>263</v>
      </c>
      <c r="H330">
        <v>4800</v>
      </c>
      <c r="I330" t="s">
        <v>1022</v>
      </c>
      <c r="J330" t="s">
        <v>51</v>
      </c>
      <c r="K330">
        <v>6</v>
      </c>
      <c r="M330" t="s">
        <v>51</v>
      </c>
      <c r="N330">
        <v>56500</v>
      </c>
    </row>
    <row r="331" spans="1:14">
      <c r="A331" t="s">
        <v>78</v>
      </c>
      <c r="B331" t="s">
        <v>197</v>
      </c>
      <c r="C331">
        <v>32500</v>
      </c>
      <c r="D331">
        <v>48</v>
      </c>
      <c r="E331">
        <v>28446</v>
      </c>
      <c r="F331" t="s">
        <v>288</v>
      </c>
      <c r="G331" t="s">
        <v>137</v>
      </c>
      <c r="H331">
        <v>6900</v>
      </c>
      <c r="I331">
        <v>52500</v>
      </c>
      <c r="J331" t="s">
        <v>51</v>
      </c>
      <c r="K331">
        <v>0</v>
      </c>
      <c r="M331" t="s">
        <v>51</v>
      </c>
      <c r="N331">
        <v>66000</v>
      </c>
    </row>
    <row r="332" spans="1:14">
      <c r="A332" t="s">
        <v>74</v>
      </c>
      <c r="B332" t="s">
        <v>439</v>
      </c>
      <c r="C332" t="s">
        <v>440</v>
      </c>
      <c r="D332">
        <v>69</v>
      </c>
      <c r="F332" t="s">
        <v>256</v>
      </c>
      <c r="G332" t="s">
        <v>441</v>
      </c>
      <c r="H332">
        <v>11400</v>
      </c>
      <c r="I332">
        <v>0</v>
      </c>
      <c r="J332" t="s">
        <v>412</v>
      </c>
      <c r="K332">
        <v>13</v>
      </c>
      <c r="M332" t="s">
        <v>412</v>
      </c>
      <c r="N332">
        <v>79000</v>
      </c>
    </row>
    <row r="333" spans="1:14">
      <c r="A333" t="s">
        <v>74</v>
      </c>
      <c r="B333" t="s">
        <v>634</v>
      </c>
      <c r="C333">
        <v>22300</v>
      </c>
      <c r="D333">
        <v>25</v>
      </c>
      <c r="E333" s="11">
        <v>36831</v>
      </c>
      <c r="F333" t="s">
        <v>223</v>
      </c>
      <c r="G333" t="s">
        <v>82</v>
      </c>
      <c r="H333" s="13">
        <v>9400</v>
      </c>
      <c r="I333">
        <v>51500</v>
      </c>
      <c r="J333" t="s">
        <v>50</v>
      </c>
      <c r="K333">
        <v>14</v>
      </c>
      <c r="M333" t="s">
        <v>50</v>
      </c>
      <c r="N333">
        <v>74000</v>
      </c>
    </row>
    <row r="334" spans="1:14">
      <c r="A334" t="s">
        <v>74</v>
      </c>
      <c r="B334" t="s">
        <v>740</v>
      </c>
      <c r="C334" t="s">
        <v>594</v>
      </c>
      <c r="D334">
        <v>62</v>
      </c>
      <c r="E334">
        <v>23317</v>
      </c>
      <c r="F334" t="s">
        <v>280</v>
      </c>
      <c r="G334" t="s">
        <v>164</v>
      </c>
      <c r="H334">
        <v>10500</v>
      </c>
      <c r="I334">
        <v>0</v>
      </c>
      <c r="J334" t="s">
        <v>51</v>
      </c>
      <c r="K334" t="s">
        <v>1003</v>
      </c>
      <c r="M334" t="s">
        <v>51</v>
      </c>
      <c r="N334">
        <v>54500</v>
      </c>
    </row>
    <row r="335" spans="1:14">
      <c r="A335" t="s">
        <v>74</v>
      </c>
      <c r="B335" t="s">
        <v>797</v>
      </c>
      <c r="C335">
        <v>25700</v>
      </c>
      <c r="D335">
        <v>27</v>
      </c>
      <c r="E335">
        <v>36152</v>
      </c>
      <c r="F335" t="s">
        <v>243</v>
      </c>
      <c r="G335" t="s">
        <v>944</v>
      </c>
      <c r="H335">
        <v>30000</v>
      </c>
      <c r="I335" s="13">
        <v>27000</v>
      </c>
      <c r="J335" t="s">
        <v>349</v>
      </c>
      <c r="K335">
        <v>28</v>
      </c>
      <c r="M335" t="s">
        <v>349</v>
      </c>
      <c r="N335">
        <v>28500</v>
      </c>
    </row>
    <row r="336" spans="1:14">
      <c r="A336" t="s">
        <v>74</v>
      </c>
      <c r="B336" t="s">
        <v>773</v>
      </c>
      <c r="C336" t="s">
        <v>434</v>
      </c>
      <c r="E336" s="11">
        <v>34769</v>
      </c>
      <c r="F336" t="s">
        <v>239</v>
      </c>
      <c r="G336" t="s">
        <v>939</v>
      </c>
      <c r="H336">
        <v>9000</v>
      </c>
      <c r="I336">
        <v>66000</v>
      </c>
      <c r="J336" t="s">
        <v>50</v>
      </c>
      <c r="K336">
        <v>24</v>
      </c>
      <c r="M336" t="s">
        <v>50</v>
      </c>
      <c r="N336">
        <v>72000</v>
      </c>
    </row>
    <row r="337" spans="1:14">
      <c r="A337" t="s">
        <v>78</v>
      </c>
      <c r="B337" t="s">
        <v>299</v>
      </c>
      <c r="C337" t="s">
        <v>1023</v>
      </c>
      <c r="D337">
        <v>65</v>
      </c>
      <c r="E337">
        <v>22275</v>
      </c>
      <c r="F337" t="s">
        <v>274</v>
      </c>
      <c r="G337" t="s">
        <v>363</v>
      </c>
      <c r="H337">
        <v>3300</v>
      </c>
      <c r="I337">
        <v>43500</v>
      </c>
      <c r="J337" t="s">
        <v>50</v>
      </c>
      <c r="K337" t="s">
        <v>943</v>
      </c>
      <c r="M337" t="s">
        <v>50</v>
      </c>
      <c r="N337">
        <v>23500</v>
      </c>
    </row>
    <row r="338" spans="1:14">
      <c r="A338" t="s">
        <v>74</v>
      </c>
      <c r="B338" t="s">
        <v>580</v>
      </c>
      <c r="C338" t="s">
        <v>527</v>
      </c>
      <c r="D338">
        <v>29</v>
      </c>
      <c r="E338" s="11">
        <v>35392</v>
      </c>
      <c r="F338" t="s">
        <v>321</v>
      </c>
      <c r="H338" t="s">
        <v>581</v>
      </c>
      <c r="I338">
        <v>19500</v>
      </c>
      <c r="J338" t="s">
        <v>50</v>
      </c>
      <c r="K338">
        <v>30</v>
      </c>
      <c r="M338" t="s">
        <v>50</v>
      </c>
      <c r="N338">
        <v>51000</v>
      </c>
    </row>
    <row r="339" spans="1:14">
      <c r="A339" t="s">
        <v>74</v>
      </c>
      <c r="B339" t="s">
        <v>784</v>
      </c>
      <c r="C339" t="s">
        <v>514</v>
      </c>
      <c r="D339">
        <v>55</v>
      </c>
      <c r="E339">
        <v>25844</v>
      </c>
      <c r="F339" t="s">
        <v>243</v>
      </c>
      <c r="G339" t="s">
        <v>944</v>
      </c>
      <c r="H339" s="13">
        <v>17400</v>
      </c>
      <c r="I339" s="12">
        <v>75500</v>
      </c>
      <c r="J339" t="s">
        <v>50</v>
      </c>
      <c r="K339">
        <v>9</v>
      </c>
      <c r="M339" t="s">
        <v>50</v>
      </c>
      <c r="N339">
        <v>52000</v>
      </c>
    </row>
    <row r="340" spans="1:14">
      <c r="A340" t="s">
        <v>78</v>
      </c>
      <c r="B340" t="s">
        <v>597</v>
      </c>
      <c r="C340">
        <v>34000</v>
      </c>
      <c r="D340">
        <v>38</v>
      </c>
      <c r="E340" s="11">
        <v>32118</v>
      </c>
      <c r="F340" t="s">
        <v>231</v>
      </c>
      <c r="G340" t="s">
        <v>629</v>
      </c>
      <c r="H340" s="13">
        <v>15800</v>
      </c>
      <c r="I340">
        <v>14500</v>
      </c>
      <c r="J340" t="s">
        <v>50</v>
      </c>
      <c r="K340">
        <v>4</v>
      </c>
      <c r="M340" t="s">
        <v>50</v>
      </c>
      <c r="N340">
        <v>21000</v>
      </c>
    </row>
    <row r="341" spans="1:14">
      <c r="A341" t="s">
        <v>74</v>
      </c>
      <c r="B341" t="s">
        <v>380</v>
      </c>
      <c r="C341">
        <v>2200</v>
      </c>
      <c r="D341">
        <v>58</v>
      </c>
      <c r="E341">
        <v>24840</v>
      </c>
      <c r="F341" t="s">
        <v>321</v>
      </c>
      <c r="G341" t="s">
        <v>949</v>
      </c>
      <c r="H341" s="12">
        <v>2800</v>
      </c>
      <c r="I341" s="12">
        <v>35000</v>
      </c>
      <c r="J341" t="s">
        <v>50</v>
      </c>
      <c r="K341">
        <v>36</v>
      </c>
      <c r="M341" t="s">
        <v>50</v>
      </c>
      <c r="N341">
        <v>9000</v>
      </c>
    </row>
    <row r="342" spans="1:14">
      <c r="A342" t="s">
        <v>74</v>
      </c>
      <c r="B342" t="s">
        <v>707</v>
      </c>
      <c r="C342" t="s">
        <v>706</v>
      </c>
      <c r="E342" s="11">
        <v>35600</v>
      </c>
      <c r="F342" t="s">
        <v>252</v>
      </c>
      <c r="G342" t="s">
        <v>87</v>
      </c>
      <c r="H342">
        <v>9600</v>
      </c>
      <c r="I342" s="12">
        <v>41000</v>
      </c>
      <c r="J342" t="s">
        <v>50</v>
      </c>
      <c r="K342">
        <v>27</v>
      </c>
      <c r="M342" t="s">
        <v>50</v>
      </c>
      <c r="N342">
        <v>25000</v>
      </c>
    </row>
    <row r="343" spans="1:14">
      <c r="A343" t="s">
        <v>78</v>
      </c>
      <c r="B343" t="s">
        <v>623</v>
      </c>
      <c r="C343">
        <v>11600</v>
      </c>
      <c r="E343">
        <v>32890</v>
      </c>
      <c r="F343" t="s">
        <v>86</v>
      </c>
      <c r="G343" t="s">
        <v>88</v>
      </c>
      <c r="H343" s="13">
        <v>28100</v>
      </c>
      <c r="I343" s="13">
        <v>36500</v>
      </c>
      <c r="J343" t="s">
        <v>50</v>
      </c>
      <c r="K343">
        <v>13</v>
      </c>
      <c r="M343" t="s">
        <v>50</v>
      </c>
      <c r="N343">
        <v>5000</v>
      </c>
    </row>
    <row r="344" spans="1:14">
      <c r="A344" t="s">
        <v>78</v>
      </c>
      <c r="B344" t="s">
        <v>267</v>
      </c>
      <c r="C344">
        <v>20300</v>
      </c>
      <c r="D344">
        <v>46</v>
      </c>
      <c r="E344" s="11">
        <v>29427</v>
      </c>
      <c r="F344" t="s">
        <v>252</v>
      </c>
      <c r="G344" t="s">
        <v>358</v>
      </c>
      <c r="I344">
        <v>37500</v>
      </c>
      <c r="J344" t="s">
        <v>50</v>
      </c>
      <c r="M344" t="s">
        <v>50</v>
      </c>
      <c r="N344">
        <v>77000</v>
      </c>
    </row>
    <row r="345" spans="1:14">
      <c r="A345" t="s">
        <v>78</v>
      </c>
      <c r="B345" t="s">
        <v>964</v>
      </c>
      <c r="C345" t="s">
        <v>355</v>
      </c>
      <c r="D345">
        <v>30</v>
      </c>
      <c r="E345" s="11">
        <v>35200</v>
      </c>
      <c r="F345" t="s">
        <v>115</v>
      </c>
      <c r="G345" t="s">
        <v>369</v>
      </c>
      <c r="H345">
        <v>26500</v>
      </c>
      <c r="I345">
        <v>14500</v>
      </c>
      <c r="J345">
        <v>0</v>
      </c>
      <c r="K345">
        <v>15</v>
      </c>
      <c r="M345">
        <v>0</v>
      </c>
      <c r="N345">
        <v>39000</v>
      </c>
    </row>
    <row r="346" spans="1:14">
      <c r="A346" t="s">
        <v>74</v>
      </c>
      <c r="B346" t="s">
        <v>690</v>
      </c>
      <c r="C346" t="s">
        <v>325</v>
      </c>
      <c r="D346">
        <v>60</v>
      </c>
      <c r="E346">
        <v>24202</v>
      </c>
      <c r="F346" t="s">
        <v>256</v>
      </c>
      <c r="G346" t="s">
        <v>232</v>
      </c>
      <c r="H346" s="12">
        <v>5500</v>
      </c>
      <c r="I346">
        <v>0</v>
      </c>
      <c r="J346" t="s">
        <v>255</v>
      </c>
      <c r="K346">
        <v>26</v>
      </c>
      <c r="M346" t="s">
        <v>255</v>
      </c>
      <c r="N346">
        <v>52500</v>
      </c>
    </row>
    <row r="347" spans="1:14">
      <c r="A347" t="s">
        <v>74</v>
      </c>
      <c r="B347" t="s">
        <v>506</v>
      </c>
      <c r="C347" t="s">
        <v>507</v>
      </c>
      <c r="D347">
        <v>43</v>
      </c>
      <c r="E347">
        <v>30437</v>
      </c>
      <c r="F347" t="s">
        <v>150</v>
      </c>
      <c r="G347" t="s">
        <v>447</v>
      </c>
      <c r="H347">
        <v>14600</v>
      </c>
      <c r="I347">
        <v>18500</v>
      </c>
      <c r="J347" t="s">
        <v>412</v>
      </c>
      <c r="K347">
        <v>22</v>
      </c>
      <c r="M347" t="s">
        <v>412</v>
      </c>
      <c r="N347">
        <v>16500</v>
      </c>
    </row>
    <row r="348" spans="1:14">
      <c r="A348" t="s">
        <v>937</v>
      </c>
      <c r="B348" t="s">
        <v>474</v>
      </c>
      <c r="C348">
        <v>33100</v>
      </c>
      <c r="E348">
        <v>36759</v>
      </c>
      <c r="F348" t="s">
        <v>226</v>
      </c>
      <c r="G348" t="s">
        <v>226</v>
      </c>
      <c r="H348">
        <v>23200</v>
      </c>
      <c r="I348">
        <v>54500</v>
      </c>
      <c r="J348">
        <v>1</v>
      </c>
      <c r="K348">
        <v>26</v>
      </c>
      <c r="M348">
        <v>1</v>
      </c>
      <c r="N348">
        <v>39500</v>
      </c>
    </row>
    <row r="349" spans="1:14">
      <c r="A349" t="s">
        <v>74</v>
      </c>
      <c r="B349" t="s">
        <v>570</v>
      </c>
      <c r="C349" t="s">
        <v>571</v>
      </c>
      <c r="D349">
        <v>53</v>
      </c>
      <c r="E349" s="11">
        <v>26584</v>
      </c>
      <c r="F349" t="s">
        <v>215</v>
      </c>
      <c r="G349" t="s">
        <v>164</v>
      </c>
      <c r="H349">
        <v>12200</v>
      </c>
      <c r="I349" s="12">
        <v>79500</v>
      </c>
      <c r="J349" t="s">
        <v>255</v>
      </c>
      <c r="K349">
        <v>45</v>
      </c>
      <c r="M349" t="s">
        <v>255</v>
      </c>
      <c r="N349">
        <v>62000</v>
      </c>
    </row>
    <row r="350" spans="1:14">
      <c r="A350" t="s">
        <v>937</v>
      </c>
      <c r="B350" t="s">
        <v>780</v>
      </c>
      <c r="C350" t="s">
        <v>531</v>
      </c>
      <c r="D350">
        <v>19</v>
      </c>
      <c r="E350" s="11">
        <v>39209</v>
      </c>
      <c r="F350" t="s">
        <v>317</v>
      </c>
      <c r="G350" t="s">
        <v>82</v>
      </c>
      <c r="H350" s="12">
        <v>7200</v>
      </c>
      <c r="I350">
        <v>16000</v>
      </c>
      <c r="J350" t="s">
        <v>50</v>
      </c>
      <c r="K350">
        <v>5</v>
      </c>
      <c r="M350" t="s">
        <v>50</v>
      </c>
      <c r="N350">
        <v>52000</v>
      </c>
    </row>
    <row r="351" spans="1:14">
      <c r="A351" t="s">
        <v>78</v>
      </c>
      <c r="B351" t="s">
        <v>669</v>
      </c>
      <c r="C351">
        <v>11700</v>
      </c>
      <c r="D351">
        <v>27</v>
      </c>
      <c r="E351">
        <v>36151</v>
      </c>
      <c r="F351" t="s">
        <v>280</v>
      </c>
      <c r="G351" t="s">
        <v>164</v>
      </c>
      <c r="H351" s="12">
        <v>25900</v>
      </c>
      <c r="I351">
        <v>0</v>
      </c>
      <c r="J351" t="s">
        <v>51</v>
      </c>
      <c r="K351">
        <v>10</v>
      </c>
      <c r="M351" t="s">
        <v>51</v>
      </c>
      <c r="N351">
        <v>5000</v>
      </c>
    </row>
    <row r="352" spans="1:14">
      <c r="A352" t="s">
        <v>74</v>
      </c>
      <c r="B352" t="s">
        <v>847</v>
      </c>
      <c r="C352" t="s">
        <v>555</v>
      </c>
      <c r="D352">
        <v>44</v>
      </c>
      <c r="E352">
        <v>29892</v>
      </c>
      <c r="F352" t="s">
        <v>239</v>
      </c>
      <c r="G352" t="s">
        <v>303</v>
      </c>
      <c r="H352">
        <v>20600</v>
      </c>
      <c r="I352">
        <v>8000</v>
      </c>
      <c r="J352" t="s">
        <v>50</v>
      </c>
      <c r="K352">
        <v>39</v>
      </c>
      <c r="M352" t="s">
        <v>50</v>
      </c>
      <c r="N352">
        <v>36000</v>
      </c>
    </row>
    <row r="353" spans="1:14">
      <c r="A353" t="s">
        <v>74</v>
      </c>
      <c r="B353" t="s">
        <v>403</v>
      </c>
      <c r="C353" t="s">
        <v>404</v>
      </c>
      <c r="D353">
        <v>48</v>
      </c>
      <c r="E353">
        <v>28689</v>
      </c>
      <c r="F353" t="s">
        <v>231</v>
      </c>
      <c r="G353" t="s">
        <v>232</v>
      </c>
      <c r="H353" s="12">
        <v>18700</v>
      </c>
      <c r="I353">
        <v>11000</v>
      </c>
      <c r="J353" t="s">
        <v>50</v>
      </c>
      <c r="K353">
        <v>28</v>
      </c>
      <c r="M353" t="s">
        <v>50</v>
      </c>
      <c r="N353">
        <v>18000</v>
      </c>
    </row>
    <row r="354" spans="1:14">
      <c r="A354" t="s">
        <v>74</v>
      </c>
      <c r="B354" t="s">
        <v>741</v>
      </c>
      <c r="C354">
        <v>8200</v>
      </c>
      <c r="D354">
        <v>20</v>
      </c>
      <c r="E354">
        <v>38894</v>
      </c>
      <c r="F354" t="s">
        <v>246</v>
      </c>
      <c r="G354" t="s">
        <v>743</v>
      </c>
      <c r="H354">
        <v>24900</v>
      </c>
      <c r="I354">
        <v>0</v>
      </c>
      <c r="J354" t="s">
        <v>51</v>
      </c>
      <c r="K354">
        <v>14</v>
      </c>
      <c r="M354" t="s">
        <v>51</v>
      </c>
      <c r="N354">
        <v>49500</v>
      </c>
    </row>
    <row r="355" spans="1:14">
      <c r="A355" t="s">
        <v>78</v>
      </c>
      <c r="B355" t="s">
        <v>718</v>
      </c>
      <c r="C355">
        <v>23000</v>
      </c>
      <c r="D355">
        <v>53</v>
      </c>
      <c r="E355">
        <v>26744</v>
      </c>
      <c r="F355" t="s">
        <v>101</v>
      </c>
      <c r="G355" t="s">
        <v>130</v>
      </c>
      <c r="H355" s="12">
        <v>26400</v>
      </c>
      <c r="I355">
        <v>9500</v>
      </c>
      <c r="J355" t="s">
        <v>349</v>
      </c>
      <c r="K355">
        <v>21</v>
      </c>
      <c r="M355" t="s">
        <v>349</v>
      </c>
      <c r="N355">
        <v>16000</v>
      </c>
    </row>
    <row r="356" spans="1:14">
      <c r="A356" t="s">
        <v>78</v>
      </c>
      <c r="B356" t="s">
        <v>568</v>
      </c>
      <c r="C356" t="s">
        <v>499</v>
      </c>
      <c r="D356">
        <v>31</v>
      </c>
      <c r="E356">
        <v>34824</v>
      </c>
      <c r="F356" t="s">
        <v>256</v>
      </c>
      <c r="G356" t="s">
        <v>232</v>
      </c>
      <c r="H356" s="12">
        <v>29500</v>
      </c>
      <c r="I356">
        <v>5000</v>
      </c>
      <c r="J356" t="s">
        <v>50</v>
      </c>
      <c r="K356">
        <v>22</v>
      </c>
      <c r="M356" t="s">
        <v>50</v>
      </c>
      <c r="N356">
        <v>18000</v>
      </c>
    </row>
    <row r="357" spans="1:14">
      <c r="A357" t="s">
        <v>74</v>
      </c>
      <c r="B357" t="s">
        <v>1024</v>
      </c>
      <c r="C357" t="s">
        <v>287</v>
      </c>
      <c r="D357">
        <v>32</v>
      </c>
      <c r="E357">
        <v>34508</v>
      </c>
      <c r="F357" t="s">
        <v>226</v>
      </c>
      <c r="G357" t="s">
        <v>226</v>
      </c>
      <c r="H357">
        <v>9800</v>
      </c>
      <c r="I357">
        <v>0</v>
      </c>
      <c r="J357" t="s">
        <v>50</v>
      </c>
      <c r="K357">
        <v>23</v>
      </c>
      <c r="M357" t="s">
        <v>50</v>
      </c>
      <c r="N357">
        <v>68000</v>
      </c>
    </row>
    <row r="358" spans="1:14">
      <c r="A358" t="s">
        <v>78</v>
      </c>
      <c r="B358" t="s">
        <v>809</v>
      </c>
      <c r="C358" t="s">
        <v>746</v>
      </c>
      <c r="D358">
        <v>51</v>
      </c>
      <c r="E358">
        <v>27590</v>
      </c>
      <c r="F358" t="s">
        <v>317</v>
      </c>
      <c r="G358" t="s">
        <v>82</v>
      </c>
      <c r="H358" t="s">
        <v>810</v>
      </c>
      <c r="I358">
        <v>0</v>
      </c>
      <c r="J358" t="s">
        <v>50</v>
      </c>
      <c r="K358">
        <v>17</v>
      </c>
      <c r="M358" t="s">
        <v>50</v>
      </c>
      <c r="N358">
        <v>55500</v>
      </c>
    </row>
    <row r="359" spans="1:14">
      <c r="B359" t="s">
        <v>841</v>
      </c>
      <c r="C359" t="s">
        <v>448</v>
      </c>
      <c r="D359">
        <v>54</v>
      </c>
      <c r="E359" s="11">
        <v>26403</v>
      </c>
      <c r="F359" t="s">
        <v>317</v>
      </c>
      <c r="G359" t="s">
        <v>82</v>
      </c>
      <c r="H359" t="s">
        <v>842</v>
      </c>
      <c r="I359" t="s">
        <v>326</v>
      </c>
      <c r="J359" t="s">
        <v>255</v>
      </c>
      <c r="K359">
        <v>32</v>
      </c>
      <c r="M359" t="s">
        <v>255</v>
      </c>
      <c r="N359">
        <v>31500</v>
      </c>
    </row>
    <row r="360" spans="1:14">
      <c r="A360" t="s">
        <v>78</v>
      </c>
      <c r="B360" t="s">
        <v>104</v>
      </c>
      <c r="C360" t="s">
        <v>105</v>
      </c>
      <c r="D360">
        <v>66</v>
      </c>
      <c r="E360" s="11">
        <v>22101</v>
      </c>
      <c r="F360" t="s">
        <v>156</v>
      </c>
      <c r="G360" t="s">
        <v>369</v>
      </c>
      <c r="H360">
        <v>16800</v>
      </c>
      <c r="I360">
        <v>79500</v>
      </c>
      <c r="J360" t="s">
        <v>50</v>
      </c>
      <c r="K360">
        <v>36</v>
      </c>
      <c r="M360" t="s">
        <v>50</v>
      </c>
      <c r="N360">
        <v>1500</v>
      </c>
    </row>
    <row r="361" spans="1:14">
      <c r="A361" t="s">
        <v>78</v>
      </c>
      <c r="B361" t="s">
        <v>267</v>
      </c>
      <c r="C361">
        <v>20300</v>
      </c>
      <c r="D361">
        <v>46</v>
      </c>
      <c r="E361" s="11">
        <v>29427</v>
      </c>
      <c r="F361" t="s">
        <v>252</v>
      </c>
      <c r="G361" t="s">
        <v>358</v>
      </c>
      <c r="I361">
        <v>37500</v>
      </c>
      <c r="J361" t="s">
        <v>50</v>
      </c>
      <c r="M361" t="s">
        <v>50</v>
      </c>
      <c r="N361">
        <v>21500</v>
      </c>
    </row>
    <row r="362" spans="1:14">
      <c r="A362" t="s">
        <v>74</v>
      </c>
      <c r="B362" t="s">
        <v>588</v>
      </c>
      <c r="C362" t="s">
        <v>589</v>
      </c>
      <c r="D362">
        <v>22</v>
      </c>
      <c r="E362" s="11">
        <v>38204</v>
      </c>
      <c r="F362" t="s">
        <v>274</v>
      </c>
      <c r="G362" t="s">
        <v>363</v>
      </c>
      <c r="H362">
        <v>10500</v>
      </c>
      <c r="I362" s="13">
        <v>50500</v>
      </c>
      <c r="J362" t="s">
        <v>50</v>
      </c>
      <c r="K362">
        <v>16</v>
      </c>
      <c r="M362" t="s">
        <v>50</v>
      </c>
      <c r="N362">
        <v>41500</v>
      </c>
    </row>
    <row r="363" spans="1:14">
      <c r="A363" t="s">
        <v>74</v>
      </c>
      <c r="B363" t="s">
        <v>463</v>
      </c>
      <c r="C363">
        <v>21400</v>
      </c>
      <c r="D363">
        <v>67</v>
      </c>
      <c r="E363" s="11">
        <v>21689</v>
      </c>
      <c r="F363" t="s">
        <v>156</v>
      </c>
      <c r="G363" t="s">
        <v>116</v>
      </c>
      <c r="H363">
        <v>10700</v>
      </c>
      <c r="I363" s="12">
        <v>9000</v>
      </c>
      <c r="J363" t="s">
        <v>50</v>
      </c>
      <c r="K363">
        <v>37</v>
      </c>
      <c r="M363" t="s">
        <v>50</v>
      </c>
      <c r="N363">
        <v>53000</v>
      </c>
    </row>
    <row r="364" spans="1:14">
      <c r="A364" t="s">
        <v>74</v>
      </c>
      <c r="B364" t="s">
        <v>167</v>
      </c>
      <c r="C364" t="s">
        <v>168</v>
      </c>
      <c r="D364">
        <v>53</v>
      </c>
      <c r="E364" s="11">
        <v>26790</v>
      </c>
      <c r="F364" t="s">
        <v>115</v>
      </c>
      <c r="G364" t="s">
        <v>116</v>
      </c>
      <c r="H364" t="s">
        <v>160</v>
      </c>
      <c r="I364" s="12">
        <v>21500</v>
      </c>
      <c r="J364" t="s">
        <v>51</v>
      </c>
      <c r="K364">
        <v>44</v>
      </c>
      <c r="M364" t="s">
        <v>51</v>
      </c>
      <c r="N364">
        <v>3500</v>
      </c>
    </row>
    <row r="365" spans="1:14">
      <c r="A365" t="s">
        <v>78</v>
      </c>
      <c r="B365" t="s">
        <v>308</v>
      </c>
      <c r="C365">
        <v>3200</v>
      </c>
      <c r="D365">
        <v>31</v>
      </c>
      <c r="E365">
        <v>34746</v>
      </c>
      <c r="F365" t="s">
        <v>115</v>
      </c>
      <c r="G365" t="s">
        <v>369</v>
      </c>
      <c r="H365" s="12">
        <v>18200</v>
      </c>
      <c r="I365">
        <v>78500</v>
      </c>
      <c r="J365" t="s">
        <v>50</v>
      </c>
      <c r="K365">
        <v>9</v>
      </c>
      <c r="M365" t="s">
        <v>50</v>
      </c>
      <c r="N365">
        <v>73000</v>
      </c>
    </row>
    <row r="366" spans="1:14">
      <c r="A366" t="s">
        <v>74</v>
      </c>
      <c r="B366" t="s">
        <v>795</v>
      </c>
      <c r="C366" t="s">
        <v>1025</v>
      </c>
      <c r="D366">
        <v>41</v>
      </c>
      <c r="E366">
        <v>31156</v>
      </c>
      <c r="F366" t="s">
        <v>215</v>
      </c>
      <c r="G366" t="s">
        <v>220</v>
      </c>
      <c r="H366" s="12">
        <v>26500</v>
      </c>
      <c r="I366" t="s">
        <v>1026</v>
      </c>
      <c r="J366" t="s">
        <v>50</v>
      </c>
      <c r="K366">
        <v>5</v>
      </c>
      <c r="M366" t="s">
        <v>50</v>
      </c>
      <c r="N366">
        <v>75000</v>
      </c>
    </row>
    <row r="367" spans="1:14">
      <c r="A367" t="s">
        <v>78</v>
      </c>
      <c r="B367" t="s">
        <v>654</v>
      </c>
      <c r="C367">
        <v>20600</v>
      </c>
      <c r="D367">
        <v>55</v>
      </c>
      <c r="E367">
        <v>26075</v>
      </c>
      <c r="F367" t="s">
        <v>274</v>
      </c>
      <c r="G367" t="s">
        <v>363</v>
      </c>
      <c r="H367" s="12">
        <v>21100</v>
      </c>
      <c r="I367" s="13">
        <v>67500</v>
      </c>
      <c r="J367" t="s">
        <v>50</v>
      </c>
      <c r="K367">
        <v>15</v>
      </c>
      <c r="M367" t="s">
        <v>50</v>
      </c>
      <c r="N367">
        <v>20000</v>
      </c>
    </row>
    <row r="368" spans="1:14">
      <c r="A368" t="s">
        <v>74</v>
      </c>
      <c r="B368" t="s">
        <v>677</v>
      </c>
      <c r="C368" t="s">
        <v>678</v>
      </c>
      <c r="D368">
        <v>60</v>
      </c>
      <c r="E368">
        <v>24272</v>
      </c>
      <c r="F368" t="s">
        <v>317</v>
      </c>
      <c r="G368" t="s">
        <v>944</v>
      </c>
      <c r="H368">
        <v>17300</v>
      </c>
      <c r="I368" s="12">
        <v>15000</v>
      </c>
      <c r="J368" t="s">
        <v>50</v>
      </c>
      <c r="K368">
        <v>17</v>
      </c>
      <c r="M368" t="s">
        <v>50</v>
      </c>
      <c r="N368">
        <v>69000</v>
      </c>
    </row>
    <row r="369" spans="1:14">
      <c r="A369" t="s">
        <v>74</v>
      </c>
      <c r="B369" t="s">
        <v>210</v>
      </c>
      <c r="C369" t="s">
        <v>211</v>
      </c>
      <c r="D369">
        <v>49</v>
      </c>
      <c r="E369" s="11">
        <v>28136</v>
      </c>
      <c r="F369" t="s">
        <v>243</v>
      </c>
      <c r="G369" t="s">
        <v>946</v>
      </c>
      <c r="H369">
        <v>20300</v>
      </c>
      <c r="I369" s="13">
        <v>12000</v>
      </c>
      <c r="J369" t="s">
        <v>51</v>
      </c>
      <c r="K369">
        <v>27</v>
      </c>
      <c r="M369" t="s">
        <v>51</v>
      </c>
      <c r="N369">
        <v>67500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2026-09-02T18:10:35Z</dcterms:created>
  <dcterms:modified xsi:type="dcterms:W3CDTF">2026-09-08T23:13:15Z</dcterms:modified>
  <cp:category/>
  <cp:contentStatus/>
</cp:coreProperties>
</file>