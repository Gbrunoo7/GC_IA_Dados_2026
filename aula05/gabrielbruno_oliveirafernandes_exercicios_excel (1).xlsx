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EBF9C98-615C-4FAE-8047-75FEF6B8072B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  <sheet name="Base_Dirty (2)" sheetId="8" state="hidden" r:id="rId5"/>
    <sheet name="Base_Limpa (2)" sheetId="11" state="hidden" r:id="rId6"/>
    <sheet name="Base_Limpa" sheetId="5" r:id="rId7"/>
    <sheet name="tratamento imagem" sheetId="10" state="hidden" r:id="rId8"/>
    <sheet name="gravar concat e substituir" sheetId="9" state="hidden" r:id="rId9"/>
    <sheet name="Registro_Limpeza" sheetId="6" r:id="rId10"/>
    <sheet name="Base_Dirty" sheetId="7" state="hidden" r:id="rId11"/>
    <sheet name="Base_Suja" sheetId="12" r:id="rId12"/>
  </sheets>
  <definedNames>
    <definedName name="_xlnm._FilterDatabase" localSheetId="6" hidden="1">Base_Limpa!$AE$1:$AE$326</definedName>
    <definedName name="_xlnm._FilterDatabase" localSheetId="5" hidden="1">Base_Limpa!$AE$1:$AE$326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92" i="11" l="1" a="1"/>
  <c r="R392" i="11" s="1"/>
  <c r="S392" i="11" s="1"/>
  <c r="P392" i="11"/>
  <c r="R391" i="11" a="1"/>
  <c r="R391" i="11" s="1"/>
  <c r="S391" i="11" s="1"/>
  <c r="P391" i="11"/>
  <c r="R390" i="11" a="1"/>
  <c r="R390" i="11" s="1"/>
  <c r="S390" i="11" s="1"/>
  <c r="P390" i="11"/>
  <c r="R389" i="11" a="1"/>
  <c r="R389" i="11" s="1"/>
  <c r="S389" i="11" s="1"/>
  <c r="P389" i="11"/>
  <c r="R388" i="11" a="1"/>
  <c r="R388" i="11" s="1"/>
  <c r="S388" i="11" s="1"/>
  <c r="P388" i="11"/>
  <c r="R387" i="11" a="1"/>
  <c r="R387" i="11" s="1"/>
  <c r="S387" i="11" s="1"/>
  <c r="P387" i="11"/>
  <c r="R386" i="11" a="1"/>
  <c r="R386" i="11" s="1"/>
  <c r="S386" i="11" s="1"/>
  <c r="P386" i="11"/>
  <c r="R385" i="11" a="1"/>
  <c r="R385" i="11" s="1"/>
  <c r="S385" i="11" s="1"/>
  <c r="P385" i="11"/>
  <c r="R384" i="11" a="1"/>
  <c r="R384" i="11" s="1"/>
  <c r="S384" i="11" s="1"/>
  <c r="P384" i="11"/>
  <c r="I384" i="11"/>
  <c r="J384" i="11" s="1"/>
  <c r="H384" i="11"/>
  <c r="G384" i="11"/>
  <c r="F384" i="11"/>
  <c r="R383" i="11" a="1"/>
  <c r="R383" i="11" s="1"/>
  <c r="S383" i="11" s="1"/>
  <c r="P383" i="11"/>
  <c r="I383" i="11"/>
  <c r="J383" i="11" s="1"/>
  <c r="H383" i="11"/>
  <c r="G383" i="11"/>
  <c r="F383" i="11"/>
  <c r="R382" i="11" a="1"/>
  <c r="R382" i="11" s="1"/>
  <c r="S382" i="11" s="1"/>
  <c r="P382" i="11"/>
  <c r="I382" i="11"/>
  <c r="J382" i="11" s="1"/>
  <c r="H382" i="11"/>
  <c r="G382" i="11"/>
  <c r="F382" i="11"/>
  <c r="R381" i="11" a="1"/>
  <c r="R381" i="11" s="1"/>
  <c r="S381" i="11" s="1"/>
  <c r="P381" i="11"/>
  <c r="I381" i="11"/>
  <c r="J381" i="11" s="1"/>
  <c r="H381" i="11"/>
  <c r="G381" i="11"/>
  <c r="F381" i="11"/>
  <c r="R380" i="11" a="1"/>
  <c r="R380" i="11" s="1"/>
  <c r="S380" i="11" s="1"/>
  <c r="P380" i="11"/>
  <c r="I380" i="11"/>
  <c r="J380" i="11" s="1"/>
  <c r="H380" i="11"/>
  <c r="G380" i="11"/>
  <c r="F380" i="11"/>
  <c r="R379" i="11" a="1"/>
  <c r="R379" i="11" s="1"/>
  <c r="S379" i="11" s="1"/>
  <c r="P379" i="11"/>
  <c r="I379" i="11"/>
  <c r="J379" i="11" s="1"/>
  <c r="H379" i="11"/>
  <c r="G379" i="11"/>
  <c r="F379" i="11"/>
  <c r="R378" i="11" a="1"/>
  <c r="R378" i="11" s="1"/>
  <c r="S378" i="11" s="1"/>
  <c r="P378" i="11"/>
  <c r="I378" i="11"/>
  <c r="J378" i="11" s="1"/>
  <c r="H378" i="11"/>
  <c r="G378" i="11"/>
  <c r="F378" i="11"/>
  <c r="R377" i="11" a="1"/>
  <c r="R377" i="11" s="1"/>
  <c r="S377" i="11" s="1"/>
  <c r="P377" i="11"/>
  <c r="I377" i="11"/>
  <c r="H377" i="11"/>
  <c r="R376" i="11" a="1"/>
  <c r="R376" i="11" s="1"/>
  <c r="S376" i="11" s="1"/>
  <c r="P376" i="11"/>
  <c r="I376" i="11"/>
  <c r="J376" i="11" s="1"/>
  <c r="H376" i="11"/>
  <c r="G376" i="11"/>
  <c r="F376" i="11"/>
  <c r="R375" i="11" a="1"/>
  <c r="R375" i="11" s="1"/>
  <c r="S375" i="11" s="1"/>
  <c r="N375" i="11"/>
  <c r="P375" i="11" s="1"/>
  <c r="I375" i="11"/>
  <c r="J375" i="11" s="1"/>
  <c r="H375" i="11"/>
  <c r="G375" i="11"/>
  <c r="F375" i="11"/>
  <c r="R374" i="11" a="1"/>
  <c r="R374" i="11" s="1"/>
  <c r="S374" i="11" s="1"/>
  <c r="N374" i="11"/>
  <c r="P374" i="11" s="1"/>
  <c r="I374" i="11"/>
  <c r="J374" i="11" s="1"/>
  <c r="H374" i="11"/>
  <c r="G374" i="11"/>
  <c r="F374" i="11"/>
  <c r="R373" i="11" a="1"/>
  <c r="R373" i="11" s="1"/>
  <c r="S373" i="11" s="1"/>
  <c r="N373" i="11"/>
  <c r="P373" i="11" s="1"/>
  <c r="I373" i="11"/>
  <c r="H373" i="11"/>
  <c r="R372" i="11" a="1"/>
  <c r="R372" i="11" s="1"/>
  <c r="S372" i="11" s="1"/>
  <c r="N372" i="11"/>
  <c r="P372" i="11" s="1"/>
  <c r="I372" i="11"/>
  <c r="J372" i="11" s="1"/>
  <c r="H372" i="11"/>
  <c r="G372" i="11"/>
  <c r="F372" i="11"/>
  <c r="R371" i="11" a="1"/>
  <c r="R371" i="11" s="1"/>
  <c r="S371" i="11" s="1"/>
  <c r="N371" i="11"/>
  <c r="P371" i="11" s="1"/>
  <c r="I371" i="11"/>
  <c r="J371" i="11" s="1"/>
  <c r="H371" i="11"/>
  <c r="G371" i="11"/>
  <c r="F371" i="11"/>
  <c r="R370" i="11" a="1"/>
  <c r="R370" i="11" s="1"/>
  <c r="S370" i="11" s="1"/>
  <c r="N370" i="11"/>
  <c r="P370" i="11" s="1"/>
  <c r="I370" i="11"/>
  <c r="J370" i="11" s="1"/>
  <c r="H370" i="11"/>
  <c r="G370" i="11"/>
  <c r="F370" i="11"/>
  <c r="R369" i="11" a="1"/>
  <c r="R369" i="11" s="1"/>
  <c r="S369" i="11" s="1"/>
  <c r="N369" i="11"/>
  <c r="P369" i="11" s="1"/>
  <c r="I369" i="11"/>
  <c r="J369" i="11" s="1"/>
  <c r="H369" i="11"/>
  <c r="G369" i="11"/>
  <c r="F369" i="11"/>
  <c r="R368" i="11" a="1"/>
  <c r="R368" i="11" s="1"/>
  <c r="S368" i="11" s="1"/>
  <c r="N368" i="11"/>
  <c r="P368" i="11" s="1"/>
  <c r="I368" i="11"/>
  <c r="H368" i="11"/>
  <c r="R367" i="11" a="1"/>
  <c r="R367" i="11" s="1"/>
  <c r="S367" i="11" s="1"/>
  <c r="N367" i="11"/>
  <c r="P367" i="11" s="1"/>
  <c r="I367" i="11"/>
  <c r="J367" i="11" s="1"/>
  <c r="H367" i="11"/>
  <c r="G367" i="11"/>
  <c r="F367" i="11"/>
  <c r="BB366" i="11"/>
  <c r="T366" i="11"/>
  <c r="Q366" i="11"/>
  <c r="R366" i="11" s="1" a="1"/>
  <c r="R366" i="11" s="1"/>
  <c r="S366" i="11" s="1"/>
  <c r="N366" i="11"/>
  <c r="P366" i="11" s="1"/>
  <c r="M366" i="11"/>
  <c r="D366" i="11"/>
  <c r="C366" i="11"/>
  <c r="BB365" i="11"/>
  <c r="T365" i="11"/>
  <c r="Q365" i="11"/>
  <c r="R365" i="11" s="1" a="1"/>
  <c r="R365" i="11" s="1"/>
  <c r="S365" i="11" s="1"/>
  <c r="N365" i="11"/>
  <c r="P365" i="11" s="1"/>
  <c r="M365" i="11"/>
  <c r="D365" i="11"/>
  <c r="C365" i="11"/>
  <c r="R364" i="11" a="1"/>
  <c r="R364" i="11" s="1"/>
  <c r="S364" i="11" s="1"/>
  <c r="P364" i="11"/>
  <c r="R363" i="11" a="1"/>
  <c r="R363" i="11" s="1"/>
  <c r="S363" i="11" s="1"/>
  <c r="P363" i="11"/>
  <c r="R362" i="11" a="1"/>
  <c r="R362" i="11" s="1"/>
  <c r="S362" i="11" s="1"/>
  <c r="P362" i="11"/>
  <c r="I362" i="11"/>
  <c r="J362" i="11" s="1"/>
  <c r="H362" i="11"/>
  <c r="G362" i="11"/>
  <c r="F362" i="11"/>
  <c r="R361" i="11" a="1"/>
  <c r="R361" i="11" s="1"/>
  <c r="S361" i="11" s="1"/>
  <c r="P361" i="11"/>
  <c r="I361" i="11"/>
  <c r="J361" i="11" s="1"/>
  <c r="H361" i="11"/>
  <c r="G361" i="11"/>
  <c r="F361" i="11"/>
  <c r="R360" i="11" a="1"/>
  <c r="R360" i="11" s="1"/>
  <c r="S360" i="11" s="1"/>
  <c r="P360" i="11"/>
  <c r="I360" i="11"/>
  <c r="J360" i="11" s="1"/>
  <c r="H360" i="11"/>
  <c r="G360" i="11"/>
  <c r="F360" i="11"/>
  <c r="R359" i="11" a="1"/>
  <c r="R359" i="11" s="1"/>
  <c r="S359" i="11" s="1"/>
  <c r="P359" i="11"/>
  <c r="I359" i="11"/>
  <c r="J359" i="11" s="1"/>
  <c r="H359" i="11"/>
  <c r="G359" i="11"/>
  <c r="F359" i="11"/>
  <c r="R358" i="11" a="1"/>
  <c r="R358" i="11" s="1"/>
  <c r="S358" i="11" s="1"/>
  <c r="P358" i="11"/>
  <c r="I358" i="11"/>
  <c r="J358" i="11" s="1"/>
  <c r="H358" i="11"/>
  <c r="G358" i="11"/>
  <c r="F358" i="11"/>
  <c r="R357" i="11" a="1"/>
  <c r="R357" i="11" s="1"/>
  <c r="S357" i="11" s="1"/>
  <c r="P357" i="11"/>
  <c r="I357" i="11"/>
  <c r="J357" i="11" s="1"/>
  <c r="H357" i="11"/>
  <c r="G357" i="11"/>
  <c r="F357" i="11"/>
  <c r="R356" i="11" a="1"/>
  <c r="R356" i="11" s="1"/>
  <c r="S356" i="11" s="1"/>
  <c r="P356" i="11"/>
  <c r="I356" i="11"/>
  <c r="J356" i="11" s="1"/>
  <c r="H356" i="11"/>
  <c r="G356" i="11"/>
  <c r="F356" i="11"/>
  <c r="R355" i="11" a="1"/>
  <c r="R355" i="11" s="1"/>
  <c r="S355" i="11" s="1"/>
  <c r="P355" i="11"/>
  <c r="I355" i="11"/>
  <c r="J355" i="11" s="1"/>
  <c r="H355" i="11"/>
  <c r="G355" i="11"/>
  <c r="F355" i="11"/>
  <c r="R354" i="11" a="1"/>
  <c r="R354" i="11" s="1"/>
  <c r="S354" i="11" s="1"/>
  <c r="P354" i="11"/>
  <c r="I354" i="11"/>
  <c r="H354" i="11"/>
  <c r="G354" i="11"/>
  <c r="R353" i="11" a="1"/>
  <c r="R353" i="11" s="1"/>
  <c r="S353" i="11" s="1"/>
  <c r="P353" i="11"/>
  <c r="I353" i="11"/>
  <c r="J353" i="11" s="1"/>
  <c r="H353" i="11"/>
  <c r="G353" i="11"/>
  <c r="F353" i="11"/>
  <c r="R352" i="11" a="1"/>
  <c r="R352" i="11" s="1"/>
  <c r="S352" i="11" s="1"/>
  <c r="P352" i="11"/>
  <c r="I352" i="11"/>
  <c r="J352" i="11" s="1"/>
  <c r="H352" i="11"/>
  <c r="G352" i="11"/>
  <c r="F352" i="11"/>
  <c r="R351" i="11" a="1"/>
  <c r="R351" i="11" s="1"/>
  <c r="S351" i="11" s="1"/>
  <c r="P351" i="11"/>
  <c r="I351" i="11"/>
  <c r="J351" i="11" s="1"/>
  <c r="H351" i="11"/>
  <c r="G351" i="11"/>
  <c r="F351" i="11"/>
  <c r="R350" i="11" a="1"/>
  <c r="R350" i="11" s="1"/>
  <c r="S350" i="11" s="1"/>
  <c r="P350" i="11"/>
  <c r="I350" i="11"/>
  <c r="J350" i="11" s="1"/>
  <c r="H350" i="11"/>
  <c r="G350" i="11"/>
  <c r="F350" i="11"/>
  <c r="R349" i="11" a="1"/>
  <c r="R349" i="11" s="1"/>
  <c r="S349" i="11" s="1"/>
  <c r="P349" i="11"/>
  <c r="I349" i="11"/>
  <c r="J349" i="11" s="1"/>
  <c r="H349" i="11"/>
  <c r="G349" i="11"/>
  <c r="F349" i="11"/>
  <c r="R348" i="11" a="1"/>
  <c r="R348" i="11" s="1"/>
  <c r="S348" i="11" s="1"/>
  <c r="P348" i="11"/>
  <c r="I348" i="11"/>
  <c r="J348" i="11" s="1"/>
  <c r="H348" i="11"/>
  <c r="G348" i="11"/>
  <c r="F348" i="11"/>
  <c r="R347" i="11" a="1"/>
  <c r="R347" i="11" s="1"/>
  <c r="S347" i="11" s="1"/>
  <c r="P347" i="11"/>
  <c r="I347" i="11"/>
  <c r="J347" i="11" s="1"/>
  <c r="H347" i="11"/>
  <c r="G347" i="11"/>
  <c r="F347" i="11"/>
  <c r="R346" i="11" a="1"/>
  <c r="R346" i="11" s="1"/>
  <c r="S346" i="11" s="1"/>
  <c r="P346" i="11"/>
  <c r="I346" i="11"/>
  <c r="J346" i="11" s="1"/>
  <c r="H346" i="11"/>
  <c r="G346" i="11"/>
  <c r="F346" i="11"/>
  <c r="R345" i="11" a="1"/>
  <c r="R345" i="11" s="1"/>
  <c r="S345" i="11" s="1"/>
  <c r="P345" i="11"/>
  <c r="I345" i="11"/>
  <c r="J345" i="11" s="1"/>
  <c r="H345" i="11"/>
  <c r="G345" i="11"/>
  <c r="F345" i="11"/>
  <c r="R344" i="11" a="1"/>
  <c r="R344" i="11" s="1"/>
  <c r="S344" i="11" s="1"/>
  <c r="P344" i="11"/>
  <c r="I344" i="11"/>
  <c r="J344" i="11" s="1"/>
  <c r="H344" i="11"/>
  <c r="G344" i="11"/>
  <c r="F344" i="11"/>
  <c r="R343" i="11" a="1"/>
  <c r="R343" i="11" s="1"/>
  <c r="S343" i="11" s="1"/>
  <c r="P343" i="11"/>
  <c r="I343" i="11"/>
  <c r="J343" i="11" s="1"/>
  <c r="H343" i="11"/>
  <c r="G343" i="11"/>
  <c r="F343" i="11"/>
  <c r="R342" i="11" a="1"/>
  <c r="R342" i="11" s="1"/>
  <c r="S342" i="11" s="1"/>
  <c r="P342" i="11"/>
  <c r="I342" i="11"/>
  <c r="J342" i="11" s="1"/>
  <c r="H342" i="11"/>
  <c r="G342" i="11"/>
  <c r="F342" i="11"/>
  <c r="R341" i="11" a="1"/>
  <c r="R341" i="11" s="1"/>
  <c r="S341" i="11" s="1"/>
  <c r="P341" i="11"/>
  <c r="I341" i="11"/>
  <c r="J341" i="11" s="1"/>
  <c r="H341" i="11"/>
  <c r="G341" i="11"/>
  <c r="F341" i="11"/>
  <c r="R340" i="11" a="1"/>
  <c r="R340" i="11" s="1"/>
  <c r="S340" i="11" s="1"/>
  <c r="P340" i="11"/>
  <c r="I340" i="11"/>
  <c r="J340" i="11" s="1"/>
  <c r="H340" i="11"/>
  <c r="G340" i="11"/>
  <c r="F340" i="11"/>
  <c r="R339" i="11" a="1"/>
  <c r="R339" i="11" s="1"/>
  <c r="S339" i="11" s="1"/>
  <c r="P339" i="11"/>
  <c r="I339" i="11"/>
  <c r="J339" i="11" s="1"/>
  <c r="H339" i="11"/>
  <c r="G339" i="11"/>
  <c r="F339" i="11"/>
  <c r="R338" i="11" a="1"/>
  <c r="R338" i="11" s="1"/>
  <c r="S338" i="11" s="1"/>
  <c r="P338" i="11"/>
  <c r="I338" i="11"/>
  <c r="J338" i="11" s="1"/>
  <c r="H338" i="11"/>
  <c r="G338" i="11"/>
  <c r="F338" i="11"/>
  <c r="R337" i="11" a="1"/>
  <c r="R337" i="11" s="1"/>
  <c r="S337" i="11" s="1"/>
  <c r="P337" i="11"/>
  <c r="I337" i="11"/>
  <c r="J337" i="11" s="1"/>
  <c r="H337" i="11"/>
  <c r="G337" i="11"/>
  <c r="F337" i="11"/>
  <c r="R336" i="11" a="1"/>
  <c r="R336" i="11" s="1"/>
  <c r="S336" i="11" s="1"/>
  <c r="P336" i="11"/>
  <c r="I336" i="11"/>
  <c r="J336" i="11" s="1"/>
  <c r="H336" i="11"/>
  <c r="G336" i="11"/>
  <c r="F336" i="11"/>
  <c r="R335" i="11" a="1"/>
  <c r="R335" i="11" s="1"/>
  <c r="S335" i="11" s="1"/>
  <c r="P335" i="11"/>
  <c r="I335" i="11"/>
  <c r="J335" i="11" s="1"/>
  <c r="H335" i="11"/>
  <c r="G335" i="11"/>
  <c r="F335" i="11"/>
  <c r="R334" i="11" a="1"/>
  <c r="R334" i="11" s="1"/>
  <c r="S334" i="11" s="1"/>
  <c r="P334" i="11"/>
  <c r="I334" i="11"/>
  <c r="J334" i="11" s="1"/>
  <c r="H334" i="11"/>
  <c r="G334" i="11"/>
  <c r="F334" i="11"/>
  <c r="R333" i="11" a="1"/>
  <c r="R333" i="11" s="1"/>
  <c r="S333" i="11" s="1"/>
  <c r="P333" i="11"/>
  <c r="I333" i="11"/>
  <c r="J333" i="11" s="1"/>
  <c r="H333" i="11"/>
  <c r="G333" i="11"/>
  <c r="F333" i="11"/>
  <c r="R332" i="11" a="1"/>
  <c r="R332" i="11" s="1"/>
  <c r="S332" i="11" s="1"/>
  <c r="P332" i="11"/>
  <c r="I332" i="11"/>
  <c r="J332" i="11" s="1"/>
  <c r="H332" i="11"/>
  <c r="G332" i="11"/>
  <c r="F332" i="11"/>
  <c r="R331" i="11" a="1"/>
  <c r="R331" i="11" s="1"/>
  <c r="S331" i="11" s="1"/>
  <c r="P331" i="11"/>
  <c r="I331" i="11"/>
  <c r="J331" i="11" s="1"/>
  <c r="H331" i="11"/>
  <c r="G331" i="11"/>
  <c r="F331" i="11"/>
  <c r="R330" i="11" a="1"/>
  <c r="R330" i="11" s="1"/>
  <c r="S330" i="11" s="1"/>
  <c r="P330" i="11"/>
  <c r="I330" i="11"/>
  <c r="J330" i="11" s="1"/>
  <c r="H330" i="11"/>
  <c r="G330" i="11"/>
  <c r="F330" i="11"/>
  <c r="R329" i="11" a="1"/>
  <c r="R329" i="11" s="1"/>
  <c r="S329" i="11" s="1"/>
  <c r="P329" i="11"/>
  <c r="I329" i="11"/>
  <c r="J329" i="11" s="1"/>
  <c r="H329" i="11"/>
  <c r="G329" i="11"/>
  <c r="F329" i="11"/>
  <c r="R328" i="11" a="1"/>
  <c r="R328" i="11" s="1"/>
  <c r="S328" i="11" s="1"/>
  <c r="P328" i="11"/>
  <c r="I328" i="11"/>
  <c r="J328" i="11" s="1"/>
  <c r="H328" i="11"/>
  <c r="G328" i="11"/>
  <c r="F328" i="11"/>
  <c r="R327" i="11" a="1"/>
  <c r="R327" i="11" s="1"/>
  <c r="S327" i="11" s="1"/>
  <c r="P327" i="11"/>
  <c r="I327" i="11"/>
  <c r="J327" i="11" s="1"/>
  <c r="H327" i="11"/>
  <c r="G327" i="11"/>
  <c r="F327" i="11"/>
  <c r="AF326" i="11"/>
  <c r="Z326" i="11"/>
  <c r="R326" i="11" a="1"/>
  <c r="R326" i="11" s="1"/>
  <c r="S326" i="11" s="1"/>
  <c r="P326" i="11"/>
  <c r="I326" i="11"/>
  <c r="J326" i="11" s="1"/>
  <c r="H326" i="11"/>
  <c r="G326" i="11"/>
  <c r="F326" i="11"/>
  <c r="AF325" i="11"/>
  <c r="Z325" i="11"/>
  <c r="R325" i="11" a="1"/>
  <c r="R325" i="11" s="1"/>
  <c r="S325" i="11" s="1"/>
  <c r="P325" i="11"/>
  <c r="I325" i="11"/>
  <c r="J325" i="11" s="1"/>
  <c r="H325" i="11"/>
  <c r="G325" i="11"/>
  <c r="F325" i="11"/>
  <c r="AF324" i="11"/>
  <c r="Z324" i="11"/>
  <c r="R324" i="11" a="1"/>
  <c r="R324" i="11" s="1"/>
  <c r="S324" i="11" s="1"/>
  <c r="P324" i="11"/>
  <c r="I324" i="11"/>
  <c r="J324" i="11" s="1"/>
  <c r="H324" i="11"/>
  <c r="G324" i="11"/>
  <c r="F324" i="11"/>
  <c r="AF323" i="11"/>
  <c r="Z323" i="11"/>
  <c r="R323" i="11" a="1"/>
  <c r="R323" i="11" s="1"/>
  <c r="S323" i="11" s="1"/>
  <c r="P323" i="11"/>
  <c r="AF322" i="11"/>
  <c r="Z322" i="11"/>
  <c r="R322" i="11" a="1"/>
  <c r="R322" i="11" s="1"/>
  <c r="S322" i="11" s="1"/>
  <c r="P322" i="11"/>
  <c r="I322" i="11"/>
  <c r="J322" i="11" s="1"/>
  <c r="H322" i="11"/>
  <c r="G322" i="11"/>
  <c r="F322" i="11"/>
  <c r="AF321" i="11"/>
  <c r="Z321" i="11"/>
  <c r="R321" i="11" a="1"/>
  <c r="R321" i="11" s="1"/>
  <c r="S321" i="11" s="1"/>
  <c r="P321" i="11"/>
  <c r="I321" i="11"/>
  <c r="J321" i="11" s="1"/>
  <c r="H321" i="11"/>
  <c r="G321" i="11"/>
  <c r="F321" i="11"/>
  <c r="AF320" i="11"/>
  <c r="Z320" i="11"/>
  <c r="R320" i="11" a="1"/>
  <c r="R320" i="11" s="1"/>
  <c r="S320" i="11" s="1"/>
  <c r="P320" i="11"/>
  <c r="I320" i="11"/>
  <c r="J320" i="11" s="1"/>
  <c r="H320" i="11"/>
  <c r="G320" i="11"/>
  <c r="F320" i="11"/>
  <c r="AF319" i="11"/>
  <c r="Z319" i="11"/>
  <c r="R319" i="11" a="1"/>
  <c r="R319" i="11" s="1"/>
  <c r="S319" i="11" s="1"/>
  <c r="P319" i="11"/>
  <c r="I319" i="11"/>
  <c r="J319" i="11" s="1"/>
  <c r="H319" i="11"/>
  <c r="G319" i="11"/>
  <c r="F319" i="11"/>
  <c r="AF318" i="11"/>
  <c r="Z318" i="11"/>
  <c r="R318" i="11" a="1"/>
  <c r="R318" i="11" s="1"/>
  <c r="S318" i="11" s="1"/>
  <c r="P318" i="11"/>
  <c r="I318" i="11"/>
  <c r="J318" i="11" s="1"/>
  <c r="H318" i="11"/>
  <c r="G318" i="11"/>
  <c r="F318" i="11"/>
  <c r="AF317" i="11"/>
  <c r="Z317" i="11"/>
  <c r="R317" i="11" a="1"/>
  <c r="R317" i="11" s="1"/>
  <c r="S317" i="11" s="1"/>
  <c r="P317" i="11"/>
  <c r="I317" i="11"/>
  <c r="J317" i="11" s="1"/>
  <c r="H317" i="11"/>
  <c r="G317" i="11"/>
  <c r="F317" i="11"/>
  <c r="AF316" i="11"/>
  <c r="Z316" i="11"/>
  <c r="R316" i="11" a="1"/>
  <c r="R316" i="11" s="1"/>
  <c r="S316" i="11" s="1"/>
  <c r="P316" i="11"/>
  <c r="I316" i="11"/>
  <c r="J316" i="11" s="1"/>
  <c r="H316" i="11"/>
  <c r="G316" i="11"/>
  <c r="F316" i="11"/>
  <c r="AF315" i="11"/>
  <c r="Z315" i="11"/>
  <c r="R315" i="11" a="1"/>
  <c r="R315" i="11" s="1"/>
  <c r="S315" i="11" s="1"/>
  <c r="P315" i="11"/>
  <c r="I315" i="11"/>
  <c r="J315" i="11" s="1"/>
  <c r="H315" i="11"/>
  <c r="G315" i="11"/>
  <c r="F315" i="11"/>
  <c r="AF314" i="11"/>
  <c r="Z314" i="11"/>
  <c r="R314" i="11" a="1"/>
  <c r="R314" i="11" s="1"/>
  <c r="S314" i="11" s="1"/>
  <c r="P314" i="11"/>
  <c r="AF313" i="11"/>
  <c r="Z313" i="11"/>
  <c r="R313" i="11" a="1"/>
  <c r="R313" i="11" s="1"/>
  <c r="S313" i="11" s="1"/>
  <c r="P313" i="11"/>
  <c r="J313" i="11"/>
  <c r="H313" i="11"/>
  <c r="G313" i="11"/>
  <c r="F313" i="11"/>
  <c r="AF312" i="11"/>
  <c r="Z312" i="11"/>
  <c r="R312" i="11" a="1"/>
  <c r="R312" i="11" s="1"/>
  <c r="S312" i="11" s="1"/>
  <c r="P312" i="11"/>
  <c r="I312" i="11"/>
  <c r="J312" i="11" s="1"/>
  <c r="H312" i="11"/>
  <c r="G312" i="11"/>
  <c r="F312" i="11"/>
  <c r="AF311" i="11"/>
  <c r="Z311" i="11"/>
  <c r="R311" i="11" a="1"/>
  <c r="R311" i="11" s="1"/>
  <c r="S311" i="11" s="1"/>
  <c r="P311" i="11"/>
  <c r="I311" i="11"/>
  <c r="J311" i="11" s="1"/>
  <c r="H311" i="11"/>
  <c r="G311" i="11"/>
  <c r="F311" i="11"/>
  <c r="AF310" i="11"/>
  <c r="Z310" i="11"/>
  <c r="R310" i="11" a="1"/>
  <c r="R310" i="11" s="1"/>
  <c r="S310" i="11" s="1"/>
  <c r="P310" i="11"/>
  <c r="I310" i="11"/>
  <c r="J310" i="11" s="1"/>
  <c r="H310" i="11"/>
  <c r="G310" i="11"/>
  <c r="F310" i="11"/>
  <c r="AF309" i="11"/>
  <c r="Z309" i="11"/>
  <c r="R309" i="11" a="1"/>
  <c r="R309" i="11" s="1"/>
  <c r="S309" i="11" s="1"/>
  <c r="P309" i="11"/>
  <c r="I309" i="11"/>
  <c r="J309" i="11" s="1"/>
  <c r="H309" i="11"/>
  <c r="G309" i="11"/>
  <c r="F309" i="11"/>
  <c r="AF308" i="11"/>
  <c r="Z308" i="11"/>
  <c r="R308" i="11" a="1"/>
  <c r="R308" i="11" s="1"/>
  <c r="S308" i="11" s="1"/>
  <c r="P308" i="11"/>
  <c r="I308" i="11"/>
  <c r="J308" i="11" s="1"/>
  <c r="H308" i="11"/>
  <c r="G308" i="11"/>
  <c r="F308" i="11"/>
  <c r="AF307" i="11"/>
  <c r="Z307" i="11"/>
  <c r="R307" i="11" a="1"/>
  <c r="R307" i="11" s="1"/>
  <c r="S307" i="11" s="1"/>
  <c r="P307" i="11"/>
  <c r="I307" i="11"/>
  <c r="J307" i="11" s="1"/>
  <c r="H307" i="11"/>
  <c r="G307" i="11"/>
  <c r="F307" i="11"/>
  <c r="AF306" i="11"/>
  <c r="Z306" i="11"/>
  <c r="R306" i="11" a="1"/>
  <c r="R306" i="11" s="1"/>
  <c r="S306" i="11" s="1"/>
  <c r="P306" i="11"/>
  <c r="I306" i="11"/>
  <c r="J306" i="11" s="1"/>
  <c r="H306" i="11"/>
  <c r="G306" i="11"/>
  <c r="F306" i="11"/>
  <c r="AF305" i="11"/>
  <c r="Z305" i="11"/>
  <c r="R305" i="11" a="1"/>
  <c r="R305" i="11" s="1"/>
  <c r="S305" i="11" s="1"/>
  <c r="P305" i="11"/>
  <c r="I305" i="11"/>
  <c r="J305" i="11" s="1"/>
  <c r="H305" i="11"/>
  <c r="G305" i="11"/>
  <c r="F305" i="11"/>
  <c r="AF304" i="11"/>
  <c r="Z304" i="11"/>
  <c r="R304" i="11" a="1"/>
  <c r="R304" i="11" s="1"/>
  <c r="S304" i="11" s="1"/>
  <c r="P304" i="11"/>
  <c r="I304" i="11"/>
  <c r="J304" i="11" s="1"/>
  <c r="H304" i="11"/>
  <c r="G304" i="11"/>
  <c r="F304" i="11"/>
  <c r="AF303" i="11"/>
  <c r="Z303" i="11"/>
  <c r="R303" i="11" a="1"/>
  <c r="R303" i="11" s="1"/>
  <c r="S303" i="11" s="1"/>
  <c r="P303" i="11"/>
  <c r="I303" i="11"/>
  <c r="J303" i="11" s="1"/>
  <c r="H303" i="11"/>
  <c r="G303" i="11"/>
  <c r="F303" i="11"/>
  <c r="AF302" i="11"/>
  <c r="Z302" i="11"/>
  <c r="R302" i="11" a="1"/>
  <c r="R302" i="11" s="1"/>
  <c r="S302" i="11" s="1"/>
  <c r="P302" i="11"/>
  <c r="I302" i="11"/>
  <c r="J302" i="11" s="1"/>
  <c r="H302" i="11"/>
  <c r="G302" i="11"/>
  <c r="F302" i="11"/>
  <c r="AF301" i="11"/>
  <c r="Z301" i="11"/>
  <c r="R301" i="11" a="1"/>
  <c r="R301" i="11" s="1"/>
  <c r="S301" i="11" s="1"/>
  <c r="P301" i="11"/>
  <c r="I301" i="11"/>
  <c r="J301" i="11" s="1"/>
  <c r="H301" i="11"/>
  <c r="G301" i="11"/>
  <c r="F301" i="11"/>
  <c r="AF300" i="11"/>
  <c r="Z300" i="11"/>
  <c r="R300" i="11" a="1"/>
  <c r="R300" i="11" s="1"/>
  <c r="S300" i="11" s="1"/>
  <c r="P300" i="11"/>
  <c r="I300" i="11"/>
  <c r="J300" i="11" s="1"/>
  <c r="H300" i="11"/>
  <c r="G300" i="11"/>
  <c r="F300" i="11"/>
  <c r="AF299" i="11"/>
  <c r="Z299" i="11"/>
  <c r="R299" i="11" a="1"/>
  <c r="R299" i="11" s="1"/>
  <c r="S299" i="11" s="1"/>
  <c r="P299" i="11"/>
  <c r="I299" i="11"/>
  <c r="J299" i="11" s="1"/>
  <c r="H299" i="11"/>
  <c r="G299" i="11"/>
  <c r="F299" i="11"/>
  <c r="AF298" i="11"/>
  <c r="Z298" i="11"/>
  <c r="R298" i="11" a="1"/>
  <c r="R298" i="11" s="1"/>
  <c r="S298" i="11" s="1"/>
  <c r="P298" i="11"/>
  <c r="I298" i="11"/>
  <c r="J298" i="11" s="1"/>
  <c r="H298" i="11"/>
  <c r="G298" i="11"/>
  <c r="F298" i="11"/>
  <c r="AF297" i="11"/>
  <c r="Z297" i="11"/>
  <c r="R297" i="11" a="1"/>
  <c r="R297" i="11" s="1"/>
  <c r="S297" i="11" s="1"/>
  <c r="P297" i="11"/>
  <c r="I297" i="11"/>
  <c r="J297" i="11" s="1"/>
  <c r="H297" i="11"/>
  <c r="G297" i="11"/>
  <c r="F297" i="11"/>
  <c r="AF296" i="11"/>
  <c r="Z296" i="11"/>
  <c r="R296" i="11" a="1"/>
  <c r="R296" i="11" s="1"/>
  <c r="S296" i="11" s="1"/>
  <c r="P296" i="11"/>
  <c r="I296" i="11"/>
  <c r="J296" i="11" s="1"/>
  <c r="H296" i="11"/>
  <c r="G296" i="11"/>
  <c r="F296" i="11"/>
  <c r="AF295" i="11"/>
  <c r="Z295" i="11"/>
  <c r="R295" i="11" a="1"/>
  <c r="R295" i="11" s="1"/>
  <c r="S295" i="11" s="1"/>
  <c r="P295" i="11"/>
  <c r="I295" i="11"/>
  <c r="J295" i="11" s="1"/>
  <c r="H295" i="11"/>
  <c r="G295" i="11"/>
  <c r="F295" i="11"/>
  <c r="AF294" i="11"/>
  <c r="Z294" i="11"/>
  <c r="R294" i="11" a="1"/>
  <c r="R294" i="11" s="1"/>
  <c r="S294" i="11" s="1"/>
  <c r="P294" i="11"/>
  <c r="I294" i="11"/>
  <c r="J294" i="11" s="1"/>
  <c r="H294" i="11"/>
  <c r="G294" i="11"/>
  <c r="F294" i="11"/>
  <c r="BB293" i="11"/>
  <c r="AF293" i="11"/>
  <c r="Z293" i="11"/>
  <c r="T293" i="11"/>
  <c r="Q293" i="11"/>
  <c r="R293" i="11" s="1" a="1"/>
  <c r="R293" i="11" s="1"/>
  <c r="S293" i="11" s="1"/>
  <c r="N293" i="11"/>
  <c r="P293" i="11" s="1"/>
  <c r="M293" i="11"/>
  <c r="D293" i="11"/>
  <c r="C293" i="11"/>
  <c r="BB292" i="11"/>
  <c r="AF292" i="11"/>
  <c r="Z292" i="11"/>
  <c r="T292" i="11"/>
  <c r="Q292" i="11"/>
  <c r="R292" i="11" s="1" a="1"/>
  <c r="R292" i="11" s="1"/>
  <c r="S292" i="11" s="1"/>
  <c r="N292" i="11"/>
  <c r="P292" i="11" s="1"/>
  <c r="M292" i="11"/>
  <c r="E292" i="11"/>
  <c r="D292" i="11"/>
  <c r="AF291" i="11"/>
  <c r="Z291" i="11"/>
  <c r="R291" i="11" a="1"/>
  <c r="R291" i="11" s="1"/>
  <c r="S291" i="11" s="1"/>
  <c r="P291" i="11"/>
  <c r="I291" i="11"/>
  <c r="J291" i="11" s="1"/>
  <c r="H291" i="11"/>
  <c r="G291" i="11"/>
  <c r="F291" i="11"/>
  <c r="AF290" i="11"/>
  <c r="Z290" i="11"/>
  <c r="R290" i="11" a="1"/>
  <c r="R290" i="11" s="1"/>
  <c r="S290" i="11" s="1"/>
  <c r="P290" i="11"/>
  <c r="I290" i="11"/>
  <c r="J290" i="11" s="1"/>
  <c r="H290" i="11"/>
  <c r="G290" i="11"/>
  <c r="F290" i="11"/>
  <c r="AF289" i="11"/>
  <c r="Z289" i="11"/>
  <c r="R289" i="11" a="1"/>
  <c r="R289" i="11" s="1"/>
  <c r="S289" i="11" s="1"/>
  <c r="P289" i="11"/>
  <c r="I289" i="11"/>
  <c r="J289" i="11" s="1"/>
  <c r="H289" i="11"/>
  <c r="G289" i="11"/>
  <c r="F289" i="11"/>
  <c r="AF288" i="11"/>
  <c r="Z288" i="11"/>
  <c r="R288" i="11" a="1"/>
  <c r="R288" i="11" s="1"/>
  <c r="S288" i="11" s="1"/>
  <c r="P288" i="11"/>
  <c r="I288" i="11"/>
  <c r="J288" i="11" s="1"/>
  <c r="H288" i="11"/>
  <c r="G288" i="11"/>
  <c r="F288" i="11"/>
  <c r="AF287" i="11"/>
  <c r="Z287" i="11"/>
  <c r="R287" i="11" a="1"/>
  <c r="R287" i="11" s="1"/>
  <c r="S287" i="11" s="1"/>
  <c r="P287" i="11"/>
  <c r="I287" i="11"/>
  <c r="H287" i="11"/>
  <c r="AF286" i="11"/>
  <c r="Z286" i="11"/>
  <c r="R286" i="11" a="1"/>
  <c r="R286" i="11" s="1"/>
  <c r="S286" i="11" s="1"/>
  <c r="P286" i="11"/>
  <c r="I286" i="11"/>
  <c r="J286" i="11" s="1"/>
  <c r="H286" i="11"/>
  <c r="G286" i="11"/>
  <c r="F286" i="11"/>
  <c r="AI285" i="11" a="1"/>
  <c r="AI285" i="11" s="1"/>
  <c r="AF285" i="11"/>
  <c r="Z285" i="11"/>
  <c r="R285" i="11" a="1"/>
  <c r="R285" i="11" s="1"/>
  <c r="S285" i="11" s="1"/>
  <c r="P285" i="11"/>
  <c r="I285" i="11"/>
  <c r="J285" i="11" s="1"/>
  <c r="H285" i="11"/>
  <c r="G285" i="11"/>
  <c r="F285" i="11"/>
  <c r="AF284" i="11"/>
  <c r="Z284" i="11"/>
  <c r="R284" i="11" a="1"/>
  <c r="R284" i="11" s="1"/>
  <c r="S284" i="11" s="1"/>
  <c r="P284" i="11"/>
  <c r="I284" i="11"/>
  <c r="J284" i="11" s="1"/>
  <c r="H284" i="11"/>
  <c r="G284" i="11"/>
  <c r="F284" i="11"/>
  <c r="AF283" i="11"/>
  <c r="Z283" i="11"/>
  <c r="R283" i="11" a="1"/>
  <c r="R283" i="11" s="1"/>
  <c r="S283" i="11" s="1"/>
  <c r="P283" i="11"/>
  <c r="I283" i="11"/>
  <c r="J283" i="11" s="1"/>
  <c r="H283" i="11"/>
  <c r="G283" i="11"/>
  <c r="F283" i="11"/>
  <c r="AF282" i="11"/>
  <c r="Z282" i="11"/>
  <c r="R282" i="11" a="1"/>
  <c r="R282" i="11" s="1"/>
  <c r="S282" i="11" s="1"/>
  <c r="N282" i="11"/>
  <c r="P282" i="11" s="1"/>
  <c r="AF281" i="11"/>
  <c r="Z281" i="11"/>
  <c r="R281" i="11" a="1"/>
  <c r="R281" i="11" s="1"/>
  <c r="S281" i="11" s="1"/>
  <c r="P281" i="11"/>
  <c r="I281" i="11"/>
  <c r="J281" i="11" s="1"/>
  <c r="H281" i="11"/>
  <c r="G281" i="11"/>
  <c r="F281" i="11"/>
  <c r="AF280" i="11"/>
  <c r="Z280" i="11"/>
  <c r="R280" i="11" a="1"/>
  <c r="R280" i="11" s="1"/>
  <c r="S280" i="11" s="1"/>
  <c r="P280" i="11"/>
  <c r="I280" i="11"/>
  <c r="J280" i="11" s="1"/>
  <c r="H280" i="11"/>
  <c r="G280" i="11"/>
  <c r="F280" i="11"/>
  <c r="AF279" i="11"/>
  <c r="Z279" i="11"/>
  <c r="R279" i="11" a="1"/>
  <c r="R279" i="11" s="1"/>
  <c r="S279" i="11" s="1"/>
  <c r="P279" i="11"/>
  <c r="AF278" i="11"/>
  <c r="Z278" i="11"/>
  <c r="R278" i="11" a="1"/>
  <c r="R278" i="11" s="1"/>
  <c r="S278" i="11" s="1"/>
  <c r="P278" i="11"/>
  <c r="I278" i="11"/>
  <c r="J278" i="11" s="1"/>
  <c r="H278" i="11"/>
  <c r="G278" i="11"/>
  <c r="F278" i="11"/>
  <c r="AF277" i="11"/>
  <c r="Z277" i="11"/>
  <c r="R277" i="11" a="1"/>
  <c r="R277" i="11" s="1"/>
  <c r="S277" i="11" s="1"/>
  <c r="P277" i="11"/>
  <c r="I277" i="11"/>
  <c r="J277" i="11" s="1"/>
  <c r="H277" i="11"/>
  <c r="G277" i="11"/>
  <c r="F277" i="11"/>
  <c r="AF276" i="11"/>
  <c r="Z276" i="11"/>
  <c r="R276" i="11" a="1"/>
  <c r="R276" i="11" s="1"/>
  <c r="S276" i="11" s="1"/>
  <c r="P276" i="11"/>
  <c r="I276" i="11"/>
  <c r="J276" i="11" s="1"/>
  <c r="H276" i="11"/>
  <c r="G276" i="11"/>
  <c r="F276" i="11"/>
  <c r="AF275" i="11"/>
  <c r="Z275" i="11"/>
  <c r="R275" i="11" a="1"/>
  <c r="R275" i="11" s="1"/>
  <c r="S275" i="11" s="1"/>
  <c r="P275" i="11"/>
  <c r="I275" i="11"/>
  <c r="J275" i="11" s="1"/>
  <c r="H275" i="11"/>
  <c r="G275" i="11"/>
  <c r="F275" i="11"/>
  <c r="AF274" i="11"/>
  <c r="Z274" i="11"/>
  <c r="R274" i="11" a="1"/>
  <c r="R274" i="11" s="1"/>
  <c r="S274" i="11" s="1"/>
  <c r="P274" i="11"/>
  <c r="I274" i="11"/>
  <c r="J274" i="11" s="1"/>
  <c r="H274" i="11"/>
  <c r="G274" i="11"/>
  <c r="F274" i="11"/>
  <c r="AF273" i="11"/>
  <c r="Z273" i="11"/>
  <c r="R273" i="11" a="1"/>
  <c r="R273" i="11" s="1"/>
  <c r="S273" i="11" s="1"/>
  <c r="P273" i="11"/>
  <c r="I273" i="11"/>
  <c r="J273" i="11" s="1"/>
  <c r="H273" i="11"/>
  <c r="G273" i="11"/>
  <c r="F273" i="11"/>
  <c r="AF272" i="11"/>
  <c r="Z272" i="11"/>
  <c r="R272" i="11" a="1"/>
  <c r="R272" i="11" s="1"/>
  <c r="S272" i="11" s="1"/>
  <c r="P272" i="11"/>
  <c r="I272" i="11"/>
  <c r="J272" i="11" s="1"/>
  <c r="H272" i="11"/>
  <c r="G272" i="11"/>
  <c r="F272" i="11"/>
  <c r="BB271" i="11"/>
  <c r="AF271" i="11"/>
  <c r="Z271" i="11"/>
  <c r="T271" i="11"/>
  <c r="Q271" i="11"/>
  <c r="R271" i="11" s="1" a="1"/>
  <c r="R271" i="11" s="1"/>
  <c r="S271" i="11" s="1"/>
  <c r="N271" i="11"/>
  <c r="P271" i="11" s="1"/>
  <c r="M271" i="11"/>
  <c r="D271" i="11"/>
  <c r="C271" i="11"/>
  <c r="BB270" i="11"/>
  <c r="AF270" i="11"/>
  <c r="Z270" i="11"/>
  <c r="T270" i="11"/>
  <c r="Q270" i="11"/>
  <c r="R270" i="11" s="1" a="1"/>
  <c r="R270" i="11" s="1"/>
  <c r="S270" i="11" s="1"/>
  <c r="N270" i="11"/>
  <c r="P270" i="11" s="1"/>
  <c r="M270" i="11"/>
  <c r="E270" i="11"/>
  <c r="D270" i="11"/>
  <c r="AF269" i="11"/>
  <c r="Z269" i="11"/>
  <c r="R269" i="11" a="1"/>
  <c r="R269" i="11" s="1"/>
  <c r="S269" i="11" s="1"/>
  <c r="P269" i="11"/>
  <c r="I269" i="11"/>
  <c r="J269" i="11" s="1"/>
  <c r="H269" i="11"/>
  <c r="G269" i="11"/>
  <c r="F269" i="11"/>
  <c r="AF268" i="11"/>
  <c r="Z268" i="11"/>
  <c r="R268" i="11" a="1"/>
  <c r="R268" i="11" s="1"/>
  <c r="S268" i="11" s="1"/>
  <c r="P268" i="11"/>
  <c r="I268" i="11"/>
  <c r="J268" i="11" s="1"/>
  <c r="H268" i="11"/>
  <c r="G268" i="11"/>
  <c r="F268" i="11"/>
  <c r="AI267" i="11" a="1"/>
  <c r="AI267" i="11" s="1"/>
  <c r="AF267" i="11"/>
  <c r="Z267" i="11"/>
  <c r="R267" i="11" a="1"/>
  <c r="R267" i="11" s="1"/>
  <c r="S267" i="11" s="1"/>
  <c r="P267" i="11"/>
  <c r="I267" i="11"/>
  <c r="J267" i="11" s="1"/>
  <c r="H267" i="11"/>
  <c r="G267" i="11"/>
  <c r="F267" i="11"/>
  <c r="AF266" i="11"/>
  <c r="Z266" i="11"/>
  <c r="R266" i="11" a="1"/>
  <c r="R266" i="11" s="1"/>
  <c r="S266" i="11" s="1"/>
  <c r="P266" i="11"/>
  <c r="I266" i="11"/>
  <c r="H266" i="11"/>
  <c r="AF265" i="11"/>
  <c r="Z265" i="11"/>
  <c r="R265" i="11" a="1"/>
  <c r="R265" i="11" s="1"/>
  <c r="S265" i="11" s="1"/>
  <c r="P265" i="11"/>
  <c r="I265" i="11"/>
  <c r="J265" i="11" s="1"/>
  <c r="H265" i="11"/>
  <c r="G265" i="11"/>
  <c r="F265" i="11"/>
  <c r="AF264" i="11"/>
  <c r="Z264" i="11"/>
  <c r="R264" i="11" a="1"/>
  <c r="R264" i="11" s="1"/>
  <c r="S264" i="11" s="1"/>
  <c r="P264" i="11"/>
  <c r="I264" i="11"/>
  <c r="J264" i="11" s="1"/>
  <c r="H264" i="11"/>
  <c r="G264" i="11"/>
  <c r="F264" i="11"/>
  <c r="AF263" i="11"/>
  <c r="Z263" i="11"/>
  <c r="R263" i="11" a="1"/>
  <c r="R263" i="11" s="1"/>
  <c r="S263" i="11" s="1"/>
  <c r="P263" i="11"/>
  <c r="AF262" i="11"/>
  <c r="Z262" i="11"/>
  <c r="R262" i="11" a="1"/>
  <c r="R262" i="11" s="1"/>
  <c r="S262" i="11" s="1"/>
  <c r="P262" i="11"/>
  <c r="I262" i="11"/>
  <c r="J262" i="11" s="1"/>
  <c r="H262" i="11"/>
  <c r="G262" i="11"/>
  <c r="F262" i="11"/>
  <c r="AF261" i="11"/>
  <c r="Z261" i="11"/>
  <c r="R261" i="11" a="1"/>
  <c r="R261" i="11" s="1"/>
  <c r="S261" i="11" s="1"/>
  <c r="P261" i="11"/>
  <c r="I261" i="11"/>
  <c r="J261" i="11" s="1"/>
  <c r="H261" i="11"/>
  <c r="G261" i="11"/>
  <c r="F261" i="11"/>
  <c r="AF260" i="11"/>
  <c r="Z260" i="11"/>
  <c r="R260" i="11" a="1"/>
  <c r="R260" i="11" s="1"/>
  <c r="S260" i="11" s="1"/>
  <c r="P260" i="11"/>
  <c r="I260" i="11"/>
  <c r="H260" i="11"/>
  <c r="AF259" i="11"/>
  <c r="Z259" i="11"/>
  <c r="R259" i="11" a="1"/>
  <c r="R259" i="11" s="1"/>
  <c r="S259" i="11" s="1"/>
  <c r="P259" i="11"/>
  <c r="I259" i="11"/>
  <c r="J259" i="11" s="1"/>
  <c r="H259" i="11"/>
  <c r="G259" i="11"/>
  <c r="F259" i="11"/>
  <c r="AF258" i="11"/>
  <c r="Z258" i="11"/>
  <c r="R258" i="11" a="1"/>
  <c r="R258" i="11" s="1"/>
  <c r="S258" i="11" s="1"/>
  <c r="P258" i="11"/>
  <c r="I258" i="11"/>
  <c r="J258" i="11" s="1"/>
  <c r="H258" i="11"/>
  <c r="G258" i="11"/>
  <c r="F258" i="11"/>
  <c r="AF257" i="11"/>
  <c r="Z257" i="11"/>
  <c r="R257" i="11" a="1"/>
  <c r="R257" i="11" s="1"/>
  <c r="S257" i="11" s="1"/>
  <c r="P257" i="11"/>
  <c r="J257" i="11"/>
  <c r="H257" i="11"/>
  <c r="G257" i="11"/>
  <c r="F257" i="11"/>
  <c r="AF256" i="11"/>
  <c r="Z256" i="11"/>
  <c r="R256" i="11" a="1"/>
  <c r="R256" i="11" s="1"/>
  <c r="S256" i="11" s="1"/>
  <c r="P256" i="11"/>
  <c r="I256" i="11"/>
  <c r="J256" i="11" s="1"/>
  <c r="H256" i="11"/>
  <c r="G256" i="11"/>
  <c r="F256" i="11"/>
  <c r="AF255" i="11"/>
  <c r="Z255" i="11"/>
  <c r="R255" i="11" a="1"/>
  <c r="R255" i="11" s="1"/>
  <c r="S255" i="11" s="1"/>
  <c r="P255" i="11"/>
  <c r="I255" i="11"/>
  <c r="J255" i="11" s="1"/>
  <c r="H255" i="11"/>
  <c r="G255" i="11"/>
  <c r="F255" i="11"/>
  <c r="AF254" i="11"/>
  <c r="Z254" i="11"/>
  <c r="R254" i="11" a="1"/>
  <c r="R254" i="11" s="1"/>
  <c r="S254" i="11" s="1"/>
  <c r="P254" i="11"/>
  <c r="I254" i="11"/>
  <c r="J254" i="11" s="1"/>
  <c r="H254" i="11"/>
  <c r="G254" i="11"/>
  <c r="F254" i="11"/>
  <c r="AF253" i="11"/>
  <c r="Z253" i="11"/>
  <c r="R253" i="11" a="1"/>
  <c r="R253" i="11" s="1"/>
  <c r="S253" i="11" s="1"/>
  <c r="P253" i="11"/>
  <c r="I253" i="11"/>
  <c r="H253" i="11"/>
  <c r="AF252" i="11"/>
  <c r="Z252" i="11"/>
  <c r="R252" i="11" a="1"/>
  <c r="R252" i="11" s="1"/>
  <c r="S252" i="11" s="1"/>
  <c r="P252" i="11"/>
  <c r="I252" i="11"/>
  <c r="H252" i="11"/>
  <c r="BB251" i="11"/>
  <c r="AF251" i="11"/>
  <c r="Z251" i="11"/>
  <c r="T251" i="11"/>
  <c r="Q251" i="11"/>
  <c r="R251" i="11" s="1" a="1"/>
  <c r="R251" i="11" s="1"/>
  <c r="S251" i="11" s="1"/>
  <c r="N251" i="11"/>
  <c r="P251" i="11" s="1"/>
  <c r="M251" i="11"/>
  <c r="D251" i="11"/>
  <c r="C251" i="11"/>
  <c r="BB250" i="11"/>
  <c r="AF250" i="11"/>
  <c r="Z250" i="11"/>
  <c r="T250" i="11"/>
  <c r="Q250" i="11"/>
  <c r="R250" i="11" s="1" a="1"/>
  <c r="R250" i="11" s="1"/>
  <c r="S250" i="11" s="1"/>
  <c r="N250" i="11"/>
  <c r="P250" i="11" s="1"/>
  <c r="M250" i="11"/>
  <c r="D250" i="11"/>
  <c r="C250" i="11"/>
  <c r="AF249" i="11"/>
  <c r="Z249" i="11"/>
  <c r="R249" i="11" a="1"/>
  <c r="R249" i="11" s="1"/>
  <c r="S249" i="11" s="1"/>
  <c r="P249" i="11"/>
  <c r="AF248" i="11"/>
  <c r="Z248" i="11"/>
  <c r="R248" i="11" a="1"/>
  <c r="R248" i="11" s="1"/>
  <c r="S248" i="11" s="1"/>
  <c r="P248" i="11"/>
  <c r="AF247" i="11"/>
  <c r="Z247" i="11"/>
  <c r="R247" i="11" a="1"/>
  <c r="R247" i="11" s="1"/>
  <c r="S247" i="11" s="1"/>
  <c r="P247" i="11"/>
  <c r="I247" i="11"/>
  <c r="J247" i="11" s="1"/>
  <c r="H247" i="11"/>
  <c r="G247" i="11"/>
  <c r="F247" i="11"/>
  <c r="AF246" i="11"/>
  <c r="Z246" i="11"/>
  <c r="R246" i="11" a="1"/>
  <c r="R246" i="11" s="1"/>
  <c r="S246" i="11" s="1"/>
  <c r="P246" i="11"/>
  <c r="I246" i="11"/>
  <c r="J246" i="11" s="1"/>
  <c r="H246" i="11"/>
  <c r="G246" i="11"/>
  <c r="F246" i="11"/>
  <c r="AF245" i="11"/>
  <c r="Z245" i="11"/>
  <c r="R245" i="11" a="1"/>
  <c r="R245" i="11" s="1"/>
  <c r="S245" i="11" s="1"/>
  <c r="P245" i="11"/>
  <c r="I245" i="11"/>
  <c r="J245" i="11" s="1"/>
  <c r="H245" i="11"/>
  <c r="G245" i="11"/>
  <c r="F245" i="11"/>
  <c r="AF244" i="11"/>
  <c r="Z244" i="11"/>
  <c r="R244" i="11" a="1"/>
  <c r="R244" i="11" s="1"/>
  <c r="S244" i="11" s="1"/>
  <c r="P244" i="11"/>
  <c r="I244" i="11"/>
  <c r="J244" i="11" s="1"/>
  <c r="H244" i="11"/>
  <c r="G244" i="11"/>
  <c r="F244" i="11"/>
  <c r="AF243" i="11"/>
  <c r="Z243" i="11"/>
  <c r="R243" i="11" a="1"/>
  <c r="R243" i="11" s="1"/>
  <c r="S243" i="11" s="1"/>
  <c r="P243" i="11"/>
  <c r="I243" i="11"/>
  <c r="J243" i="11" s="1"/>
  <c r="H243" i="11"/>
  <c r="G243" i="11"/>
  <c r="F243" i="11"/>
  <c r="AI242" i="11" a="1"/>
  <c r="AI242" i="11" s="1"/>
  <c r="AF242" i="11"/>
  <c r="Z242" i="11"/>
  <c r="R242" i="11" a="1"/>
  <c r="R242" i="11" s="1"/>
  <c r="S242" i="11" s="1"/>
  <c r="P242" i="11"/>
  <c r="I242" i="11"/>
  <c r="J242" i="11" s="1"/>
  <c r="H242" i="11"/>
  <c r="G242" i="11"/>
  <c r="F242" i="11"/>
  <c r="AF241" i="11"/>
  <c r="Z241" i="11"/>
  <c r="R241" i="11" a="1"/>
  <c r="R241" i="11" s="1"/>
  <c r="S241" i="11" s="1"/>
  <c r="P241" i="11"/>
  <c r="J241" i="11"/>
  <c r="H241" i="11"/>
  <c r="G241" i="11"/>
  <c r="F241" i="11"/>
  <c r="AF240" i="11"/>
  <c r="Z240" i="11"/>
  <c r="R240" i="11" a="1"/>
  <c r="R240" i="11" s="1"/>
  <c r="S240" i="11" s="1"/>
  <c r="P240" i="11"/>
  <c r="I240" i="11"/>
  <c r="J240" i="11" s="1"/>
  <c r="H240" i="11"/>
  <c r="G240" i="11"/>
  <c r="F240" i="11"/>
  <c r="AI239" i="11" a="1"/>
  <c r="AI239" i="11" s="1"/>
  <c r="AF239" i="11"/>
  <c r="Z239" i="11"/>
  <c r="R239" i="11" a="1"/>
  <c r="R239" i="11" s="1"/>
  <c r="S239" i="11" s="1"/>
  <c r="P239" i="11"/>
  <c r="I239" i="11"/>
  <c r="J239" i="11" s="1"/>
  <c r="H239" i="11"/>
  <c r="G239" i="11"/>
  <c r="F239" i="11"/>
  <c r="AF238" i="11"/>
  <c r="Z238" i="11"/>
  <c r="R238" i="11" a="1"/>
  <c r="R238" i="11" s="1"/>
  <c r="S238" i="11" s="1"/>
  <c r="P238" i="11"/>
  <c r="I238" i="11"/>
  <c r="J238" i="11" s="1"/>
  <c r="H238" i="11"/>
  <c r="G238" i="11"/>
  <c r="F238" i="11"/>
  <c r="AF237" i="11"/>
  <c r="Z237" i="11"/>
  <c r="R237" i="11" a="1"/>
  <c r="R237" i="11" s="1"/>
  <c r="S237" i="11" s="1"/>
  <c r="P237" i="11"/>
  <c r="I237" i="11"/>
  <c r="J237" i="11" s="1"/>
  <c r="H237" i="11"/>
  <c r="G237" i="11"/>
  <c r="F237" i="11"/>
  <c r="AF236" i="11"/>
  <c r="Z236" i="11"/>
  <c r="R236" i="11" a="1"/>
  <c r="R236" i="11" s="1"/>
  <c r="S236" i="11" s="1"/>
  <c r="P236" i="11"/>
  <c r="I236" i="11"/>
  <c r="J236" i="11" s="1"/>
  <c r="H236" i="11"/>
  <c r="G236" i="11"/>
  <c r="F236" i="11"/>
  <c r="AF235" i="11"/>
  <c r="Z235" i="11"/>
  <c r="R235" i="11" a="1"/>
  <c r="R235" i="11" s="1"/>
  <c r="S235" i="11" s="1"/>
  <c r="P235" i="11"/>
  <c r="I235" i="11"/>
  <c r="J235" i="11" s="1"/>
  <c r="H235" i="11"/>
  <c r="G235" i="11"/>
  <c r="F235" i="11"/>
  <c r="BB234" i="11"/>
  <c r="AF234" i="11"/>
  <c r="Z234" i="11"/>
  <c r="T234" i="11"/>
  <c r="Q234" i="11"/>
  <c r="R234" i="11" s="1" a="1"/>
  <c r="R234" i="11" s="1"/>
  <c r="S234" i="11" s="1"/>
  <c r="P234" i="11"/>
  <c r="M234" i="11"/>
  <c r="E234" i="11"/>
  <c r="D234" i="11"/>
  <c r="C234" i="11"/>
  <c r="BB233" i="11"/>
  <c r="AF233" i="11"/>
  <c r="Z233" i="11"/>
  <c r="T233" i="11"/>
  <c r="Q233" i="11"/>
  <c r="R233" i="11" s="1" a="1"/>
  <c r="R233" i="11" s="1"/>
  <c r="S233" i="11" s="1"/>
  <c r="P233" i="11"/>
  <c r="M233" i="11"/>
  <c r="E233" i="11"/>
  <c r="D233" i="11"/>
  <c r="AF232" i="11"/>
  <c r="Z232" i="11"/>
  <c r="R232" i="11" a="1"/>
  <c r="R232" i="11" s="1"/>
  <c r="S232" i="11" s="1"/>
  <c r="P232" i="11"/>
  <c r="I232" i="11"/>
  <c r="J232" i="11" s="1"/>
  <c r="H232" i="11"/>
  <c r="G232" i="11"/>
  <c r="F232" i="11"/>
  <c r="AF231" i="11"/>
  <c r="Z231" i="11"/>
  <c r="R231" i="11" a="1"/>
  <c r="R231" i="11" s="1"/>
  <c r="S231" i="11" s="1"/>
  <c r="P231" i="11"/>
  <c r="I231" i="11"/>
  <c r="J231" i="11" s="1"/>
  <c r="H231" i="11"/>
  <c r="G231" i="11"/>
  <c r="F231" i="11"/>
  <c r="AF230" i="11"/>
  <c r="Z230" i="11"/>
  <c r="R230" i="11" a="1"/>
  <c r="R230" i="11" s="1"/>
  <c r="S230" i="11" s="1"/>
  <c r="P230" i="11"/>
  <c r="AF229" i="11"/>
  <c r="Z229" i="11"/>
  <c r="R229" i="11" a="1"/>
  <c r="R229" i="11" s="1"/>
  <c r="S229" i="11" s="1"/>
  <c r="P229" i="11"/>
  <c r="I229" i="11"/>
  <c r="J229" i="11" s="1"/>
  <c r="H229" i="11"/>
  <c r="G229" i="11"/>
  <c r="F229" i="11"/>
  <c r="AF228" i="11"/>
  <c r="Z228" i="11"/>
  <c r="R228" i="11" a="1"/>
  <c r="R228" i="11" s="1"/>
  <c r="S228" i="11" s="1"/>
  <c r="P228" i="11"/>
  <c r="AF227" i="11"/>
  <c r="Z227" i="11"/>
  <c r="R227" i="11" a="1"/>
  <c r="R227" i="11" s="1"/>
  <c r="S227" i="11" s="1"/>
  <c r="P227" i="11"/>
  <c r="I227" i="11"/>
  <c r="J227" i="11" s="1"/>
  <c r="H227" i="11"/>
  <c r="G227" i="11"/>
  <c r="F227" i="11"/>
  <c r="AF226" i="11"/>
  <c r="Z226" i="11"/>
  <c r="R226" i="11" a="1"/>
  <c r="R226" i="11" s="1"/>
  <c r="S226" i="11" s="1"/>
  <c r="P226" i="11"/>
  <c r="I226" i="11"/>
  <c r="J226" i="11" s="1"/>
  <c r="H226" i="11"/>
  <c r="G226" i="11"/>
  <c r="F226" i="11"/>
  <c r="AF225" i="11"/>
  <c r="Z225" i="11"/>
  <c r="R225" i="11" a="1"/>
  <c r="R225" i="11" s="1"/>
  <c r="S225" i="11" s="1"/>
  <c r="P225" i="11"/>
  <c r="I225" i="11"/>
  <c r="J225" i="11" s="1"/>
  <c r="H225" i="11"/>
  <c r="G225" i="11"/>
  <c r="F225" i="11"/>
  <c r="AF224" i="11"/>
  <c r="Z224" i="11"/>
  <c r="R224" i="11" a="1"/>
  <c r="R224" i="11" s="1"/>
  <c r="S224" i="11" s="1"/>
  <c r="P224" i="11"/>
  <c r="I224" i="11"/>
  <c r="J224" i="11" s="1"/>
  <c r="H224" i="11"/>
  <c r="G224" i="11"/>
  <c r="F224" i="11"/>
  <c r="AF223" i="11"/>
  <c r="Z223" i="11"/>
  <c r="R223" i="11" a="1"/>
  <c r="R223" i="11" s="1"/>
  <c r="S223" i="11" s="1"/>
  <c r="P223" i="11"/>
  <c r="I223" i="11"/>
  <c r="J223" i="11" s="1"/>
  <c r="H223" i="11"/>
  <c r="G223" i="11"/>
  <c r="F223" i="11"/>
  <c r="AF222" i="11"/>
  <c r="Z222" i="11"/>
  <c r="R222" i="11" a="1"/>
  <c r="R222" i="11" s="1"/>
  <c r="S222" i="11" s="1"/>
  <c r="P222" i="11"/>
  <c r="I222" i="11"/>
  <c r="J222" i="11" s="1"/>
  <c r="H222" i="11"/>
  <c r="G222" i="11"/>
  <c r="F222" i="11"/>
  <c r="AF221" i="11"/>
  <c r="Z221" i="11"/>
  <c r="R221" i="11" a="1"/>
  <c r="R221" i="11" s="1"/>
  <c r="S221" i="11" s="1"/>
  <c r="P221" i="11"/>
  <c r="I221" i="11"/>
  <c r="H221" i="11"/>
  <c r="AF220" i="11"/>
  <c r="Z220" i="11"/>
  <c r="R220" i="11" a="1"/>
  <c r="R220" i="11" s="1"/>
  <c r="S220" i="11" s="1"/>
  <c r="P220" i="11"/>
  <c r="I220" i="11"/>
  <c r="J220" i="11" s="1"/>
  <c r="H220" i="11"/>
  <c r="G220" i="11"/>
  <c r="F220" i="11"/>
  <c r="AF219" i="11"/>
  <c r="Z219" i="11"/>
  <c r="R219" i="11" a="1"/>
  <c r="R219" i="11" s="1"/>
  <c r="S219" i="11" s="1"/>
  <c r="P219" i="11"/>
  <c r="J219" i="11"/>
  <c r="H219" i="11"/>
  <c r="G219" i="11"/>
  <c r="F219" i="11"/>
  <c r="AI218" i="11" a="1"/>
  <c r="AI218" i="11" s="1"/>
  <c r="AF218" i="11"/>
  <c r="Z218" i="11"/>
  <c r="R218" i="11" a="1"/>
  <c r="R218" i="11" s="1"/>
  <c r="S218" i="11" s="1"/>
  <c r="P218" i="11"/>
  <c r="I218" i="11"/>
  <c r="J218" i="11" s="1"/>
  <c r="H218" i="11"/>
  <c r="G218" i="11"/>
  <c r="F218" i="11"/>
  <c r="AF217" i="11"/>
  <c r="Z217" i="11"/>
  <c r="R217" i="11" a="1"/>
  <c r="R217" i="11" s="1"/>
  <c r="S217" i="11" s="1"/>
  <c r="P217" i="11"/>
  <c r="I217" i="11"/>
  <c r="J217" i="11" s="1"/>
  <c r="H217" i="11"/>
  <c r="G217" i="11"/>
  <c r="F217" i="11"/>
  <c r="AF216" i="11"/>
  <c r="Z216" i="11"/>
  <c r="R216" i="11" a="1"/>
  <c r="R216" i="11" s="1"/>
  <c r="S216" i="11" s="1"/>
  <c r="P216" i="11"/>
  <c r="I216" i="11"/>
  <c r="J216" i="11" s="1"/>
  <c r="H216" i="11"/>
  <c r="G216" i="11"/>
  <c r="F216" i="11"/>
  <c r="AF215" i="11"/>
  <c r="Z215" i="11"/>
  <c r="R215" i="11" a="1"/>
  <c r="R215" i="11" s="1"/>
  <c r="S215" i="11" s="1"/>
  <c r="P215" i="11"/>
  <c r="I215" i="11"/>
  <c r="J215" i="11" s="1"/>
  <c r="H215" i="11"/>
  <c r="G215" i="11"/>
  <c r="F215" i="11"/>
  <c r="AF214" i="11"/>
  <c r="Z214" i="11"/>
  <c r="R214" i="11" a="1"/>
  <c r="R214" i="11" s="1"/>
  <c r="S214" i="11" s="1"/>
  <c r="P214" i="11"/>
  <c r="I214" i="11"/>
  <c r="J214" i="11" s="1"/>
  <c r="H214" i="11"/>
  <c r="G214" i="11"/>
  <c r="F214" i="11"/>
  <c r="AF213" i="11"/>
  <c r="Z213" i="11"/>
  <c r="R213" i="11" a="1"/>
  <c r="R213" i="11" s="1"/>
  <c r="S213" i="11" s="1"/>
  <c r="P213" i="11"/>
  <c r="I213" i="11"/>
  <c r="J213" i="11" s="1"/>
  <c r="H213" i="11"/>
  <c r="G213" i="11"/>
  <c r="F213" i="11"/>
  <c r="AF212" i="11"/>
  <c r="Z212" i="11"/>
  <c r="R212" i="11" a="1"/>
  <c r="R212" i="11" s="1"/>
  <c r="S212" i="11" s="1"/>
  <c r="P212" i="11"/>
  <c r="I212" i="11"/>
  <c r="J212" i="11" s="1"/>
  <c r="H212" i="11"/>
  <c r="G212" i="11"/>
  <c r="F212" i="11"/>
  <c r="AF211" i="11"/>
  <c r="Z211" i="11"/>
  <c r="R211" i="11" a="1"/>
  <c r="R211" i="11" s="1"/>
  <c r="S211" i="11" s="1"/>
  <c r="P211" i="11"/>
  <c r="I211" i="11"/>
  <c r="J211" i="11" s="1"/>
  <c r="H211" i="11"/>
  <c r="G211" i="11"/>
  <c r="F211" i="11"/>
  <c r="AF210" i="11"/>
  <c r="Z210" i="11"/>
  <c r="R210" i="11" a="1"/>
  <c r="R210" i="11" s="1"/>
  <c r="S210" i="11" s="1"/>
  <c r="P210" i="11"/>
  <c r="I210" i="11"/>
  <c r="J210" i="11" s="1"/>
  <c r="H210" i="11"/>
  <c r="G210" i="11"/>
  <c r="F210" i="11"/>
  <c r="AF209" i="11"/>
  <c r="Z209" i="11"/>
  <c r="R209" i="11" a="1"/>
  <c r="R209" i="11" s="1"/>
  <c r="S209" i="11" s="1"/>
  <c r="P209" i="11"/>
  <c r="I209" i="11"/>
  <c r="J209" i="11" s="1"/>
  <c r="H209" i="11"/>
  <c r="G209" i="11"/>
  <c r="F209" i="11"/>
  <c r="AF208" i="11"/>
  <c r="Z208" i="11"/>
  <c r="R208" i="11" a="1"/>
  <c r="R208" i="11" s="1"/>
  <c r="S208" i="11" s="1"/>
  <c r="P208" i="11"/>
  <c r="I208" i="11"/>
  <c r="J208" i="11" s="1"/>
  <c r="H208" i="11"/>
  <c r="G208" i="11"/>
  <c r="F208" i="11"/>
  <c r="AF207" i="11"/>
  <c r="Z207" i="11"/>
  <c r="R207" i="11" a="1"/>
  <c r="R207" i="11" s="1"/>
  <c r="S207" i="11" s="1"/>
  <c r="P207" i="11"/>
  <c r="I207" i="11"/>
  <c r="J207" i="11" s="1"/>
  <c r="H207" i="11"/>
  <c r="G207" i="11"/>
  <c r="F207" i="11"/>
  <c r="AF206" i="11"/>
  <c r="Z206" i="11"/>
  <c r="R206" i="11" a="1"/>
  <c r="R206" i="11" s="1"/>
  <c r="S206" i="11" s="1"/>
  <c r="P206" i="11"/>
  <c r="I206" i="11"/>
  <c r="J206" i="11" s="1"/>
  <c r="H206" i="11"/>
  <c r="G206" i="11"/>
  <c r="F206" i="11"/>
  <c r="AF205" i="11"/>
  <c r="Z205" i="11"/>
  <c r="R205" i="11" a="1"/>
  <c r="R205" i="11" s="1"/>
  <c r="S205" i="11" s="1"/>
  <c r="P205" i="11"/>
  <c r="I205" i="11"/>
  <c r="J205" i="11" s="1"/>
  <c r="H205" i="11"/>
  <c r="G205" i="11"/>
  <c r="F205" i="11"/>
  <c r="BB204" i="11"/>
  <c r="AF204" i="11"/>
  <c r="Z204" i="11"/>
  <c r="T204" i="11"/>
  <c r="Q204" i="11"/>
  <c r="R204" i="11" s="1" a="1"/>
  <c r="R204" i="11" s="1"/>
  <c r="S204" i="11" s="1"/>
  <c r="N204" i="11"/>
  <c r="P204" i="11" s="1"/>
  <c r="M204" i="11"/>
  <c r="C204" i="11"/>
  <c r="BB203" i="11"/>
  <c r="AF203" i="11"/>
  <c r="Z203" i="11"/>
  <c r="T203" i="11"/>
  <c r="Q203" i="11"/>
  <c r="N203" i="11"/>
  <c r="P203" i="11" s="1"/>
  <c r="M203" i="11"/>
  <c r="E203" i="11"/>
  <c r="AF202" i="11"/>
  <c r="Z202" i="11"/>
  <c r="R202" i="11" a="1"/>
  <c r="R202" i="11" s="1"/>
  <c r="S202" i="11" s="1"/>
  <c r="P202" i="11"/>
  <c r="I202" i="11"/>
  <c r="J202" i="11" s="1"/>
  <c r="H202" i="11"/>
  <c r="G202" i="11"/>
  <c r="F202" i="11"/>
  <c r="AF201" i="11"/>
  <c r="Z201" i="11"/>
  <c r="R201" i="11" a="1"/>
  <c r="R201" i="11" s="1"/>
  <c r="S201" i="11" s="1"/>
  <c r="P201" i="11"/>
  <c r="J201" i="11"/>
  <c r="H201" i="11"/>
  <c r="G201" i="11"/>
  <c r="F201" i="11"/>
  <c r="AF200" i="11"/>
  <c r="Z200" i="11"/>
  <c r="R200" i="11" a="1"/>
  <c r="R200" i="11" s="1"/>
  <c r="S200" i="11" s="1"/>
  <c r="P200" i="11"/>
  <c r="I200" i="11"/>
  <c r="J200" i="11" s="1"/>
  <c r="H200" i="11"/>
  <c r="G200" i="11"/>
  <c r="F200" i="11"/>
  <c r="AF199" i="11"/>
  <c r="Z199" i="11"/>
  <c r="R199" i="11" a="1"/>
  <c r="R199" i="11" s="1"/>
  <c r="S199" i="11" s="1"/>
  <c r="P199" i="11"/>
  <c r="I199" i="11"/>
  <c r="J199" i="11" s="1"/>
  <c r="H199" i="11"/>
  <c r="G199" i="11"/>
  <c r="F199" i="11"/>
  <c r="AF198" i="11"/>
  <c r="Z198" i="11"/>
  <c r="R198" i="11" a="1"/>
  <c r="R198" i="11" s="1"/>
  <c r="S198" i="11" s="1"/>
  <c r="P198" i="11"/>
  <c r="I198" i="11"/>
  <c r="J198" i="11" s="1"/>
  <c r="H198" i="11"/>
  <c r="G198" i="11"/>
  <c r="F198" i="11"/>
  <c r="AI197" i="11" a="1"/>
  <c r="AI197" i="11" s="1"/>
  <c r="AF197" i="11"/>
  <c r="Z197" i="11"/>
  <c r="R197" i="11" a="1"/>
  <c r="R197" i="11" s="1"/>
  <c r="S197" i="11" s="1"/>
  <c r="P197" i="11"/>
  <c r="I197" i="11"/>
  <c r="J197" i="11" s="1"/>
  <c r="H197" i="11"/>
  <c r="G197" i="11"/>
  <c r="F197" i="11"/>
  <c r="AF196" i="11"/>
  <c r="Z196" i="11"/>
  <c r="R196" i="11" a="1"/>
  <c r="R196" i="11" s="1"/>
  <c r="S196" i="11" s="1"/>
  <c r="P196" i="11"/>
  <c r="I196" i="11"/>
  <c r="J196" i="11" s="1"/>
  <c r="H196" i="11"/>
  <c r="G196" i="11"/>
  <c r="F196" i="11"/>
  <c r="AF195" i="11"/>
  <c r="Z195" i="11"/>
  <c r="R195" i="11" a="1"/>
  <c r="R195" i="11" s="1"/>
  <c r="S195" i="11" s="1"/>
  <c r="P195" i="11"/>
  <c r="I195" i="11"/>
  <c r="J195" i="11" s="1"/>
  <c r="H195" i="11"/>
  <c r="G195" i="11"/>
  <c r="F195" i="11"/>
  <c r="AF194" i="11"/>
  <c r="Z194" i="11"/>
  <c r="R194" i="11" a="1"/>
  <c r="R194" i="11" s="1"/>
  <c r="S194" i="11" s="1"/>
  <c r="P194" i="11"/>
  <c r="BB193" i="11"/>
  <c r="AF193" i="11"/>
  <c r="Z193" i="11"/>
  <c r="T193" i="11"/>
  <c r="Q193" i="11"/>
  <c r="R193" i="11" s="1" a="1"/>
  <c r="R193" i="11" s="1"/>
  <c r="S193" i="11" s="1"/>
  <c r="N193" i="11"/>
  <c r="P193" i="11" s="1"/>
  <c r="M193" i="11"/>
  <c r="D193" i="11"/>
  <c r="C193" i="11"/>
  <c r="BB192" i="11"/>
  <c r="AI192" i="11" a="1"/>
  <c r="AI192" i="11" s="1"/>
  <c r="AF192" i="11"/>
  <c r="Z192" i="11"/>
  <c r="T192" i="11"/>
  <c r="Q192" i="11"/>
  <c r="R192" i="11" s="1" a="1"/>
  <c r="R192" i="11" s="1"/>
  <c r="S192" i="11" s="1"/>
  <c r="N192" i="11"/>
  <c r="P192" i="11" s="1"/>
  <c r="M192" i="11"/>
  <c r="E192" i="11"/>
  <c r="D192" i="11"/>
  <c r="AF191" i="11"/>
  <c r="Z191" i="11"/>
  <c r="R191" i="11" a="1"/>
  <c r="R191" i="11" s="1"/>
  <c r="S191" i="11" s="1"/>
  <c r="P191" i="11"/>
  <c r="J191" i="11"/>
  <c r="H191" i="11"/>
  <c r="G191" i="11"/>
  <c r="F191" i="11"/>
  <c r="AF190" i="11"/>
  <c r="Z190" i="11"/>
  <c r="R190" i="11" a="1"/>
  <c r="R190" i="11" s="1"/>
  <c r="S190" i="11" s="1"/>
  <c r="P190" i="11"/>
  <c r="I190" i="11"/>
  <c r="J190" i="11" s="1"/>
  <c r="H190" i="11"/>
  <c r="G190" i="11"/>
  <c r="F190" i="11"/>
  <c r="AF189" i="11"/>
  <c r="Z189" i="11"/>
  <c r="R189" i="11" a="1"/>
  <c r="R189" i="11" s="1"/>
  <c r="S189" i="11" s="1"/>
  <c r="P189" i="11"/>
  <c r="I189" i="11"/>
  <c r="J189" i="11" s="1"/>
  <c r="H189" i="11"/>
  <c r="G189" i="11"/>
  <c r="F189" i="11"/>
  <c r="AF188" i="11"/>
  <c r="Z188" i="11"/>
  <c r="R188" i="11" a="1"/>
  <c r="R188" i="11" s="1"/>
  <c r="S188" i="11" s="1"/>
  <c r="P188" i="11"/>
  <c r="I188" i="11"/>
  <c r="J188" i="11" s="1"/>
  <c r="H188" i="11"/>
  <c r="G188" i="11"/>
  <c r="F188" i="11"/>
  <c r="AF187" i="11"/>
  <c r="Z187" i="11"/>
  <c r="R187" i="11" a="1"/>
  <c r="R187" i="11" s="1"/>
  <c r="S187" i="11" s="1"/>
  <c r="P187" i="11"/>
  <c r="I187" i="11"/>
  <c r="J187" i="11" s="1"/>
  <c r="H187" i="11"/>
  <c r="G187" i="11"/>
  <c r="F187" i="11"/>
  <c r="AF186" i="11"/>
  <c r="Z186" i="11"/>
  <c r="R186" i="11" a="1"/>
  <c r="R186" i="11" s="1"/>
  <c r="S186" i="11" s="1"/>
  <c r="P186" i="11"/>
  <c r="I186" i="11"/>
  <c r="J186" i="11" s="1"/>
  <c r="H186" i="11"/>
  <c r="G186" i="11"/>
  <c r="F186" i="11"/>
  <c r="AF185" i="11"/>
  <c r="Z185" i="11"/>
  <c r="R185" i="11" a="1"/>
  <c r="R185" i="11" s="1"/>
  <c r="S185" i="11" s="1"/>
  <c r="P185" i="11"/>
  <c r="I185" i="11"/>
  <c r="J185" i="11" s="1"/>
  <c r="H185" i="11"/>
  <c r="G185" i="11"/>
  <c r="F185" i="11"/>
  <c r="AF184" i="11"/>
  <c r="Z184" i="11"/>
  <c r="R184" i="11" a="1"/>
  <c r="R184" i="11" s="1"/>
  <c r="S184" i="11" s="1"/>
  <c r="P184" i="11"/>
  <c r="I184" i="11"/>
  <c r="J184" i="11" s="1"/>
  <c r="H184" i="11"/>
  <c r="G184" i="11"/>
  <c r="F184" i="11"/>
  <c r="AF183" i="11"/>
  <c r="Z183" i="11"/>
  <c r="R183" i="11" a="1"/>
  <c r="R183" i="11" s="1"/>
  <c r="S183" i="11" s="1"/>
  <c r="P183" i="11"/>
  <c r="AF182" i="11"/>
  <c r="Z182" i="11"/>
  <c r="R182" i="11" a="1"/>
  <c r="R182" i="11" s="1"/>
  <c r="S182" i="11" s="1"/>
  <c r="P182" i="11"/>
  <c r="I182" i="11"/>
  <c r="J182" i="11" s="1"/>
  <c r="H182" i="11"/>
  <c r="G182" i="11"/>
  <c r="F182" i="11"/>
  <c r="AF181" i="11"/>
  <c r="Z181" i="11"/>
  <c r="R181" i="11" a="1"/>
  <c r="R181" i="11" s="1"/>
  <c r="S181" i="11" s="1"/>
  <c r="P181" i="11"/>
  <c r="I181" i="11"/>
  <c r="J181" i="11" s="1"/>
  <c r="H181" i="11"/>
  <c r="G181" i="11"/>
  <c r="F181" i="11"/>
  <c r="AF180" i="11"/>
  <c r="Z180" i="11"/>
  <c r="R180" i="11" a="1"/>
  <c r="R180" i="11" s="1"/>
  <c r="S180" i="11" s="1"/>
  <c r="P180" i="11"/>
  <c r="I180" i="11"/>
  <c r="J180" i="11" s="1"/>
  <c r="H180" i="11"/>
  <c r="G180" i="11"/>
  <c r="F180" i="11"/>
  <c r="AF179" i="11"/>
  <c r="Z179" i="11"/>
  <c r="R179" i="11" a="1"/>
  <c r="R179" i="11" s="1"/>
  <c r="S179" i="11" s="1"/>
  <c r="P179" i="11"/>
  <c r="I179" i="11"/>
  <c r="J179" i="11" s="1"/>
  <c r="H179" i="11"/>
  <c r="G179" i="11"/>
  <c r="F179" i="11"/>
  <c r="AF178" i="11"/>
  <c r="Z178" i="11"/>
  <c r="R178" i="11" a="1"/>
  <c r="R178" i="11" s="1"/>
  <c r="S178" i="11" s="1"/>
  <c r="P178" i="11"/>
  <c r="I178" i="11"/>
  <c r="J178" i="11" s="1"/>
  <c r="H178" i="11"/>
  <c r="G178" i="11"/>
  <c r="F178" i="11"/>
  <c r="AF177" i="11"/>
  <c r="Z177" i="11"/>
  <c r="R177" i="11" a="1"/>
  <c r="R177" i="11" s="1"/>
  <c r="S177" i="11" s="1"/>
  <c r="P177" i="11"/>
  <c r="I177" i="11"/>
  <c r="J177" i="11" s="1"/>
  <c r="H177" i="11"/>
  <c r="G177" i="11"/>
  <c r="F177" i="11"/>
  <c r="AF176" i="11"/>
  <c r="Z176" i="11"/>
  <c r="R176" i="11" a="1"/>
  <c r="R176" i="11" s="1"/>
  <c r="S176" i="11" s="1"/>
  <c r="P176" i="11"/>
  <c r="I176" i="11"/>
  <c r="J176" i="11" s="1"/>
  <c r="H176" i="11"/>
  <c r="G176" i="11"/>
  <c r="F176" i="11"/>
  <c r="AF175" i="11"/>
  <c r="Z175" i="11"/>
  <c r="R175" i="11" a="1"/>
  <c r="R175" i="11" s="1"/>
  <c r="S175" i="11" s="1"/>
  <c r="P175" i="11"/>
  <c r="I175" i="11"/>
  <c r="J175" i="11" s="1"/>
  <c r="H175" i="11"/>
  <c r="G175" i="11"/>
  <c r="F175" i="11"/>
  <c r="AF174" i="11"/>
  <c r="Z174" i="11"/>
  <c r="R174" i="11" a="1"/>
  <c r="R174" i="11" s="1"/>
  <c r="S174" i="11" s="1"/>
  <c r="P174" i="11"/>
  <c r="I174" i="11"/>
  <c r="J174" i="11" s="1"/>
  <c r="H174" i="11"/>
  <c r="G174" i="11"/>
  <c r="F174" i="11"/>
  <c r="AF173" i="11"/>
  <c r="Z173" i="11"/>
  <c r="R173" i="11" a="1"/>
  <c r="R173" i="11" s="1"/>
  <c r="S173" i="11" s="1"/>
  <c r="P173" i="11"/>
  <c r="I173" i="11"/>
  <c r="J173" i="11" s="1"/>
  <c r="H173" i="11"/>
  <c r="G173" i="11"/>
  <c r="F173" i="11"/>
  <c r="AF172" i="11"/>
  <c r="Z172" i="11"/>
  <c r="R172" i="11" a="1"/>
  <c r="R172" i="11" s="1"/>
  <c r="S172" i="11" s="1"/>
  <c r="P172" i="11"/>
  <c r="I172" i="11"/>
  <c r="J172" i="11" s="1"/>
  <c r="H172" i="11"/>
  <c r="G172" i="11"/>
  <c r="F172" i="11"/>
  <c r="BB171" i="11"/>
  <c r="AF171" i="11"/>
  <c r="Z171" i="11"/>
  <c r="T171" i="11"/>
  <c r="Q171" i="11"/>
  <c r="R171" i="11" s="1" a="1"/>
  <c r="R171" i="11" s="1"/>
  <c r="S171" i="11" s="1"/>
  <c r="N171" i="11"/>
  <c r="P171" i="11" s="1"/>
  <c r="M171" i="11"/>
  <c r="E171" i="11"/>
  <c r="D171" i="11"/>
  <c r="C171" i="11"/>
  <c r="AF170" i="11"/>
  <c r="Z170" i="11"/>
  <c r="R170" i="11" a="1"/>
  <c r="R170" i="11" s="1"/>
  <c r="S170" i="11" s="1"/>
  <c r="P170" i="11"/>
  <c r="I170" i="11"/>
  <c r="J170" i="11" s="1"/>
  <c r="H170" i="11"/>
  <c r="G170" i="11"/>
  <c r="F170" i="11"/>
  <c r="AF169" i="11"/>
  <c r="Z169" i="11"/>
  <c r="R169" i="11" a="1"/>
  <c r="R169" i="11" s="1"/>
  <c r="S169" i="11" s="1"/>
  <c r="P169" i="11"/>
  <c r="I169" i="11"/>
  <c r="J169" i="11" s="1"/>
  <c r="H169" i="11"/>
  <c r="G169" i="11"/>
  <c r="F169" i="11"/>
  <c r="AF168" i="11"/>
  <c r="Z168" i="11"/>
  <c r="R168" i="11" a="1"/>
  <c r="R168" i="11" s="1"/>
  <c r="S168" i="11" s="1"/>
  <c r="P168" i="11"/>
  <c r="I168" i="11"/>
  <c r="J168" i="11" s="1"/>
  <c r="H168" i="11"/>
  <c r="G168" i="11"/>
  <c r="F168" i="11"/>
  <c r="AF167" i="11"/>
  <c r="Z167" i="11"/>
  <c r="R167" i="11" a="1"/>
  <c r="R167" i="11" s="1"/>
  <c r="S167" i="11" s="1"/>
  <c r="P167" i="11"/>
  <c r="I167" i="11"/>
  <c r="J167" i="11" s="1"/>
  <c r="H167" i="11"/>
  <c r="G167" i="11"/>
  <c r="F167" i="11"/>
  <c r="AF166" i="11"/>
  <c r="Z166" i="11"/>
  <c r="R166" i="11" a="1"/>
  <c r="R166" i="11" s="1"/>
  <c r="S166" i="11" s="1"/>
  <c r="P166" i="11"/>
  <c r="I166" i="11"/>
  <c r="J166" i="11" s="1"/>
  <c r="H166" i="11"/>
  <c r="G166" i="11"/>
  <c r="F166" i="11"/>
  <c r="AF165" i="11"/>
  <c r="Z165" i="11"/>
  <c r="R165" i="11" a="1"/>
  <c r="R165" i="11" s="1"/>
  <c r="S165" i="11" s="1"/>
  <c r="P165" i="11"/>
  <c r="I165" i="11"/>
  <c r="J165" i="11" s="1"/>
  <c r="H165" i="11"/>
  <c r="G165" i="11"/>
  <c r="F165" i="11"/>
  <c r="AF164" i="11"/>
  <c r="Z164" i="11"/>
  <c r="R164" i="11" a="1"/>
  <c r="R164" i="11" s="1"/>
  <c r="S164" i="11" s="1"/>
  <c r="P164" i="11"/>
  <c r="I164" i="11"/>
  <c r="J164" i="11" s="1"/>
  <c r="H164" i="11"/>
  <c r="G164" i="11"/>
  <c r="F164" i="11"/>
  <c r="AF163" i="11"/>
  <c r="Z163" i="11"/>
  <c r="R163" i="11" a="1"/>
  <c r="R163" i="11" s="1"/>
  <c r="S163" i="11" s="1"/>
  <c r="P163" i="11"/>
  <c r="I163" i="11"/>
  <c r="J163" i="11" s="1"/>
  <c r="H163" i="11"/>
  <c r="G163" i="11"/>
  <c r="F163" i="11"/>
  <c r="AF162" i="11"/>
  <c r="Z162" i="11"/>
  <c r="R162" i="11" a="1"/>
  <c r="R162" i="11" s="1"/>
  <c r="S162" i="11" s="1"/>
  <c r="P162" i="11"/>
  <c r="AF161" i="11"/>
  <c r="Z161" i="11"/>
  <c r="R161" i="11" a="1"/>
  <c r="R161" i="11" s="1"/>
  <c r="S161" i="11" s="1"/>
  <c r="P161" i="11"/>
  <c r="I161" i="11"/>
  <c r="J161" i="11" s="1"/>
  <c r="H161" i="11"/>
  <c r="G161" i="11"/>
  <c r="F161" i="11"/>
  <c r="AF160" i="11"/>
  <c r="Z160" i="11"/>
  <c r="R160" i="11" a="1"/>
  <c r="R160" i="11" s="1"/>
  <c r="S160" i="11" s="1"/>
  <c r="P160" i="11"/>
  <c r="I160" i="11"/>
  <c r="J160" i="11" s="1"/>
  <c r="H160" i="11"/>
  <c r="G160" i="11"/>
  <c r="F160" i="11"/>
  <c r="AF159" i="11"/>
  <c r="Z159" i="11"/>
  <c r="R159" i="11" a="1"/>
  <c r="R159" i="11" s="1"/>
  <c r="S159" i="11" s="1"/>
  <c r="P159" i="11"/>
  <c r="I159" i="11"/>
  <c r="J159" i="11" s="1"/>
  <c r="H159" i="11"/>
  <c r="G159" i="11"/>
  <c r="F159" i="11"/>
  <c r="AF158" i="11"/>
  <c r="Z158" i="11"/>
  <c r="R158" i="11" a="1"/>
  <c r="R158" i="11" s="1"/>
  <c r="S158" i="11" s="1"/>
  <c r="P158" i="11"/>
  <c r="I158" i="11"/>
  <c r="J158" i="11" s="1"/>
  <c r="H158" i="11"/>
  <c r="G158" i="11"/>
  <c r="F158" i="11"/>
  <c r="AF157" i="11"/>
  <c r="Z157" i="11"/>
  <c r="R157" i="11" a="1"/>
  <c r="R157" i="11" s="1"/>
  <c r="S157" i="11" s="1"/>
  <c r="P157" i="11"/>
  <c r="I157" i="11"/>
  <c r="J157" i="11" s="1"/>
  <c r="H157" i="11"/>
  <c r="G157" i="11"/>
  <c r="F157" i="11"/>
  <c r="BB156" i="11"/>
  <c r="AF156" i="11"/>
  <c r="Z156" i="11"/>
  <c r="T156" i="11"/>
  <c r="Q156" i="11"/>
  <c r="R156" i="11" s="1" a="1"/>
  <c r="R156" i="11" s="1"/>
  <c r="S156" i="11" s="1"/>
  <c r="N156" i="11"/>
  <c r="P156" i="11" s="1"/>
  <c r="M156" i="11"/>
  <c r="E156" i="11"/>
  <c r="D156" i="11"/>
  <c r="C156" i="11"/>
  <c r="BB155" i="11"/>
  <c r="AF155" i="11"/>
  <c r="Z155" i="11"/>
  <c r="T155" i="11"/>
  <c r="Q155" i="11"/>
  <c r="R155" i="11" s="1" a="1"/>
  <c r="R155" i="11" s="1"/>
  <c r="S155" i="11" s="1"/>
  <c r="N155" i="11"/>
  <c r="P155" i="11" s="1"/>
  <c r="M155" i="11"/>
  <c r="E155" i="11"/>
  <c r="D155" i="11"/>
  <c r="C155" i="11"/>
  <c r="AF154" i="11"/>
  <c r="Z154" i="11"/>
  <c r="R154" i="11" a="1"/>
  <c r="R154" i="11" s="1"/>
  <c r="S154" i="11" s="1"/>
  <c r="P154" i="11"/>
  <c r="I154" i="11"/>
  <c r="J154" i="11" s="1"/>
  <c r="H154" i="11"/>
  <c r="G154" i="11"/>
  <c r="F154" i="11"/>
  <c r="AF153" i="11"/>
  <c r="Z153" i="11"/>
  <c r="R153" i="11" a="1"/>
  <c r="R153" i="11" s="1"/>
  <c r="S153" i="11" s="1"/>
  <c r="P153" i="11"/>
  <c r="I153" i="11"/>
  <c r="J153" i="11" s="1"/>
  <c r="H153" i="11"/>
  <c r="G153" i="11"/>
  <c r="F153" i="11"/>
  <c r="AI152" i="11" a="1"/>
  <c r="AI152" i="11" s="1"/>
  <c r="AF152" i="11"/>
  <c r="Z152" i="11"/>
  <c r="R152" i="11" a="1"/>
  <c r="R152" i="11" s="1"/>
  <c r="S152" i="11" s="1"/>
  <c r="P152" i="11"/>
  <c r="I152" i="11"/>
  <c r="J152" i="11" s="1"/>
  <c r="H152" i="11"/>
  <c r="G152" i="11"/>
  <c r="F152" i="11"/>
  <c r="BB151" i="11"/>
  <c r="AF151" i="11"/>
  <c r="Z151" i="11"/>
  <c r="T151" i="11"/>
  <c r="Q151" i="11"/>
  <c r="R151" i="11" s="1" a="1"/>
  <c r="R151" i="11" s="1"/>
  <c r="S151" i="11" s="1"/>
  <c r="N151" i="11"/>
  <c r="P151" i="11" s="1"/>
  <c r="M151" i="11"/>
  <c r="E151" i="11"/>
  <c r="D151" i="11"/>
  <c r="BB150" i="11"/>
  <c r="AF150" i="11"/>
  <c r="Z150" i="11"/>
  <c r="T150" i="11"/>
  <c r="Q150" i="11"/>
  <c r="R150" i="11" s="1" a="1"/>
  <c r="R150" i="11" s="1"/>
  <c r="S150" i="11" s="1"/>
  <c r="N150" i="11"/>
  <c r="P150" i="11" s="1"/>
  <c r="M150" i="11"/>
  <c r="E150" i="11"/>
  <c r="D150" i="11"/>
  <c r="AF149" i="11"/>
  <c r="Z149" i="11"/>
  <c r="R149" i="11" a="1"/>
  <c r="R149" i="11" s="1"/>
  <c r="S149" i="11" s="1"/>
  <c r="P149" i="11"/>
  <c r="I149" i="11"/>
  <c r="J149" i="11" s="1"/>
  <c r="H149" i="11"/>
  <c r="G149" i="11"/>
  <c r="F149" i="11"/>
  <c r="AF148" i="11"/>
  <c r="Z148" i="11"/>
  <c r="R148" i="11" a="1"/>
  <c r="R148" i="11" s="1"/>
  <c r="S148" i="11" s="1"/>
  <c r="P148" i="11"/>
  <c r="I148" i="11"/>
  <c r="H148" i="11"/>
  <c r="AF147" i="11"/>
  <c r="Z147" i="11"/>
  <c r="R147" i="11" a="1"/>
  <c r="R147" i="11" s="1"/>
  <c r="S147" i="11" s="1"/>
  <c r="P147" i="11"/>
  <c r="I147" i="11"/>
  <c r="J147" i="11" s="1"/>
  <c r="H147" i="11"/>
  <c r="G147" i="11"/>
  <c r="F147" i="11"/>
  <c r="AF146" i="11"/>
  <c r="Z146" i="11"/>
  <c r="R146" i="11" a="1"/>
  <c r="R146" i="11" s="1"/>
  <c r="S146" i="11" s="1"/>
  <c r="P146" i="11"/>
  <c r="I146" i="11"/>
  <c r="J146" i="11" s="1"/>
  <c r="H146" i="11"/>
  <c r="G146" i="11"/>
  <c r="F146" i="11"/>
  <c r="AF145" i="11"/>
  <c r="Z145" i="11"/>
  <c r="R145" i="11" a="1"/>
  <c r="R145" i="11" s="1"/>
  <c r="S145" i="11" s="1"/>
  <c r="P145" i="11"/>
  <c r="I145" i="11"/>
  <c r="J145" i="11" s="1"/>
  <c r="H145" i="11"/>
  <c r="G145" i="11"/>
  <c r="F145" i="11"/>
  <c r="AI144" i="11" a="1"/>
  <c r="AI144" i="11" s="1"/>
  <c r="AF144" i="11"/>
  <c r="Z144" i="11"/>
  <c r="R144" i="11" a="1"/>
  <c r="R144" i="11" s="1"/>
  <c r="S144" i="11" s="1"/>
  <c r="P144" i="11"/>
  <c r="I144" i="11"/>
  <c r="J144" i="11" s="1"/>
  <c r="H144" i="11"/>
  <c r="G144" i="11"/>
  <c r="F144" i="11"/>
  <c r="AF143" i="11"/>
  <c r="Z143" i="11"/>
  <c r="R143" i="11" a="1"/>
  <c r="R143" i="11" s="1"/>
  <c r="S143" i="11" s="1"/>
  <c r="P143" i="11"/>
  <c r="I143" i="11"/>
  <c r="H143" i="11"/>
  <c r="AF142" i="11"/>
  <c r="Z142" i="11"/>
  <c r="R142" i="11" a="1"/>
  <c r="R142" i="11" s="1"/>
  <c r="S142" i="11" s="1"/>
  <c r="P142" i="11"/>
  <c r="I142" i="11"/>
  <c r="J142" i="11" s="1"/>
  <c r="H142" i="11"/>
  <c r="G142" i="11"/>
  <c r="F142" i="11"/>
  <c r="AI141" i="11" a="1"/>
  <c r="AI141" i="11" s="1"/>
  <c r="AF141" i="11"/>
  <c r="Z141" i="11"/>
  <c r="R141" i="11" a="1"/>
  <c r="R141" i="11" s="1"/>
  <c r="S141" i="11" s="1"/>
  <c r="P141" i="11"/>
  <c r="I141" i="11"/>
  <c r="J141" i="11" s="1"/>
  <c r="H141" i="11"/>
  <c r="G141" i="11"/>
  <c r="F141" i="11"/>
  <c r="AF140" i="11"/>
  <c r="Z140" i="11"/>
  <c r="R140" i="11" a="1"/>
  <c r="R140" i="11" s="1"/>
  <c r="S140" i="11" s="1"/>
  <c r="P140" i="11"/>
  <c r="AF139" i="11"/>
  <c r="Z139" i="11"/>
  <c r="R139" i="11" a="1"/>
  <c r="R139" i="11" s="1"/>
  <c r="S139" i="11" s="1"/>
  <c r="P139" i="11"/>
  <c r="I139" i="11"/>
  <c r="J139" i="11" s="1"/>
  <c r="H139" i="11"/>
  <c r="G139" i="11"/>
  <c r="F139" i="11"/>
  <c r="AF138" i="11"/>
  <c r="Z138" i="11"/>
  <c r="R138" i="11" a="1"/>
  <c r="R138" i="11" s="1"/>
  <c r="S138" i="11" s="1"/>
  <c r="P138" i="11"/>
  <c r="I138" i="11"/>
  <c r="J138" i="11" s="1"/>
  <c r="H138" i="11"/>
  <c r="G138" i="11"/>
  <c r="F138" i="11"/>
  <c r="AF137" i="11"/>
  <c r="Z137" i="11"/>
  <c r="R137" i="11" a="1"/>
  <c r="R137" i="11" s="1"/>
  <c r="S137" i="11" s="1"/>
  <c r="P137" i="11"/>
  <c r="I137" i="11"/>
  <c r="J137" i="11" s="1"/>
  <c r="H137" i="11"/>
  <c r="G137" i="11"/>
  <c r="F137" i="11"/>
  <c r="AF136" i="11"/>
  <c r="Z136" i="11"/>
  <c r="R136" i="11" a="1"/>
  <c r="R136" i="11" s="1"/>
  <c r="S136" i="11" s="1"/>
  <c r="P136" i="11"/>
  <c r="AF135" i="11"/>
  <c r="Z135" i="11"/>
  <c r="R135" i="11" a="1"/>
  <c r="R135" i="11" s="1"/>
  <c r="S135" i="11" s="1"/>
  <c r="P135" i="11"/>
  <c r="I135" i="11"/>
  <c r="J135" i="11" s="1"/>
  <c r="H135" i="11"/>
  <c r="G135" i="11"/>
  <c r="F135" i="11"/>
  <c r="AF134" i="11"/>
  <c r="Z134" i="11"/>
  <c r="R134" i="11" a="1"/>
  <c r="R134" i="11" s="1"/>
  <c r="S134" i="11" s="1"/>
  <c r="P134" i="11"/>
  <c r="I134" i="11"/>
  <c r="J134" i="11" s="1"/>
  <c r="H134" i="11"/>
  <c r="G134" i="11"/>
  <c r="F134" i="11"/>
  <c r="AF133" i="11"/>
  <c r="Z133" i="11"/>
  <c r="R133" i="11" a="1"/>
  <c r="R133" i="11" s="1"/>
  <c r="S133" i="11" s="1"/>
  <c r="P133" i="11"/>
  <c r="I133" i="11"/>
  <c r="J133" i="11" s="1"/>
  <c r="H133" i="11"/>
  <c r="G133" i="11"/>
  <c r="F133" i="11"/>
  <c r="AI132" i="11" a="1"/>
  <c r="AI132" i="11" s="1"/>
  <c r="AF132" i="11"/>
  <c r="Z132" i="11"/>
  <c r="R132" i="11" a="1"/>
  <c r="R132" i="11" s="1"/>
  <c r="S132" i="11" s="1"/>
  <c r="P132" i="11"/>
  <c r="I132" i="11"/>
  <c r="J132" i="11" s="1"/>
  <c r="H132" i="11"/>
  <c r="G132" i="11"/>
  <c r="F132" i="11"/>
  <c r="AF131" i="11"/>
  <c r="Z131" i="11"/>
  <c r="R131" i="11" a="1"/>
  <c r="R131" i="11" s="1"/>
  <c r="S131" i="11" s="1"/>
  <c r="P131" i="11"/>
  <c r="I131" i="11"/>
  <c r="J131" i="11" s="1"/>
  <c r="H131" i="11"/>
  <c r="G131" i="11"/>
  <c r="F131" i="11"/>
  <c r="AF130" i="11"/>
  <c r="Z130" i="11"/>
  <c r="R130" i="11" a="1"/>
  <c r="R130" i="11" s="1"/>
  <c r="S130" i="11" s="1"/>
  <c r="P130" i="11"/>
  <c r="J130" i="11"/>
  <c r="H130" i="11"/>
  <c r="G130" i="11"/>
  <c r="F130" i="11"/>
  <c r="AF129" i="11"/>
  <c r="Z129" i="11"/>
  <c r="R129" i="11" a="1"/>
  <c r="R129" i="11" s="1"/>
  <c r="S129" i="11" s="1"/>
  <c r="P129" i="11"/>
  <c r="I129" i="11"/>
  <c r="J129" i="11" s="1"/>
  <c r="H129" i="11"/>
  <c r="G129" i="11"/>
  <c r="F129" i="11"/>
  <c r="AF128" i="11"/>
  <c r="Z128" i="11"/>
  <c r="R128" i="11" a="1"/>
  <c r="R128" i="11" s="1"/>
  <c r="S128" i="11" s="1"/>
  <c r="P128" i="11"/>
  <c r="I128" i="11"/>
  <c r="J128" i="11" s="1"/>
  <c r="H128" i="11"/>
  <c r="G128" i="11"/>
  <c r="F128" i="11"/>
  <c r="AF127" i="11"/>
  <c r="Z127" i="11"/>
  <c r="R127" i="11" a="1"/>
  <c r="R127" i="11" s="1"/>
  <c r="S127" i="11" s="1"/>
  <c r="P127" i="11"/>
  <c r="I127" i="11"/>
  <c r="J127" i="11" s="1"/>
  <c r="H127" i="11"/>
  <c r="G127" i="11"/>
  <c r="F127" i="11"/>
  <c r="AF126" i="11"/>
  <c r="Z126" i="11"/>
  <c r="R126" i="11" a="1"/>
  <c r="R126" i="11" s="1"/>
  <c r="S126" i="11" s="1"/>
  <c r="P126" i="11"/>
  <c r="I126" i="11"/>
  <c r="J126" i="11" s="1"/>
  <c r="H126" i="11"/>
  <c r="G126" i="11"/>
  <c r="F126" i="11"/>
  <c r="BB125" i="11"/>
  <c r="AF125" i="11"/>
  <c r="Z125" i="11"/>
  <c r="T125" i="11"/>
  <c r="Q125" i="11"/>
  <c r="R125" i="11" s="1" a="1"/>
  <c r="R125" i="11" s="1"/>
  <c r="S125" i="11" s="1"/>
  <c r="N125" i="11"/>
  <c r="P125" i="11" s="1"/>
  <c r="M125" i="11"/>
  <c r="D125" i="11"/>
  <c r="C125" i="11"/>
  <c r="BB124" i="11"/>
  <c r="AF124" i="11"/>
  <c r="Z124" i="11"/>
  <c r="T124" i="11"/>
  <c r="Q124" i="11"/>
  <c r="N124" i="11"/>
  <c r="P124" i="11" s="1"/>
  <c r="M124" i="11"/>
  <c r="E124" i="11"/>
  <c r="D124" i="11"/>
  <c r="AF123" i="11"/>
  <c r="Z123" i="11"/>
  <c r="R123" i="11" a="1"/>
  <c r="R123" i="11" s="1"/>
  <c r="S123" i="11" s="1"/>
  <c r="P123" i="11"/>
  <c r="I123" i="11"/>
  <c r="J123" i="11" s="1"/>
  <c r="H123" i="11"/>
  <c r="G123" i="11"/>
  <c r="F123" i="11"/>
  <c r="AF122" i="11"/>
  <c r="Z122" i="11"/>
  <c r="R122" i="11" a="1"/>
  <c r="R122" i="11" s="1"/>
  <c r="S122" i="11" s="1"/>
  <c r="P122" i="11"/>
  <c r="I122" i="11"/>
  <c r="J122" i="11" s="1"/>
  <c r="H122" i="11"/>
  <c r="G122" i="11"/>
  <c r="F122" i="11"/>
  <c r="AF121" i="11"/>
  <c r="Z121" i="11"/>
  <c r="R121" i="11" a="1"/>
  <c r="R121" i="11" s="1"/>
  <c r="S121" i="11" s="1"/>
  <c r="P121" i="11"/>
  <c r="I121" i="11"/>
  <c r="J121" i="11" s="1"/>
  <c r="H121" i="11"/>
  <c r="G121" i="11"/>
  <c r="F121" i="11"/>
  <c r="BB120" i="11"/>
  <c r="AF120" i="11"/>
  <c r="Z120" i="11"/>
  <c r="T120" i="11"/>
  <c r="Q120" i="11"/>
  <c r="R120" i="11" s="1" a="1"/>
  <c r="R120" i="11" s="1"/>
  <c r="S120" i="11" s="1"/>
  <c r="P120" i="11"/>
  <c r="M120" i="11"/>
  <c r="D120" i="11"/>
  <c r="C120" i="11"/>
  <c r="AF119" i="11"/>
  <c r="Z119" i="11"/>
  <c r="R119" i="11" a="1"/>
  <c r="R119" i="11" s="1"/>
  <c r="S119" i="11" s="1"/>
  <c r="P119" i="11"/>
  <c r="I119" i="11"/>
  <c r="J119" i="11" s="1"/>
  <c r="H119" i="11"/>
  <c r="G119" i="11"/>
  <c r="F119" i="11"/>
  <c r="AF118" i="11"/>
  <c r="Z118" i="11"/>
  <c r="R118" i="11" a="1"/>
  <c r="R118" i="11" s="1"/>
  <c r="S118" i="11" s="1"/>
  <c r="P118" i="11"/>
  <c r="I118" i="11"/>
  <c r="J118" i="11" s="1"/>
  <c r="H118" i="11"/>
  <c r="G118" i="11"/>
  <c r="F118" i="11"/>
  <c r="AF117" i="11"/>
  <c r="Z117" i="11"/>
  <c r="R117" i="11" a="1"/>
  <c r="R117" i="11" s="1"/>
  <c r="S117" i="11" s="1"/>
  <c r="P117" i="11"/>
  <c r="I117" i="11"/>
  <c r="J117" i="11" s="1"/>
  <c r="H117" i="11"/>
  <c r="G117" i="11"/>
  <c r="F117" i="11"/>
  <c r="AF116" i="11"/>
  <c r="Z116" i="11"/>
  <c r="R116" i="11" a="1"/>
  <c r="R116" i="11" s="1"/>
  <c r="S116" i="11" s="1"/>
  <c r="P116" i="11"/>
  <c r="I116" i="11"/>
  <c r="H116" i="11"/>
  <c r="AF115" i="11"/>
  <c r="Z115" i="11"/>
  <c r="R115" i="11" a="1"/>
  <c r="R115" i="11" s="1"/>
  <c r="S115" i="11" s="1"/>
  <c r="P115" i="11"/>
  <c r="I115" i="11"/>
  <c r="H115" i="11"/>
  <c r="AF114" i="11"/>
  <c r="Z114" i="11"/>
  <c r="R114" i="11" a="1"/>
  <c r="R114" i="11" s="1"/>
  <c r="S114" i="11" s="1"/>
  <c r="P114" i="11"/>
  <c r="I114" i="11"/>
  <c r="J114" i="11" s="1"/>
  <c r="H114" i="11"/>
  <c r="G114" i="11"/>
  <c r="F114" i="11"/>
  <c r="AF113" i="11"/>
  <c r="Z113" i="11"/>
  <c r="R113" i="11" a="1"/>
  <c r="R113" i="11" s="1"/>
  <c r="S113" i="11" s="1"/>
  <c r="P113" i="11"/>
  <c r="J113" i="11"/>
  <c r="H113" i="11"/>
  <c r="G113" i="11"/>
  <c r="F113" i="11"/>
  <c r="AF112" i="11"/>
  <c r="Z112" i="11"/>
  <c r="R112" i="11" a="1"/>
  <c r="R112" i="11" s="1"/>
  <c r="S112" i="11" s="1"/>
  <c r="P112" i="11"/>
  <c r="I112" i="11"/>
  <c r="J112" i="11" s="1"/>
  <c r="H112" i="11"/>
  <c r="G112" i="11"/>
  <c r="F112" i="11"/>
  <c r="BB111" i="11"/>
  <c r="AF111" i="11"/>
  <c r="Z111" i="11"/>
  <c r="T111" i="11"/>
  <c r="Q111" i="11"/>
  <c r="R111" i="11" s="1" a="1"/>
  <c r="R111" i="11" s="1"/>
  <c r="S111" i="11" s="1"/>
  <c r="N111" i="11"/>
  <c r="P111" i="11" s="1"/>
  <c r="M111" i="11"/>
  <c r="C111" i="11"/>
  <c r="BB110" i="11"/>
  <c r="AF110" i="11"/>
  <c r="Z110" i="11"/>
  <c r="T110" i="11"/>
  <c r="Q110" i="11"/>
  <c r="R110" i="11" s="1" a="1"/>
  <c r="R110" i="11" s="1"/>
  <c r="S110" i="11" s="1"/>
  <c r="N110" i="11"/>
  <c r="P110" i="11" s="1"/>
  <c r="M110" i="11"/>
  <c r="C110" i="11"/>
  <c r="AF109" i="11"/>
  <c r="Z109" i="11"/>
  <c r="R109" i="11" a="1"/>
  <c r="R109" i="11" s="1"/>
  <c r="S109" i="11" s="1"/>
  <c r="P109" i="11"/>
  <c r="I109" i="11"/>
  <c r="J109" i="11" s="1"/>
  <c r="H109" i="11"/>
  <c r="G109" i="11"/>
  <c r="F109" i="11"/>
  <c r="AF108" i="11"/>
  <c r="Z108" i="11"/>
  <c r="R108" i="11" a="1"/>
  <c r="R108" i="11" s="1"/>
  <c r="S108" i="11" s="1"/>
  <c r="P108" i="11"/>
  <c r="I108" i="11"/>
  <c r="J108" i="11" s="1"/>
  <c r="H108" i="11"/>
  <c r="G108" i="11"/>
  <c r="F108" i="11"/>
  <c r="AF107" i="11"/>
  <c r="Z107" i="11"/>
  <c r="R107" i="11" a="1"/>
  <c r="R107" i="11" s="1"/>
  <c r="S107" i="11" s="1"/>
  <c r="P107" i="11"/>
  <c r="AF106" i="11"/>
  <c r="Z106" i="11"/>
  <c r="R106" i="11" a="1"/>
  <c r="R106" i="11" s="1"/>
  <c r="S106" i="11" s="1"/>
  <c r="P106" i="11"/>
  <c r="I106" i="11"/>
  <c r="J106" i="11" s="1"/>
  <c r="H106" i="11"/>
  <c r="G106" i="11"/>
  <c r="F106" i="11"/>
  <c r="AF105" i="11"/>
  <c r="Z105" i="11"/>
  <c r="R105" i="11" a="1"/>
  <c r="R105" i="11" s="1"/>
  <c r="S105" i="11" s="1"/>
  <c r="P105" i="11"/>
  <c r="I105" i="11"/>
  <c r="J105" i="11" s="1"/>
  <c r="H105" i="11"/>
  <c r="G105" i="11"/>
  <c r="F105" i="11"/>
  <c r="AF104" i="11"/>
  <c r="Z104" i="11"/>
  <c r="R104" i="11" a="1"/>
  <c r="R104" i="11" s="1"/>
  <c r="S104" i="11" s="1"/>
  <c r="P104" i="11"/>
  <c r="I104" i="11"/>
  <c r="J104" i="11" s="1"/>
  <c r="H104" i="11"/>
  <c r="G104" i="11"/>
  <c r="F104" i="11"/>
  <c r="AI103" i="11" a="1"/>
  <c r="AI103" i="11" s="1"/>
  <c r="AF103" i="11"/>
  <c r="Z103" i="11"/>
  <c r="R103" i="11" a="1"/>
  <c r="R103" i="11" s="1"/>
  <c r="S103" i="11" s="1"/>
  <c r="P103" i="11"/>
  <c r="I103" i="11"/>
  <c r="J103" i="11" s="1"/>
  <c r="H103" i="11"/>
  <c r="G103" i="11"/>
  <c r="F103" i="11"/>
  <c r="BB102" i="11"/>
  <c r="AF102" i="11"/>
  <c r="Z102" i="11"/>
  <c r="T102" i="11"/>
  <c r="Q102" i="11"/>
  <c r="R102" i="11" s="1" a="1"/>
  <c r="R102" i="11" s="1"/>
  <c r="S102" i="11" s="1"/>
  <c r="N102" i="11"/>
  <c r="P102" i="11" s="1"/>
  <c r="M102" i="11"/>
  <c r="D102" i="11"/>
  <c r="C102" i="11"/>
  <c r="BB101" i="11"/>
  <c r="AF101" i="11"/>
  <c r="Z101" i="11"/>
  <c r="T101" i="11"/>
  <c r="Q101" i="11"/>
  <c r="R101" i="11" s="1" a="1"/>
  <c r="R101" i="11" s="1"/>
  <c r="S101" i="11" s="1"/>
  <c r="N101" i="11"/>
  <c r="P101" i="11" s="1"/>
  <c r="M101" i="11"/>
  <c r="E101" i="11"/>
  <c r="D101" i="11"/>
  <c r="AF100" i="11"/>
  <c r="Z100" i="11"/>
  <c r="R100" i="11" a="1"/>
  <c r="R100" i="11" s="1"/>
  <c r="S100" i="11" s="1"/>
  <c r="P100" i="11"/>
  <c r="I100" i="11"/>
  <c r="J100" i="11" s="1"/>
  <c r="H100" i="11"/>
  <c r="G100" i="11"/>
  <c r="F100" i="11"/>
  <c r="AF99" i="11"/>
  <c r="Z99" i="11"/>
  <c r="R99" i="11" a="1"/>
  <c r="R99" i="11" s="1"/>
  <c r="S99" i="11" s="1"/>
  <c r="P99" i="11"/>
  <c r="I99" i="11"/>
  <c r="J99" i="11" s="1"/>
  <c r="H99" i="11"/>
  <c r="G99" i="11"/>
  <c r="F99" i="11"/>
  <c r="AF98" i="11"/>
  <c r="Z98" i="11"/>
  <c r="R98" i="11" a="1"/>
  <c r="R98" i="11" s="1"/>
  <c r="S98" i="11" s="1"/>
  <c r="P98" i="11"/>
  <c r="I98" i="11"/>
  <c r="J98" i="11" s="1"/>
  <c r="H98" i="11"/>
  <c r="G98" i="11"/>
  <c r="F98" i="11"/>
  <c r="AF97" i="11"/>
  <c r="Z97" i="11"/>
  <c r="R97" i="11" a="1"/>
  <c r="R97" i="11" s="1"/>
  <c r="S97" i="11" s="1"/>
  <c r="P97" i="11"/>
  <c r="I97" i="11"/>
  <c r="J97" i="11" s="1"/>
  <c r="H97" i="11"/>
  <c r="G97" i="11"/>
  <c r="F97" i="11"/>
  <c r="AF96" i="11"/>
  <c r="Z96" i="11"/>
  <c r="R96" i="11" a="1"/>
  <c r="R96" i="11" s="1"/>
  <c r="S96" i="11" s="1"/>
  <c r="P96" i="11"/>
  <c r="I96" i="11"/>
  <c r="J96" i="11" s="1"/>
  <c r="H96" i="11"/>
  <c r="G96" i="11"/>
  <c r="F96" i="11"/>
  <c r="AF95" i="11"/>
  <c r="Z95" i="11"/>
  <c r="R95" i="11" a="1"/>
  <c r="R95" i="11" s="1"/>
  <c r="S95" i="11" s="1"/>
  <c r="P95" i="11"/>
  <c r="I95" i="11"/>
  <c r="J95" i="11" s="1"/>
  <c r="H95" i="11"/>
  <c r="G95" i="11"/>
  <c r="F95" i="11"/>
  <c r="AF94" i="11"/>
  <c r="Z94" i="11"/>
  <c r="R94" i="11" a="1"/>
  <c r="R94" i="11" s="1"/>
  <c r="S94" i="11" s="1"/>
  <c r="P94" i="11"/>
  <c r="I94" i="11"/>
  <c r="J94" i="11" s="1"/>
  <c r="H94" i="11"/>
  <c r="G94" i="11"/>
  <c r="F94" i="11"/>
  <c r="AF93" i="11"/>
  <c r="Z93" i="11"/>
  <c r="R93" i="11" a="1"/>
  <c r="R93" i="11" s="1"/>
  <c r="S93" i="11" s="1"/>
  <c r="P93" i="11"/>
  <c r="AF92" i="11"/>
  <c r="Z92" i="11"/>
  <c r="R92" i="11" a="1"/>
  <c r="R92" i="11" s="1"/>
  <c r="S92" i="11" s="1"/>
  <c r="P92" i="11"/>
  <c r="I92" i="11"/>
  <c r="J92" i="11" s="1"/>
  <c r="H92" i="11"/>
  <c r="G92" i="11"/>
  <c r="F92" i="11"/>
  <c r="AF91" i="11"/>
  <c r="Z91" i="11"/>
  <c r="R91" i="11" a="1"/>
  <c r="R91" i="11" s="1"/>
  <c r="S91" i="11" s="1"/>
  <c r="P91" i="11"/>
  <c r="I91" i="11"/>
  <c r="J91" i="11" s="1"/>
  <c r="H91" i="11"/>
  <c r="G91" i="11"/>
  <c r="F91" i="11"/>
  <c r="AF90" i="11"/>
  <c r="Z90" i="11"/>
  <c r="R90" i="11" a="1"/>
  <c r="R90" i="11" s="1"/>
  <c r="S90" i="11" s="1"/>
  <c r="P90" i="11"/>
  <c r="I90" i="11"/>
  <c r="J90" i="11" s="1"/>
  <c r="H90" i="11"/>
  <c r="G90" i="11"/>
  <c r="F90" i="11"/>
  <c r="AF89" i="11"/>
  <c r="Z89" i="11"/>
  <c r="R89" i="11" a="1"/>
  <c r="R89" i="11" s="1"/>
  <c r="S89" i="11" s="1"/>
  <c r="P89" i="11"/>
  <c r="I89" i="11"/>
  <c r="J89" i="11" s="1"/>
  <c r="H89" i="11"/>
  <c r="G89" i="11"/>
  <c r="F89" i="11"/>
  <c r="AF88" i="11"/>
  <c r="Z88" i="11"/>
  <c r="R88" i="11" a="1"/>
  <c r="R88" i="11" s="1"/>
  <c r="S88" i="11" s="1"/>
  <c r="P88" i="11"/>
  <c r="I88" i="11"/>
  <c r="H88" i="11"/>
  <c r="AF87" i="11"/>
  <c r="Z87" i="11"/>
  <c r="R87" i="11" a="1"/>
  <c r="R87" i="11" s="1"/>
  <c r="S87" i="11" s="1"/>
  <c r="P87" i="11"/>
  <c r="I87" i="11"/>
  <c r="J87" i="11" s="1"/>
  <c r="H87" i="11"/>
  <c r="G87" i="11"/>
  <c r="F87" i="11"/>
  <c r="AF86" i="11"/>
  <c r="Z86" i="11"/>
  <c r="R86" i="11" a="1"/>
  <c r="R86" i="11" s="1"/>
  <c r="S86" i="11" s="1"/>
  <c r="P86" i="11"/>
  <c r="AF85" i="11"/>
  <c r="Z85" i="11"/>
  <c r="R85" i="11" a="1"/>
  <c r="R85" i="11" s="1"/>
  <c r="S85" i="11" s="1"/>
  <c r="P85" i="11"/>
  <c r="I85" i="11"/>
  <c r="J85" i="11" s="1"/>
  <c r="H85" i="11"/>
  <c r="G85" i="11"/>
  <c r="F85" i="11"/>
  <c r="AF84" i="11"/>
  <c r="Z84" i="11"/>
  <c r="R84" i="11" a="1"/>
  <c r="R84" i="11" s="1"/>
  <c r="S84" i="11" s="1"/>
  <c r="P84" i="11"/>
  <c r="I84" i="11"/>
  <c r="J84" i="11" s="1"/>
  <c r="H84" i="11"/>
  <c r="G84" i="11"/>
  <c r="F84" i="11"/>
  <c r="AF83" i="11"/>
  <c r="Z83" i="11"/>
  <c r="R83" i="11" a="1"/>
  <c r="R83" i="11" s="1"/>
  <c r="S83" i="11" s="1"/>
  <c r="P83" i="11"/>
  <c r="I83" i="11"/>
  <c r="J83" i="11" s="1"/>
  <c r="H83" i="11"/>
  <c r="G83" i="11"/>
  <c r="F83" i="11"/>
  <c r="AF82" i="11"/>
  <c r="Z82" i="11"/>
  <c r="R82" i="11" a="1"/>
  <c r="R82" i="11" s="1"/>
  <c r="S82" i="11" s="1"/>
  <c r="P82" i="11"/>
  <c r="J82" i="11"/>
  <c r="H82" i="11"/>
  <c r="G82" i="11"/>
  <c r="F82" i="11"/>
  <c r="AF81" i="11"/>
  <c r="Z81" i="11"/>
  <c r="R81" i="11" a="1"/>
  <c r="R81" i="11" s="1"/>
  <c r="S81" i="11" s="1"/>
  <c r="P81" i="11"/>
  <c r="I81" i="11"/>
  <c r="J81" i="11" s="1"/>
  <c r="H81" i="11"/>
  <c r="G81" i="11"/>
  <c r="F81" i="11"/>
  <c r="AF80" i="11"/>
  <c r="Z80" i="11"/>
  <c r="R80" i="11" a="1"/>
  <c r="R80" i="11" s="1"/>
  <c r="S80" i="11" s="1"/>
  <c r="P80" i="11"/>
  <c r="I80" i="11"/>
  <c r="J80" i="11" s="1"/>
  <c r="H80" i="11"/>
  <c r="G80" i="11"/>
  <c r="F80" i="11"/>
  <c r="AF79" i="11"/>
  <c r="Z79" i="11"/>
  <c r="R79" i="11" a="1"/>
  <c r="R79" i="11" s="1"/>
  <c r="S79" i="11" s="1"/>
  <c r="P79" i="11"/>
  <c r="I79" i="11"/>
  <c r="H79" i="11"/>
  <c r="AF78" i="11"/>
  <c r="Z78" i="11"/>
  <c r="R78" i="11" a="1"/>
  <c r="R78" i="11" s="1"/>
  <c r="S78" i="11" s="1"/>
  <c r="P78" i="11"/>
  <c r="I78" i="11"/>
  <c r="J78" i="11" s="1"/>
  <c r="H78" i="11"/>
  <c r="G78" i="11"/>
  <c r="F78" i="11"/>
  <c r="AF77" i="11"/>
  <c r="Z77" i="11"/>
  <c r="R77" i="11" a="1"/>
  <c r="R77" i="11" s="1"/>
  <c r="S77" i="11" s="1"/>
  <c r="P77" i="11"/>
  <c r="I77" i="11"/>
  <c r="J77" i="11" s="1"/>
  <c r="H77" i="11"/>
  <c r="G77" i="11"/>
  <c r="F77" i="11"/>
  <c r="AF76" i="11"/>
  <c r="Z76" i="11"/>
  <c r="R76" i="11" a="1"/>
  <c r="R76" i="11" s="1"/>
  <c r="S76" i="11" s="1"/>
  <c r="P76" i="11"/>
  <c r="I76" i="11"/>
  <c r="J76" i="11" s="1"/>
  <c r="H76" i="11"/>
  <c r="G76" i="11"/>
  <c r="F76" i="11"/>
  <c r="AF75" i="11"/>
  <c r="Z75" i="11"/>
  <c r="R75" i="11" a="1"/>
  <c r="R75" i="11" s="1"/>
  <c r="S75" i="11" s="1"/>
  <c r="P75" i="11"/>
  <c r="I75" i="11"/>
  <c r="J75" i="11" s="1"/>
  <c r="H75" i="11"/>
  <c r="G75" i="11"/>
  <c r="F75" i="11"/>
  <c r="AF74" i="11"/>
  <c r="Z74" i="11"/>
  <c r="R74" i="11" a="1"/>
  <c r="R74" i="11" s="1"/>
  <c r="S74" i="11" s="1"/>
  <c r="P74" i="11"/>
  <c r="I74" i="11"/>
  <c r="J74" i="11" s="1"/>
  <c r="H74" i="11"/>
  <c r="G74" i="11"/>
  <c r="F74" i="11"/>
  <c r="AF73" i="11"/>
  <c r="Z73" i="11"/>
  <c r="R73" i="11" a="1"/>
  <c r="R73" i="11" s="1"/>
  <c r="S73" i="11" s="1"/>
  <c r="P73" i="11"/>
  <c r="J73" i="11"/>
  <c r="H73" i="11"/>
  <c r="G73" i="11"/>
  <c r="F73" i="11"/>
  <c r="AF72" i="11"/>
  <c r="Z72" i="11"/>
  <c r="R72" i="11" a="1"/>
  <c r="R72" i="11" s="1"/>
  <c r="S72" i="11" s="1"/>
  <c r="P72" i="11"/>
  <c r="I72" i="11"/>
  <c r="J72" i="11" s="1"/>
  <c r="H72" i="11"/>
  <c r="G72" i="11"/>
  <c r="F72" i="11"/>
  <c r="AF71" i="11"/>
  <c r="Z71" i="11"/>
  <c r="R71" i="11" a="1"/>
  <c r="R71" i="11" s="1"/>
  <c r="S71" i="11" s="1"/>
  <c r="P71" i="11"/>
  <c r="I71" i="11"/>
  <c r="J71" i="11" s="1"/>
  <c r="H71" i="11"/>
  <c r="G71" i="11"/>
  <c r="F71" i="11"/>
  <c r="AF70" i="11"/>
  <c r="Z70" i="11"/>
  <c r="R70" i="11" a="1"/>
  <c r="R70" i="11" s="1"/>
  <c r="S70" i="11" s="1"/>
  <c r="P70" i="11"/>
  <c r="I70" i="11"/>
  <c r="J70" i="11" s="1"/>
  <c r="H70" i="11"/>
  <c r="G70" i="11"/>
  <c r="F70" i="11"/>
  <c r="AF69" i="11"/>
  <c r="Z69" i="11"/>
  <c r="R69" i="11" a="1"/>
  <c r="R69" i="11" s="1"/>
  <c r="S69" i="11" s="1"/>
  <c r="P69" i="11"/>
  <c r="I69" i="11"/>
  <c r="J69" i="11" s="1"/>
  <c r="H69" i="11"/>
  <c r="G69" i="11"/>
  <c r="F69" i="11"/>
  <c r="AI68" i="11" a="1"/>
  <c r="AI68" i="11" s="1"/>
  <c r="AF68" i="11"/>
  <c r="Z68" i="11"/>
  <c r="R68" i="11" a="1"/>
  <c r="R68" i="11" s="1"/>
  <c r="S68" i="11" s="1"/>
  <c r="P68" i="11"/>
  <c r="I68" i="11"/>
  <c r="J68" i="11" s="1"/>
  <c r="H68" i="11"/>
  <c r="G68" i="11"/>
  <c r="F68" i="11"/>
  <c r="AF67" i="11"/>
  <c r="Z67" i="11"/>
  <c r="R67" i="11" a="1"/>
  <c r="R67" i="11" s="1"/>
  <c r="S67" i="11" s="1"/>
  <c r="P67" i="11"/>
  <c r="I67" i="11"/>
  <c r="J67" i="11" s="1"/>
  <c r="H67" i="11"/>
  <c r="G67" i="11"/>
  <c r="F67" i="11"/>
  <c r="AF66" i="11"/>
  <c r="Z66" i="11"/>
  <c r="R66" i="11" a="1"/>
  <c r="R66" i="11" s="1"/>
  <c r="S66" i="11" s="1"/>
  <c r="P66" i="11"/>
  <c r="I66" i="11"/>
  <c r="J66" i="11" s="1"/>
  <c r="H66" i="11"/>
  <c r="G66" i="11"/>
  <c r="F66" i="11"/>
  <c r="AF65" i="11"/>
  <c r="Z65" i="11"/>
  <c r="R65" i="11" a="1"/>
  <c r="R65" i="11" s="1"/>
  <c r="S65" i="11" s="1"/>
  <c r="P65" i="11"/>
  <c r="I65" i="11"/>
  <c r="J65" i="11" s="1"/>
  <c r="H65" i="11"/>
  <c r="G65" i="11"/>
  <c r="F65" i="11"/>
  <c r="AF64" i="11"/>
  <c r="Z64" i="11"/>
  <c r="R64" i="11" a="1"/>
  <c r="R64" i="11" s="1"/>
  <c r="S64" i="11" s="1"/>
  <c r="P64" i="11"/>
  <c r="I64" i="11"/>
  <c r="J64" i="11" s="1"/>
  <c r="H64" i="11"/>
  <c r="G64" i="11"/>
  <c r="F64" i="11"/>
  <c r="AF63" i="11"/>
  <c r="Z63" i="11"/>
  <c r="R63" i="11" a="1"/>
  <c r="R63" i="11" s="1"/>
  <c r="S63" i="11" s="1"/>
  <c r="P63" i="11"/>
  <c r="I63" i="11"/>
  <c r="J63" i="11" s="1"/>
  <c r="H63" i="11"/>
  <c r="G63" i="11"/>
  <c r="F63" i="11"/>
  <c r="AF62" i="11"/>
  <c r="Z62" i="11"/>
  <c r="R62" i="11" a="1"/>
  <c r="R62" i="11" s="1"/>
  <c r="S62" i="11" s="1"/>
  <c r="P62" i="11"/>
  <c r="I62" i="11"/>
  <c r="H62" i="11"/>
  <c r="AF61" i="11"/>
  <c r="Z61" i="11"/>
  <c r="R61" i="11" a="1"/>
  <c r="R61" i="11" s="1"/>
  <c r="S61" i="11" s="1"/>
  <c r="P61" i="11"/>
  <c r="I61" i="11"/>
  <c r="J61" i="11" s="1"/>
  <c r="H61" i="11"/>
  <c r="G61" i="11"/>
  <c r="F61" i="11"/>
  <c r="AF60" i="11"/>
  <c r="Z60" i="11"/>
  <c r="R60" i="11" a="1"/>
  <c r="R60" i="11" s="1"/>
  <c r="S60" i="11" s="1"/>
  <c r="P60" i="11"/>
  <c r="I60" i="11"/>
  <c r="J60" i="11" s="1"/>
  <c r="H60" i="11"/>
  <c r="G60" i="11"/>
  <c r="F60" i="11"/>
  <c r="AF59" i="11"/>
  <c r="Z59" i="11"/>
  <c r="R59" i="11" a="1"/>
  <c r="R59" i="11" s="1"/>
  <c r="S59" i="11" s="1"/>
  <c r="P59" i="11"/>
  <c r="I59" i="11"/>
  <c r="J59" i="11" s="1"/>
  <c r="H59" i="11"/>
  <c r="G59" i="11"/>
  <c r="F59" i="11"/>
  <c r="AF58" i="11"/>
  <c r="Z58" i="11"/>
  <c r="R58" i="11" a="1"/>
  <c r="R58" i="11" s="1"/>
  <c r="S58" i="11" s="1"/>
  <c r="P58" i="11"/>
  <c r="I58" i="11"/>
  <c r="J58" i="11" s="1"/>
  <c r="H58" i="11"/>
  <c r="G58" i="11"/>
  <c r="F58" i="11"/>
  <c r="AF57" i="11"/>
  <c r="Z57" i="11"/>
  <c r="R57" i="11" a="1"/>
  <c r="R57" i="11" s="1"/>
  <c r="S57" i="11" s="1"/>
  <c r="P57" i="11"/>
  <c r="I57" i="11"/>
  <c r="J57" i="11" s="1"/>
  <c r="H57" i="11"/>
  <c r="G57" i="11"/>
  <c r="F57" i="11"/>
  <c r="AF56" i="11"/>
  <c r="Z56" i="11"/>
  <c r="R56" i="11" a="1"/>
  <c r="R56" i="11" s="1"/>
  <c r="S56" i="11" s="1"/>
  <c r="P56" i="11"/>
  <c r="AF55" i="11"/>
  <c r="Z55" i="11"/>
  <c r="R55" i="11" a="1"/>
  <c r="R55" i="11" s="1"/>
  <c r="S55" i="11" s="1"/>
  <c r="P55" i="11"/>
  <c r="I55" i="11"/>
  <c r="J55" i="11" s="1"/>
  <c r="H55" i="11"/>
  <c r="G55" i="11"/>
  <c r="F55" i="11"/>
  <c r="AF54" i="11"/>
  <c r="Z54" i="11"/>
  <c r="R54" i="11" a="1"/>
  <c r="R54" i="11" s="1"/>
  <c r="S54" i="11" s="1"/>
  <c r="P54" i="11"/>
  <c r="I54" i="11"/>
  <c r="J54" i="11" s="1"/>
  <c r="H54" i="11"/>
  <c r="G54" i="11"/>
  <c r="F54" i="11"/>
  <c r="AF53" i="11"/>
  <c r="Z53" i="11"/>
  <c r="R53" i="11" a="1"/>
  <c r="R53" i="11" s="1"/>
  <c r="S53" i="11" s="1"/>
  <c r="P53" i="11"/>
  <c r="I53" i="11"/>
  <c r="H53" i="11"/>
  <c r="AF52" i="11"/>
  <c r="Z52" i="11"/>
  <c r="R52" i="11" a="1"/>
  <c r="R52" i="11" s="1"/>
  <c r="S52" i="11" s="1"/>
  <c r="P52" i="11"/>
  <c r="I52" i="11"/>
  <c r="J52" i="11" s="1"/>
  <c r="H52" i="11"/>
  <c r="G52" i="11"/>
  <c r="F52" i="11"/>
  <c r="AI51" i="11" a="1"/>
  <c r="AI51" i="11" s="1"/>
  <c r="AF51" i="11"/>
  <c r="Z51" i="11"/>
  <c r="R51" i="11" a="1"/>
  <c r="R51" i="11" s="1"/>
  <c r="S51" i="11" s="1"/>
  <c r="P51" i="11"/>
  <c r="AF50" i="11"/>
  <c r="Z50" i="11"/>
  <c r="R50" i="11" a="1"/>
  <c r="R50" i="11" s="1"/>
  <c r="S50" i="11" s="1"/>
  <c r="P50" i="11"/>
  <c r="I50" i="11"/>
  <c r="J50" i="11" s="1"/>
  <c r="H50" i="11"/>
  <c r="G50" i="11"/>
  <c r="F50" i="11"/>
  <c r="AF49" i="11"/>
  <c r="Z49" i="11"/>
  <c r="R49" i="11" a="1"/>
  <c r="R49" i="11" s="1"/>
  <c r="S49" i="11" s="1"/>
  <c r="P49" i="11"/>
  <c r="AF48" i="11"/>
  <c r="Z48" i="11"/>
  <c r="R48" i="11" a="1"/>
  <c r="R48" i="11" s="1"/>
  <c r="S48" i="11" s="1"/>
  <c r="P48" i="11"/>
  <c r="I48" i="11"/>
  <c r="J48" i="11" s="1"/>
  <c r="H48" i="11"/>
  <c r="G48" i="11"/>
  <c r="F48" i="11"/>
  <c r="AF47" i="11"/>
  <c r="Z47" i="11"/>
  <c r="R47" i="11" a="1"/>
  <c r="R47" i="11" s="1"/>
  <c r="S47" i="11" s="1"/>
  <c r="P47" i="11"/>
  <c r="J47" i="11"/>
  <c r="H47" i="11"/>
  <c r="G47" i="11"/>
  <c r="F47" i="11"/>
  <c r="AF46" i="11"/>
  <c r="Z46" i="11"/>
  <c r="R46" i="11" a="1"/>
  <c r="R46" i="11" s="1"/>
  <c r="S46" i="11" s="1"/>
  <c r="P46" i="11"/>
  <c r="I46" i="11"/>
  <c r="J46" i="11" s="1"/>
  <c r="H46" i="11"/>
  <c r="G46" i="11"/>
  <c r="F46" i="11"/>
  <c r="AF45" i="11"/>
  <c r="Z45" i="11"/>
  <c r="R45" i="11" a="1"/>
  <c r="R45" i="11" s="1"/>
  <c r="S45" i="11" s="1"/>
  <c r="P45" i="11"/>
  <c r="AF44" i="11"/>
  <c r="Z44" i="11"/>
  <c r="R44" i="11" a="1"/>
  <c r="R44" i="11" s="1"/>
  <c r="S44" i="11" s="1"/>
  <c r="P44" i="11"/>
  <c r="I44" i="11"/>
  <c r="J44" i="11" s="1"/>
  <c r="H44" i="11"/>
  <c r="G44" i="11"/>
  <c r="F44" i="11"/>
  <c r="AF43" i="11"/>
  <c r="Z43" i="11"/>
  <c r="R43" i="11" a="1"/>
  <c r="R43" i="11" s="1"/>
  <c r="S43" i="11" s="1"/>
  <c r="P43" i="11"/>
  <c r="I43" i="11"/>
  <c r="H43" i="11"/>
  <c r="AF42" i="11"/>
  <c r="Z42" i="11"/>
  <c r="R42" i="11" a="1"/>
  <c r="R42" i="11" s="1"/>
  <c r="S42" i="11" s="1"/>
  <c r="P42" i="11"/>
  <c r="I42" i="11"/>
  <c r="J42" i="11" s="1"/>
  <c r="H42" i="11"/>
  <c r="G42" i="11"/>
  <c r="F42" i="11"/>
  <c r="AF41" i="11"/>
  <c r="Z41" i="11"/>
  <c r="R41" i="11" a="1"/>
  <c r="R41" i="11" s="1"/>
  <c r="S41" i="11" s="1"/>
  <c r="P41" i="11"/>
  <c r="I41" i="11"/>
  <c r="J41" i="11" s="1"/>
  <c r="H41" i="11"/>
  <c r="G41" i="11"/>
  <c r="F41" i="11"/>
  <c r="AF40" i="11"/>
  <c r="Z40" i="11"/>
  <c r="R40" i="11" a="1"/>
  <c r="R40" i="11" s="1"/>
  <c r="S40" i="11" s="1"/>
  <c r="P40" i="11"/>
  <c r="I40" i="11"/>
  <c r="J40" i="11" s="1"/>
  <c r="H40" i="11"/>
  <c r="G40" i="11"/>
  <c r="F40" i="11"/>
  <c r="AF39" i="11"/>
  <c r="Z39" i="11"/>
  <c r="R39" i="11" a="1"/>
  <c r="R39" i="11" s="1"/>
  <c r="S39" i="11" s="1"/>
  <c r="P39" i="11"/>
  <c r="I39" i="11"/>
  <c r="H39" i="11"/>
  <c r="AF38" i="11"/>
  <c r="Z38" i="11"/>
  <c r="R38" i="11" a="1"/>
  <c r="R38" i="11" s="1"/>
  <c r="S38" i="11" s="1"/>
  <c r="P38" i="11"/>
  <c r="I38" i="11"/>
  <c r="J38" i="11" s="1"/>
  <c r="H38" i="11"/>
  <c r="G38" i="11"/>
  <c r="F38" i="11"/>
  <c r="BB37" i="11"/>
  <c r="AF37" i="11"/>
  <c r="Z37" i="11"/>
  <c r="T37" i="11"/>
  <c r="Q37" i="11"/>
  <c r="R37" i="11" s="1" a="1"/>
  <c r="R37" i="11" s="1"/>
  <c r="S37" i="11" s="1"/>
  <c r="P37" i="11"/>
  <c r="M37" i="11"/>
  <c r="L37" i="11"/>
  <c r="D37" i="11"/>
  <c r="C37" i="11"/>
  <c r="I37" i="11" s="1"/>
  <c r="BB36" i="11"/>
  <c r="AF36" i="11"/>
  <c r="Z36" i="11"/>
  <c r="T36" i="11"/>
  <c r="Q36" i="11"/>
  <c r="R36" i="11" s="1" a="1"/>
  <c r="R36" i="11" s="1"/>
  <c r="S36" i="11" s="1"/>
  <c r="P36" i="11"/>
  <c r="M36" i="11"/>
  <c r="L36" i="11"/>
  <c r="D36" i="11"/>
  <c r="C36" i="11"/>
  <c r="I36" i="11" s="1"/>
  <c r="AF35" i="11"/>
  <c r="Z35" i="11"/>
  <c r="R35" i="11" a="1"/>
  <c r="R35" i="11" s="1"/>
  <c r="S35" i="11" s="1"/>
  <c r="P35" i="11"/>
  <c r="I35" i="11"/>
  <c r="J35" i="11" s="1"/>
  <c r="H35" i="11"/>
  <c r="G35" i="11"/>
  <c r="F35" i="11"/>
  <c r="AF34" i="11"/>
  <c r="Z34" i="11"/>
  <c r="R34" i="11" a="1"/>
  <c r="R34" i="11" s="1"/>
  <c r="S34" i="11" s="1"/>
  <c r="P34" i="11"/>
  <c r="I34" i="11"/>
  <c r="J34" i="11" s="1"/>
  <c r="H34" i="11"/>
  <c r="G34" i="11"/>
  <c r="F34" i="11"/>
  <c r="AF33" i="11"/>
  <c r="Z33" i="11"/>
  <c r="R33" i="11" a="1"/>
  <c r="R33" i="11" s="1"/>
  <c r="S33" i="11" s="1"/>
  <c r="P33" i="11"/>
  <c r="I33" i="11"/>
  <c r="J33" i="11" s="1"/>
  <c r="H33" i="11"/>
  <c r="G33" i="11"/>
  <c r="F33" i="11"/>
  <c r="AF32" i="11"/>
  <c r="Z32" i="11"/>
  <c r="R32" i="11" a="1"/>
  <c r="R32" i="11" s="1"/>
  <c r="S32" i="11" s="1"/>
  <c r="P32" i="11"/>
  <c r="AF31" i="11"/>
  <c r="Z31" i="11"/>
  <c r="R31" i="11" a="1"/>
  <c r="R31" i="11" s="1"/>
  <c r="S31" i="11" s="1"/>
  <c r="P31" i="11"/>
  <c r="I31" i="11"/>
  <c r="J31" i="11" s="1"/>
  <c r="H31" i="11"/>
  <c r="G31" i="11"/>
  <c r="F31" i="11"/>
  <c r="AF30" i="11"/>
  <c r="Z30" i="11"/>
  <c r="R30" i="11" a="1"/>
  <c r="R30" i="11" s="1"/>
  <c r="S30" i="11" s="1"/>
  <c r="P30" i="11"/>
  <c r="I30" i="11"/>
  <c r="J30" i="11" s="1"/>
  <c r="H30" i="11"/>
  <c r="G30" i="11"/>
  <c r="F30" i="11"/>
  <c r="AF29" i="11"/>
  <c r="Z29" i="11"/>
  <c r="R29" i="11" a="1"/>
  <c r="R29" i="11" s="1"/>
  <c r="S29" i="11" s="1"/>
  <c r="P29" i="11"/>
  <c r="I29" i="11"/>
  <c r="J29" i="11" s="1"/>
  <c r="H29" i="11"/>
  <c r="G29" i="11"/>
  <c r="F29" i="11"/>
  <c r="AF28" i="11"/>
  <c r="Z28" i="11"/>
  <c r="R28" i="11" a="1"/>
  <c r="R28" i="11" s="1"/>
  <c r="S28" i="11" s="1"/>
  <c r="P28" i="11"/>
  <c r="AF27" i="11"/>
  <c r="Z27" i="11"/>
  <c r="R27" i="11" a="1"/>
  <c r="R27" i="11" s="1"/>
  <c r="S27" i="11" s="1"/>
  <c r="P27" i="11"/>
  <c r="I27" i="11"/>
  <c r="J27" i="11" s="1"/>
  <c r="H27" i="11"/>
  <c r="G27" i="11"/>
  <c r="F27" i="11"/>
  <c r="BB26" i="11"/>
  <c r="AF26" i="11"/>
  <c r="Z26" i="11"/>
  <c r="T26" i="11"/>
  <c r="R26" i="11" a="1"/>
  <c r="R26" i="11" s="1"/>
  <c r="S26" i="11" s="1"/>
  <c r="N26" i="11"/>
  <c r="P26" i="11" s="1"/>
  <c r="M26" i="11"/>
  <c r="D26" i="11"/>
  <c r="C26" i="11"/>
  <c r="H26" i="11" s="1"/>
  <c r="BB25" i="11"/>
  <c r="AF25" i="11"/>
  <c r="Z25" i="11"/>
  <c r="T25" i="11"/>
  <c r="R25" i="11" a="1"/>
  <c r="R25" i="11" s="1"/>
  <c r="S25" i="11" s="1"/>
  <c r="N25" i="11"/>
  <c r="P25" i="11" s="1"/>
  <c r="M25" i="11"/>
  <c r="E25" i="11"/>
  <c r="D25" i="11"/>
  <c r="C25" i="11"/>
  <c r="H25" i="11" s="1"/>
  <c r="AF24" i="11"/>
  <c r="Z24" i="11"/>
  <c r="R24" i="11" a="1"/>
  <c r="R24" i="11" s="1"/>
  <c r="S24" i="11" s="1"/>
  <c r="P24" i="11"/>
  <c r="I24" i="11"/>
  <c r="J24" i="11" s="1"/>
  <c r="H24" i="11"/>
  <c r="G24" i="11"/>
  <c r="F24" i="11"/>
  <c r="AF23" i="11"/>
  <c r="Z23" i="11"/>
  <c r="R23" i="11" a="1"/>
  <c r="R23" i="11" s="1"/>
  <c r="S23" i="11" s="1"/>
  <c r="P23" i="11"/>
  <c r="I23" i="11"/>
  <c r="H23" i="11"/>
  <c r="AF22" i="11"/>
  <c r="Z22" i="11"/>
  <c r="R22" i="11" a="1"/>
  <c r="R22" i="11" s="1"/>
  <c r="S22" i="11" s="1"/>
  <c r="P22" i="11"/>
  <c r="I22" i="11"/>
  <c r="J22" i="11" s="1"/>
  <c r="H22" i="11"/>
  <c r="G22" i="11"/>
  <c r="F22" i="11"/>
  <c r="AF21" i="11"/>
  <c r="Z21" i="11"/>
  <c r="R21" i="11" a="1"/>
  <c r="R21" i="11" s="1"/>
  <c r="S21" i="11" s="1"/>
  <c r="P21" i="11"/>
  <c r="I21" i="11"/>
  <c r="J21" i="11" s="1"/>
  <c r="H21" i="11"/>
  <c r="G21" i="11"/>
  <c r="F21" i="11"/>
  <c r="AF20" i="11"/>
  <c r="Z20" i="11"/>
  <c r="R20" i="11" a="1"/>
  <c r="R20" i="11" s="1"/>
  <c r="S20" i="11" s="1"/>
  <c r="P20" i="11"/>
  <c r="I20" i="11"/>
  <c r="J20" i="11" s="1"/>
  <c r="H20" i="11"/>
  <c r="G20" i="11"/>
  <c r="F20" i="11"/>
  <c r="BB19" i="11"/>
  <c r="AF19" i="11"/>
  <c r="Z19" i="11"/>
  <c r="T19" i="11"/>
  <c r="Q19" i="11"/>
  <c r="R19" i="11" s="1" a="1"/>
  <c r="R19" i="11" s="1"/>
  <c r="S19" i="11" s="1"/>
  <c r="N19" i="11"/>
  <c r="P19" i="11" s="1"/>
  <c r="M19" i="11"/>
  <c r="E19" i="11"/>
  <c r="D19" i="11"/>
  <c r="C19" i="11"/>
  <c r="AF18" i="11"/>
  <c r="Z18" i="11"/>
  <c r="R18" i="11" a="1"/>
  <c r="R18" i="11" s="1"/>
  <c r="S18" i="11" s="1"/>
  <c r="P18" i="11"/>
  <c r="I18" i="11"/>
  <c r="J18" i="11" s="1"/>
  <c r="H18" i="11"/>
  <c r="G18" i="11"/>
  <c r="F18" i="11"/>
  <c r="AF17" i="11"/>
  <c r="Z17" i="11"/>
  <c r="R17" i="11" a="1"/>
  <c r="R17" i="11" s="1"/>
  <c r="S17" i="11" s="1"/>
  <c r="P17" i="11"/>
  <c r="I17" i="11"/>
  <c r="J17" i="11" s="1"/>
  <c r="H17" i="11"/>
  <c r="G17" i="11"/>
  <c r="F17" i="11"/>
  <c r="AF16" i="11"/>
  <c r="Z16" i="11"/>
  <c r="R16" i="11" a="1"/>
  <c r="R16" i="11" s="1"/>
  <c r="S16" i="11" s="1"/>
  <c r="P16" i="11"/>
  <c r="I16" i="11"/>
  <c r="H16" i="11"/>
  <c r="AF15" i="11"/>
  <c r="Z15" i="11"/>
  <c r="R15" i="11" a="1"/>
  <c r="R15" i="11" s="1"/>
  <c r="S15" i="11" s="1"/>
  <c r="P15" i="11"/>
  <c r="AF14" i="11"/>
  <c r="Z14" i="11"/>
  <c r="R14" i="11" a="1"/>
  <c r="R14" i="11" s="1"/>
  <c r="S14" i="11" s="1"/>
  <c r="P14" i="11"/>
  <c r="I14" i="11"/>
  <c r="J14" i="11" s="1"/>
  <c r="H14" i="11"/>
  <c r="G14" i="11"/>
  <c r="F14" i="11"/>
  <c r="AF13" i="11"/>
  <c r="Z13" i="11"/>
  <c r="R13" i="11" a="1"/>
  <c r="R13" i="11" s="1"/>
  <c r="S13" i="11" s="1"/>
  <c r="P13" i="11"/>
  <c r="I13" i="11"/>
  <c r="J13" i="11" s="1"/>
  <c r="H13" i="11"/>
  <c r="G13" i="11"/>
  <c r="F13" i="11"/>
  <c r="AF12" i="11"/>
  <c r="Z12" i="11"/>
  <c r="R12" i="11" a="1"/>
  <c r="R12" i="11" s="1"/>
  <c r="S12" i="11" s="1"/>
  <c r="P12" i="11"/>
  <c r="I12" i="11"/>
  <c r="J12" i="11" s="1"/>
  <c r="H12" i="11"/>
  <c r="G12" i="11"/>
  <c r="F12" i="11"/>
  <c r="AF11" i="11"/>
  <c r="Z11" i="11"/>
  <c r="R11" i="11" a="1"/>
  <c r="R11" i="11" s="1"/>
  <c r="S11" i="11" s="1"/>
  <c r="P11" i="11"/>
  <c r="I11" i="11"/>
  <c r="J11" i="11" s="1"/>
  <c r="H11" i="11"/>
  <c r="G11" i="11"/>
  <c r="F11" i="11"/>
  <c r="BB10" i="11"/>
  <c r="AF10" i="11"/>
  <c r="Z10" i="11"/>
  <c r="T10" i="11"/>
  <c r="Q10" i="11"/>
  <c r="R10" i="11" s="1" a="1"/>
  <c r="R10" i="11" s="1"/>
  <c r="S10" i="11" s="1"/>
  <c r="N10" i="11"/>
  <c r="P10" i="11" s="1"/>
  <c r="M10" i="11"/>
  <c r="D10" i="11"/>
  <c r="C10" i="11"/>
  <c r="BB9" i="11"/>
  <c r="AF9" i="11"/>
  <c r="Z9" i="11"/>
  <c r="T9" i="11"/>
  <c r="Q9" i="11"/>
  <c r="R9" i="11" s="1" a="1"/>
  <c r="R9" i="11" s="1"/>
  <c r="S9" i="11" s="1"/>
  <c r="N9" i="11"/>
  <c r="P9" i="11" s="1"/>
  <c r="M9" i="11"/>
  <c r="E9" i="11"/>
  <c r="D9" i="11"/>
  <c r="BB8" i="11"/>
  <c r="AF8" i="11"/>
  <c r="Z8" i="11"/>
  <c r="T8" i="11"/>
  <c r="Q8" i="11"/>
  <c r="R8" i="11" s="1" a="1"/>
  <c r="R8" i="11" s="1"/>
  <c r="S8" i="11" s="1"/>
  <c r="N8" i="11"/>
  <c r="P8" i="11" s="1"/>
  <c r="M8" i="11"/>
  <c r="E8" i="11"/>
  <c r="D8" i="11"/>
  <c r="AF7" i="11"/>
  <c r="Z7" i="11"/>
  <c r="R7" i="11" a="1"/>
  <c r="R7" i="11" s="1"/>
  <c r="S7" i="11" s="1"/>
  <c r="P7" i="11"/>
  <c r="I7" i="11"/>
  <c r="J7" i="11" s="1"/>
  <c r="H7" i="11"/>
  <c r="G7" i="11"/>
  <c r="F7" i="11"/>
  <c r="AF6" i="11"/>
  <c r="Z6" i="11"/>
  <c r="R6" i="11" a="1"/>
  <c r="R6" i="11" s="1"/>
  <c r="S6" i="11" s="1"/>
  <c r="P6" i="11"/>
  <c r="I6" i="11"/>
  <c r="J6" i="11" s="1"/>
  <c r="H6" i="11"/>
  <c r="G6" i="11"/>
  <c r="F6" i="11"/>
  <c r="AF5" i="11"/>
  <c r="Z5" i="11"/>
  <c r="R5" i="11" a="1"/>
  <c r="R5" i="11" s="1"/>
  <c r="S5" i="11" s="1"/>
  <c r="P5" i="11"/>
  <c r="I5" i="11"/>
  <c r="J5" i="11" s="1"/>
  <c r="H5" i="11"/>
  <c r="G5" i="11"/>
  <c r="F5" i="11"/>
  <c r="AF4" i="11"/>
  <c r="Z4" i="11"/>
  <c r="R4" i="11" a="1"/>
  <c r="R4" i="11" s="1"/>
  <c r="S4" i="11" s="1"/>
  <c r="P4" i="11"/>
  <c r="I4" i="11"/>
  <c r="H4" i="11"/>
  <c r="G4" i="11"/>
  <c r="AF3" i="11"/>
  <c r="Z3" i="11"/>
  <c r="R3" i="11" a="1"/>
  <c r="R3" i="11" s="1"/>
  <c r="S3" i="11" s="1"/>
  <c r="P3" i="11"/>
  <c r="I3" i="11"/>
  <c r="J3" i="11" s="1"/>
  <c r="H3" i="11"/>
  <c r="G3" i="11"/>
  <c r="F3" i="11"/>
  <c r="AF2" i="11"/>
  <c r="R2" i="11" a="1"/>
  <c r="R2" i="11" s="1"/>
  <c r="S2" i="11" s="1"/>
  <c r="P2" i="11"/>
  <c r="I2" i="11"/>
  <c r="J2" i="11" s="1"/>
  <c r="H2" i="11"/>
  <c r="G2" i="11"/>
  <c r="F2" i="11"/>
  <c r="BB366" i="5"/>
  <c r="BB365" i="5"/>
  <c r="BB293" i="5"/>
  <c r="BB292" i="5"/>
  <c r="BB271" i="5"/>
  <c r="BB270" i="5"/>
  <c r="BB251" i="5"/>
  <c r="BB250" i="5"/>
  <c r="BB234" i="5"/>
  <c r="BB233" i="5"/>
  <c r="BB204" i="5"/>
  <c r="BB203" i="5"/>
  <c r="BB193" i="5"/>
  <c r="BB192" i="5"/>
  <c r="BB171" i="5"/>
  <c r="BB156" i="5"/>
  <c r="BB155" i="5"/>
  <c r="BB151" i="5"/>
  <c r="BB150" i="5"/>
  <c r="BB125" i="5"/>
  <c r="BB124" i="5"/>
  <c r="BB120" i="5"/>
  <c r="BB111" i="5"/>
  <c r="BB110" i="5"/>
  <c r="BB102" i="5"/>
  <c r="BB101" i="5"/>
  <c r="BB37" i="5"/>
  <c r="BB36" i="5"/>
  <c r="BB26" i="5"/>
  <c r="BB25" i="5"/>
  <c r="BB19" i="5"/>
  <c r="BB10" i="5"/>
  <c r="BB9" i="5"/>
  <c r="BB8" i="5"/>
  <c r="N375" i="5"/>
  <c r="N374" i="5"/>
  <c r="N373" i="5"/>
  <c r="N367" i="5"/>
  <c r="N368" i="5"/>
  <c r="N369" i="5"/>
  <c r="N370" i="5"/>
  <c r="N371" i="5"/>
  <c r="N372" i="5"/>
  <c r="N282" i="5"/>
  <c r="P390" i="5"/>
  <c r="P391" i="5"/>
  <c r="P392" i="5"/>
  <c r="T203" i="5"/>
  <c r="T150" i="5"/>
  <c r="T233" i="5"/>
  <c r="T151" i="5"/>
  <c r="T270" i="5"/>
  <c r="T8" i="5"/>
  <c r="T9" i="5"/>
  <c r="T101" i="5"/>
  <c r="T292" i="5"/>
  <c r="T192" i="5"/>
  <c r="T19" i="5"/>
  <c r="T25" i="5"/>
  <c r="T234" i="5"/>
  <c r="T155" i="5"/>
  <c r="T171" i="5"/>
  <c r="T156" i="5"/>
  <c r="T204" i="5"/>
  <c r="T120" i="5"/>
  <c r="T365" i="5"/>
  <c r="T250" i="5"/>
  <c r="T26" i="5"/>
  <c r="T110" i="5"/>
  <c r="T193" i="5"/>
  <c r="T251" i="5"/>
  <c r="T366" i="5"/>
  <c r="T102" i="5"/>
  <c r="T293" i="5"/>
  <c r="T125" i="5"/>
  <c r="T36" i="5"/>
  <c r="T271" i="5"/>
  <c r="T111" i="5"/>
  <c r="T10" i="5"/>
  <c r="T37" i="5"/>
  <c r="T124" i="5"/>
  <c r="Q203" i="5"/>
  <c r="Q150" i="5"/>
  <c r="Q233" i="5"/>
  <c r="R233" i="5" s="1" a="1"/>
  <c r="R233" i="5" s="1"/>
  <c r="S233" i="5" s="1"/>
  <c r="Q151" i="5"/>
  <c r="R151" i="5" s="1" a="1"/>
  <c r="R151" i="5" s="1"/>
  <c r="S151" i="5" s="1"/>
  <c r="Q270" i="5"/>
  <c r="Q8" i="5"/>
  <c r="R8" i="5" s="1" a="1"/>
  <c r="R8" i="5" s="1"/>
  <c r="S8" i="5" s="1"/>
  <c r="Q9" i="5"/>
  <c r="R9" i="5" s="1" a="1"/>
  <c r="Q101" i="5"/>
  <c r="Q292" i="5"/>
  <c r="R292" i="5" s="1" a="1"/>
  <c r="R292" i="5" s="1"/>
  <c r="S292" i="5" s="1"/>
  <c r="Q192" i="5"/>
  <c r="Q19" i="5"/>
  <c r="Q234" i="5"/>
  <c r="R234" i="5" s="1" a="1"/>
  <c r="R234" i="5" s="1"/>
  <c r="S234" i="5" s="1"/>
  <c r="Q155" i="5"/>
  <c r="R155" i="5" s="1" a="1"/>
  <c r="Q171" i="5"/>
  <c r="R171" i="5" s="1" a="1"/>
  <c r="R171" i="5" s="1"/>
  <c r="S171" i="5" s="1"/>
  <c r="Q156" i="5"/>
  <c r="R156" i="5" s="1" a="1"/>
  <c r="R156" i="5" s="1"/>
  <c r="S156" i="5" s="1"/>
  <c r="Q204" i="5"/>
  <c r="Q120" i="5"/>
  <c r="R120" i="5" s="1" a="1"/>
  <c r="R120" i="5" s="1"/>
  <c r="S120" i="5" s="1"/>
  <c r="Q365" i="5"/>
  <c r="R365" i="5" s="1" a="1"/>
  <c r="R365" i="5" s="1"/>
  <c r="S365" i="5" s="1"/>
  <c r="Q250" i="5"/>
  <c r="Q110" i="5"/>
  <c r="Q193" i="5"/>
  <c r="R193" i="5" s="1" a="1"/>
  <c r="Q251" i="5"/>
  <c r="Q366" i="5"/>
  <c r="Q102" i="5"/>
  <c r="R102" i="5" s="1" a="1"/>
  <c r="R102" i="5" s="1"/>
  <c r="S102" i="5" s="1"/>
  <c r="Q293" i="5"/>
  <c r="R293" i="5" s="1" a="1"/>
  <c r="R293" i="5" s="1"/>
  <c r="S293" i="5" s="1"/>
  <c r="Q125" i="5"/>
  <c r="Q36" i="5"/>
  <c r="Q271" i="5"/>
  <c r="R271" i="5" s="1" a="1"/>
  <c r="R271" i="5" s="1"/>
  <c r="S271" i="5" s="1"/>
  <c r="Q111" i="5"/>
  <c r="R111" i="5" s="1" a="1"/>
  <c r="R111" i="5" s="1"/>
  <c r="S111" i="5" s="1"/>
  <c r="Q10" i="5"/>
  <c r="R10" i="5" s="1" a="1"/>
  <c r="R10" i="5" s="1"/>
  <c r="S10" i="5" s="1"/>
  <c r="Q37" i="5"/>
  <c r="R37" i="5" s="1" a="1"/>
  <c r="R37" i="5" s="1"/>
  <c r="S37" i="5" s="1"/>
  <c r="Q124" i="5"/>
  <c r="D193" i="5"/>
  <c r="D251" i="5"/>
  <c r="D366" i="5"/>
  <c r="D102" i="5"/>
  <c r="D293" i="5"/>
  <c r="D125" i="5"/>
  <c r="D36" i="5"/>
  <c r="D271" i="5"/>
  <c r="D10" i="5"/>
  <c r="D37" i="5"/>
  <c r="E233" i="5"/>
  <c r="E151" i="5"/>
  <c r="E270" i="5"/>
  <c r="E8" i="5"/>
  <c r="E9" i="5"/>
  <c r="E101" i="5"/>
  <c r="E292" i="5"/>
  <c r="E192" i="5"/>
  <c r="E19" i="5"/>
  <c r="E25" i="5"/>
  <c r="E234" i="5"/>
  <c r="E155" i="5"/>
  <c r="E171" i="5"/>
  <c r="E156" i="5"/>
  <c r="E150" i="5"/>
  <c r="P233" i="5"/>
  <c r="P234" i="5"/>
  <c r="P120" i="5"/>
  <c r="P36" i="5"/>
  <c r="P37" i="5"/>
  <c r="M124" i="5"/>
  <c r="M203" i="5"/>
  <c r="M150" i="5"/>
  <c r="M233" i="5"/>
  <c r="M151" i="5"/>
  <c r="M270" i="5"/>
  <c r="M8" i="5"/>
  <c r="M9" i="5"/>
  <c r="M101" i="5"/>
  <c r="M292" i="5"/>
  <c r="M192" i="5"/>
  <c r="M19" i="5"/>
  <c r="M25" i="5"/>
  <c r="M234" i="5"/>
  <c r="M155" i="5"/>
  <c r="M171" i="5"/>
  <c r="M156" i="5"/>
  <c r="M204" i="5"/>
  <c r="M120" i="5"/>
  <c r="M365" i="5"/>
  <c r="M250" i="5"/>
  <c r="M26" i="5"/>
  <c r="M110" i="5"/>
  <c r="M193" i="5"/>
  <c r="M251" i="5"/>
  <c r="M366" i="5"/>
  <c r="M102" i="5"/>
  <c r="M293" i="5"/>
  <c r="M125" i="5"/>
  <c r="M36" i="5"/>
  <c r="M271" i="5"/>
  <c r="M111" i="5"/>
  <c r="M10" i="5"/>
  <c r="M37" i="5"/>
  <c r="N203" i="5"/>
  <c r="P203" i="5" s="1"/>
  <c r="N150" i="5"/>
  <c r="P150" i="5" s="1"/>
  <c r="N151" i="5"/>
  <c r="P151" i="5" s="1"/>
  <c r="N270" i="5"/>
  <c r="P270" i="5" s="1"/>
  <c r="N8" i="5"/>
  <c r="P8" i="5" s="1"/>
  <c r="N9" i="5"/>
  <c r="P9" i="5" s="1"/>
  <c r="N101" i="5"/>
  <c r="P101" i="5" s="1"/>
  <c r="N292" i="5"/>
  <c r="P292" i="5" s="1"/>
  <c r="N192" i="5"/>
  <c r="P192" i="5" s="1"/>
  <c r="N19" i="5"/>
  <c r="P19" i="5" s="1"/>
  <c r="N25" i="5"/>
  <c r="P25" i="5" s="1"/>
  <c r="N155" i="5"/>
  <c r="P155" i="5" s="1"/>
  <c r="N171" i="5"/>
  <c r="P171" i="5" s="1"/>
  <c r="N156" i="5"/>
  <c r="P156" i="5" s="1"/>
  <c r="N204" i="5"/>
  <c r="P204" i="5" s="1"/>
  <c r="N365" i="5"/>
  <c r="P365" i="5" s="1"/>
  <c r="N250" i="5"/>
  <c r="P250" i="5" s="1"/>
  <c r="N26" i="5"/>
  <c r="P26" i="5" s="1"/>
  <c r="N110" i="5"/>
  <c r="P110" i="5" s="1"/>
  <c r="N193" i="5"/>
  <c r="P193" i="5" s="1"/>
  <c r="N251" i="5"/>
  <c r="P251" i="5" s="1"/>
  <c r="N366" i="5"/>
  <c r="P366" i="5" s="1"/>
  <c r="N102" i="5"/>
  <c r="P102" i="5" s="1"/>
  <c r="N293" i="5"/>
  <c r="P293" i="5" s="1"/>
  <c r="N125" i="5"/>
  <c r="P125" i="5" s="1"/>
  <c r="N271" i="5"/>
  <c r="P271" i="5" s="1"/>
  <c r="N111" i="5"/>
  <c r="P111" i="5" s="1"/>
  <c r="N10" i="5"/>
  <c r="P10" i="5" s="1"/>
  <c r="N124" i="5"/>
  <c r="P124" i="5" s="1"/>
  <c r="E203" i="5"/>
  <c r="E124" i="5"/>
  <c r="C19" i="5"/>
  <c r="C25" i="5"/>
  <c r="C234" i="5"/>
  <c r="C155" i="5"/>
  <c r="C171" i="5"/>
  <c r="C156" i="5"/>
  <c r="C204" i="5"/>
  <c r="C120" i="5"/>
  <c r="C365" i="5"/>
  <c r="C250" i="5"/>
  <c r="C26" i="5"/>
  <c r="H26" i="5" s="1"/>
  <c r="C110" i="5"/>
  <c r="C193" i="5"/>
  <c r="C251" i="5"/>
  <c r="C366" i="5"/>
  <c r="C102" i="5"/>
  <c r="C293" i="5"/>
  <c r="C125" i="5"/>
  <c r="C36" i="5"/>
  <c r="C271" i="5"/>
  <c r="C111" i="5"/>
  <c r="C10" i="5"/>
  <c r="C37" i="5"/>
  <c r="I37" i="5" s="1"/>
  <c r="D150" i="5"/>
  <c r="D233" i="5"/>
  <c r="D151" i="5"/>
  <c r="D270" i="5"/>
  <c r="D8" i="5"/>
  <c r="D9" i="5"/>
  <c r="D101" i="5"/>
  <c r="D292" i="5"/>
  <c r="D192" i="5"/>
  <c r="D19" i="5"/>
  <c r="D25" i="5"/>
  <c r="D234" i="5"/>
  <c r="D155" i="5"/>
  <c r="D171" i="5"/>
  <c r="D156" i="5"/>
  <c r="D120" i="5"/>
  <c r="D365" i="5"/>
  <c r="D250" i="5"/>
  <c r="D26" i="5"/>
  <c r="D124" i="5"/>
  <c r="H25" i="5"/>
  <c r="I36" i="5"/>
  <c r="L36" i="5"/>
  <c r="L37" i="5"/>
  <c r="R150" i="5" a="1"/>
  <c r="R150" i="5" s="1"/>
  <c r="S150" i="5" s="1"/>
  <c r="R270" i="5" a="1"/>
  <c r="R270" i="5" s="1"/>
  <c r="S270" i="5" s="1"/>
  <c r="R9" i="5"/>
  <c r="S9" i="5" s="1"/>
  <c r="BC9" i="5" s="1"/>
  <c r="R101" i="5" a="1"/>
  <c r="R101" i="5" s="1"/>
  <c r="S101" i="5" s="1"/>
  <c r="BC101" i="5" s="1"/>
  <c r="R192" i="5" a="1"/>
  <c r="R192" i="5" s="1"/>
  <c r="S192" i="5" s="1"/>
  <c r="BC192" i="5" s="1"/>
  <c r="R19" i="5" a="1"/>
  <c r="R19" i="5" s="1"/>
  <c r="S19" i="5" s="1"/>
  <c r="BC19" i="5" s="1"/>
  <c r="R25" i="5" a="1"/>
  <c r="R25" i="5" s="1"/>
  <c r="S25" i="5" s="1"/>
  <c r="R155" i="5"/>
  <c r="S155" i="5" s="1"/>
  <c r="R204" i="5" a="1"/>
  <c r="R204" i="5" s="1"/>
  <c r="S204" i="5" s="1"/>
  <c r="BC204" i="5" s="1"/>
  <c r="R250" i="5" a="1"/>
  <c r="R250" i="5" s="1"/>
  <c r="S250" i="5" s="1"/>
  <c r="R26" i="5" a="1"/>
  <c r="R26" i="5" s="1"/>
  <c r="S26" i="5" s="1"/>
  <c r="BC26" i="5" s="1"/>
  <c r="R110" i="5" a="1"/>
  <c r="R110" i="5" s="1"/>
  <c r="S110" i="5" s="1"/>
  <c r="BC110" i="5" s="1"/>
  <c r="R193" i="5"/>
  <c r="S193" i="5" s="1"/>
  <c r="R251" i="5" a="1"/>
  <c r="R251" i="5" s="1"/>
  <c r="S251" i="5" s="1"/>
  <c r="BC251" i="5" s="1"/>
  <c r="R366" i="5" a="1"/>
  <c r="R366" i="5" s="1"/>
  <c r="S366" i="5" s="1"/>
  <c r="BC366" i="5" s="1"/>
  <c r="R125" i="5" a="1"/>
  <c r="R125" i="5" s="1"/>
  <c r="S125" i="5" s="1"/>
  <c r="BC125" i="5" s="1"/>
  <c r="R36" i="5" a="1"/>
  <c r="R36" i="5" s="1"/>
  <c r="S36" i="5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60" i="7"/>
  <c r="D361" i="7"/>
  <c r="D362" i="7"/>
  <c r="D363" i="7"/>
  <c r="D364" i="7"/>
  <c r="D365" i="7"/>
  <c r="D366" i="7"/>
  <c r="D367" i="7"/>
  <c r="D368" i="7"/>
  <c r="D369" i="7"/>
  <c r="P248" i="5"/>
  <c r="P385" i="5"/>
  <c r="P32" i="5"/>
  <c r="P230" i="5"/>
  <c r="P49" i="5"/>
  <c r="P28" i="5"/>
  <c r="P140" i="5"/>
  <c r="P136" i="5"/>
  <c r="P93" i="5"/>
  <c r="P263" i="5"/>
  <c r="P56" i="5"/>
  <c r="P107" i="5"/>
  <c r="P194" i="5"/>
  <c r="P386" i="5"/>
  <c r="P228" i="5"/>
  <c r="P363" i="5"/>
  <c r="P323" i="5"/>
  <c r="P279" i="5"/>
  <c r="P387" i="5"/>
  <c r="P388" i="5"/>
  <c r="P314" i="5"/>
  <c r="P162" i="5"/>
  <c r="P364" i="5"/>
  <c r="P51" i="5"/>
  <c r="P183" i="5"/>
  <c r="P389" i="5"/>
  <c r="P15" i="5"/>
  <c r="P282" i="5"/>
  <c r="P86" i="5"/>
  <c r="P45" i="5"/>
  <c r="P249" i="5"/>
  <c r="R248" i="5" a="1"/>
  <c r="R248" i="5" s="1"/>
  <c r="S248" i="5" s="1"/>
  <c r="BC248" i="5" s="1"/>
  <c r="R385" i="5" a="1"/>
  <c r="R385" i="5" s="1"/>
  <c r="S385" i="5" s="1"/>
  <c r="BC385" i="5" s="1"/>
  <c r="R32" i="5" a="1"/>
  <c r="R32" i="5" s="1"/>
  <c r="S32" i="5" s="1"/>
  <c r="BC32" i="5" s="1"/>
  <c r="R230" i="5" a="1"/>
  <c r="R230" i="5" s="1"/>
  <c r="S230" i="5" s="1"/>
  <c r="BC230" i="5" s="1"/>
  <c r="R49" i="5" a="1"/>
  <c r="R49" i="5" s="1"/>
  <c r="S49" i="5" s="1"/>
  <c r="BC49" i="5" s="1"/>
  <c r="R28" i="5" a="1"/>
  <c r="R28" i="5" s="1"/>
  <c r="S28" i="5" s="1"/>
  <c r="BC28" i="5" s="1"/>
  <c r="R140" i="5" a="1"/>
  <c r="R140" i="5" s="1"/>
  <c r="S140" i="5" s="1"/>
  <c r="BC140" i="5" s="1"/>
  <c r="R136" i="5" a="1"/>
  <c r="R136" i="5" s="1"/>
  <c r="S136" i="5" s="1"/>
  <c r="BC136" i="5" s="1"/>
  <c r="R93" i="5" a="1"/>
  <c r="R93" i="5" s="1"/>
  <c r="S93" i="5" s="1"/>
  <c r="BC93" i="5" s="1"/>
  <c r="R263" i="5" a="1"/>
  <c r="R263" i="5" s="1"/>
  <c r="S263" i="5" s="1"/>
  <c r="BC263" i="5" s="1"/>
  <c r="R56" i="5" a="1"/>
  <c r="R56" i="5" s="1"/>
  <c r="S56" i="5" s="1"/>
  <c r="BC56" i="5" s="1"/>
  <c r="R107" i="5" a="1"/>
  <c r="R107" i="5" s="1"/>
  <c r="S107" i="5" s="1"/>
  <c r="BC107" i="5" s="1"/>
  <c r="R194" i="5" a="1"/>
  <c r="R194" i="5" s="1"/>
  <c r="S194" i="5" s="1"/>
  <c r="BC194" i="5" s="1"/>
  <c r="R386" i="5" a="1"/>
  <c r="R386" i="5" s="1"/>
  <c r="S386" i="5" s="1"/>
  <c r="BC386" i="5" s="1"/>
  <c r="R228" i="5" a="1"/>
  <c r="R228" i="5" s="1"/>
  <c r="S228" i="5" s="1"/>
  <c r="BC228" i="5" s="1"/>
  <c r="R363" i="5" a="1"/>
  <c r="R363" i="5" s="1"/>
  <c r="S363" i="5" s="1"/>
  <c r="BC363" i="5" s="1"/>
  <c r="R323" i="5" a="1"/>
  <c r="R323" i="5" s="1"/>
  <c r="S323" i="5" s="1"/>
  <c r="BC323" i="5" s="1"/>
  <c r="R279" i="5" a="1"/>
  <c r="R279" i="5" s="1"/>
  <c r="S279" i="5" s="1"/>
  <c r="BC279" i="5" s="1"/>
  <c r="R387" i="5" a="1"/>
  <c r="R387" i="5" s="1"/>
  <c r="S387" i="5" s="1"/>
  <c r="BC387" i="5" s="1"/>
  <c r="R388" i="5" a="1"/>
  <c r="R388" i="5" s="1"/>
  <c r="S388" i="5" s="1"/>
  <c r="BC388" i="5" s="1"/>
  <c r="R314" i="5" a="1"/>
  <c r="R314" i="5" s="1"/>
  <c r="S314" i="5" s="1"/>
  <c r="BC314" i="5" s="1"/>
  <c r="R162" i="5" a="1"/>
  <c r="R162" i="5" s="1"/>
  <c r="S162" i="5" s="1"/>
  <c r="BC162" i="5" s="1"/>
  <c r="R364" i="5" a="1"/>
  <c r="R364" i="5" s="1"/>
  <c r="S364" i="5" s="1"/>
  <c r="BC364" i="5" s="1"/>
  <c r="R51" i="5" a="1"/>
  <c r="R51" i="5" s="1"/>
  <c r="S51" i="5" s="1"/>
  <c r="BC51" i="5" s="1"/>
  <c r="R183" i="5" a="1"/>
  <c r="R183" i="5" s="1"/>
  <c r="S183" i="5" s="1"/>
  <c r="BC183" i="5" s="1"/>
  <c r="R389" i="5" a="1"/>
  <c r="R389" i="5" s="1"/>
  <c r="S389" i="5" s="1"/>
  <c r="BC389" i="5" s="1"/>
  <c r="R15" i="5" a="1"/>
  <c r="R15" i="5" s="1"/>
  <c r="S15" i="5" s="1"/>
  <c r="BC15" i="5" s="1"/>
  <c r="R282" i="5" a="1"/>
  <c r="R282" i="5" s="1"/>
  <c r="S282" i="5" s="1"/>
  <c r="BC282" i="5" s="1"/>
  <c r="R86" i="5" a="1"/>
  <c r="R86" i="5" s="1"/>
  <c r="S86" i="5" s="1"/>
  <c r="BC86" i="5" s="1"/>
  <c r="R390" i="5" a="1"/>
  <c r="R390" i="5" s="1"/>
  <c r="S390" i="5" s="1"/>
  <c r="BC390" i="5" s="1"/>
  <c r="R391" i="5" a="1"/>
  <c r="R391" i="5" s="1"/>
  <c r="S391" i="5" s="1"/>
  <c r="R45" i="5" a="1"/>
  <c r="R45" i="5" s="1"/>
  <c r="S45" i="5" s="1"/>
  <c r="BC45" i="5" s="1"/>
  <c r="R392" i="5" a="1"/>
  <c r="R392" i="5" s="1"/>
  <c r="S392" i="5" s="1"/>
  <c r="R249" i="5" a="1"/>
  <c r="R249" i="5" s="1"/>
  <c r="S249" i="5" s="1"/>
  <c r="BC249" i="5" s="1"/>
  <c r="E22" i="9" a="1"/>
  <c r="E22" i="9"/>
  <c r="E23" i="9" a="1"/>
  <c r="E23" i="9"/>
  <c r="E24" i="9" a="1"/>
  <c r="E24" i="9"/>
  <c r="E25" i="9" a="1"/>
  <c r="E25" i="9"/>
  <c r="E26" i="9" a="1"/>
  <c r="E26" i="9"/>
  <c r="E27" i="9" a="1"/>
  <c r="E27" i="9"/>
  <c r="E28" i="9" a="1"/>
  <c r="E28" i="9"/>
  <c r="E29" i="9" a="1"/>
  <c r="E29" i="9"/>
  <c r="E30" i="9" a="1"/>
  <c r="E30" i="9"/>
  <c r="E31" i="9" a="1"/>
  <c r="E31" i="9"/>
  <c r="E32" i="9" a="1"/>
  <c r="E32" i="9"/>
  <c r="E33" i="9" a="1"/>
  <c r="E33" i="9"/>
  <c r="E34" i="9" a="1"/>
  <c r="E34" i="9"/>
  <c r="E35" i="9" a="1"/>
  <c r="E35" i="9"/>
  <c r="E36" i="9" a="1"/>
  <c r="E36" i="9"/>
  <c r="E37" i="9" a="1"/>
  <c r="E37" i="9"/>
  <c r="E21" i="9" a="1"/>
  <c r="E21" i="9"/>
  <c r="P20" i="5"/>
  <c r="P376" i="5"/>
  <c r="P252" i="5"/>
  <c r="P3" i="5"/>
  <c r="P22" i="5"/>
  <c r="P29" i="5"/>
  <c r="P35" i="5"/>
  <c r="P39" i="5"/>
  <c r="P46" i="5"/>
  <c r="P48" i="5"/>
  <c r="P52" i="5"/>
  <c r="P62" i="5"/>
  <c r="P67" i="5"/>
  <c r="P68" i="5"/>
  <c r="P71" i="5"/>
  <c r="P77" i="5"/>
  <c r="P78" i="5"/>
  <c r="P91" i="5"/>
  <c r="P95" i="5"/>
  <c r="P108" i="5"/>
  <c r="P116" i="5"/>
  <c r="P117" i="5"/>
  <c r="P122" i="5"/>
  <c r="P128" i="5"/>
  <c r="P130" i="5"/>
  <c r="P132" i="5"/>
  <c r="P145" i="5"/>
  <c r="P152" i="5"/>
  <c r="P159" i="5"/>
  <c r="P160" i="5"/>
  <c r="P161" i="5"/>
  <c r="P175" i="5"/>
  <c r="P178" i="5"/>
  <c r="P201" i="5"/>
  <c r="P205" i="5"/>
  <c r="P209" i="5"/>
  <c r="P215" i="5"/>
  <c r="P226" i="5"/>
  <c r="P227" i="5"/>
  <c r="P229" i="5"/>
  <c r="P231" i="5"/>
  <c r="P232" i="5"/>
  <c r="P236" i="5"/>
  <c r="P237" i="5"/>
  <c r="P239" i="5"/>
  <c r="P240" i="5"/>
  <c r="P243" i="5"/>
  <c r="P244" i="5"/>
  <c r="P245" i="5"/>
  <c r="P246" i="5"/>
  <c r="P255" i="5"/>
  <c r="P256" i="5"/>
  <c r="P257" i="5"/>
  <c r="P259" i="5"/>
  <c r="P260" i="5"/>
  <c r="P264" i="5"/>
  <c r="P265" i="5"/>
  <c r="P268" i="5"/>
  <c r="P269" i="5"/>
  <c r="P272" i="5"/>
  <c r="P273" i="5"/>
  <c r="P275" i="5"/>
  <c r="P276" i="5"/>
  <c r="P277" i="5"/>
  <c r="P280" i="5"/>
  <c r="P281" i="5"/>
  <c r="P283" i="5"/>
  <c r="P284" i="5"/>
  <c r="P285" i="5"/>
  <c r="P286" i="5"/>
  <c r="P287" i="5"/>
  <c r="P288" i="5"/>
  <c r="P289" i="5"/>
  <c r="P290" i="5"/>
  <c r="P291" i="5"/>
  <c r="P294" i="5"/>
  <c r="P297" i="5"/>
  <c r="P298" i="5"/>
  <c r="P305" i="5"/>
  <c r="P315" i="5"/>
  <c r="P317" i="5"/>
  <c r="P318" i="5"/>
  <c r="P320" i="5"/>
  <c r="P321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181" i="5"/>
  <c r="P302" i="5"/>
  <c r="P303" i="5"/>
  <c r="P306" i="5"/>
  <c r="P307" i="5"/>
  <c r="P308" i="5"/>
  <c r="P309" i="5"/>
  <c r="P310" i="5"/>
  <c r="P311" i="5"/>
  <c r="P316" i="5"/>
  <c r="P319" i="5"/>
  <c r="P322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4" i="5"/>
  <c r="P350" i="5"/>
  <c r="P351" i="5"/>
  <c r="P352" i="5"/>
  <c r="P353" i="5"/>
  <c r="P354" i="5"/>
  <c r="P355" i="5"/>
  <c r="P356" i="5"/>
  <c r="P357" i="5"/>
  <c r="P358" i="5"/>
  <c r="P359" i="5"/>
  <c r="P368" i="5"/>
  <c r="P360" i="5"/>
  <c r="P211" i="5"/>
  <c r="P238" i="5"/>
  <c r="P377" i="5"/>
  <c r="P304" i="5"/>
  <c r="P361" i="5"/>
  <c r="P362" i="5"/>
  <c r="P378" i="5"/>
  <c r="P379" i="5"/>
  <c r="P380" i="5"/>
  <c r="P381" i="5"/>
  <c r="P369" i="5"/>
  <c r="P38" i="5"/>
  <c r="P235" i="5"/>
  <c r="P370" i="5"/>
  <c r="P300" i="5"/>
  <c r="P262" i="5"/>
  <c r="P121" i="5"/>
  <c r="P21" i="5"/>
  <c r="P164" i="5"/>
  <c r="P371" i="5"/>
  <c r="P372" i="5"/>
  <c r="P382" i="5"/>
  <c r="P373" i="5"/>
  <c r="P47" i="5"/>
  <c r="P383" i="5"/>
  <c r="P147" i="5"/>
  <c r="P313" i="5"/>
  <c r="P374" i="5"/>
  <c r="P301" i="5"/>
  <c r="P375" i="5"/>
  <c r="P83" i="5"/>
  <c r="P16" i="5"/>
  <c r="P89" i="5"/>
  <c r="P384" i="5"/>
  <c r="P2" i="5"/>
  <c r="P23" i="5"/>
  <c r="P5" i="5"/>
  <c r="P6" i="5"/>
  <c r="P7" i="5"/>
  <c r="P11" i="5"/>
  <c r="P12" i="5"/>
  <c r="P13" i="5"/>
  <c r="P14" i="5"/>
  <c r="P17" i="5"/>
  <c r="P18" i="5"/>
  <c r="P43" i="5"/>
  <c r="P24" i="5"/>
  <c r="P53" i="5"/>
  <c r="P27" i="5"/>
  <c r="P54" i="5"/>
  <c r="P57" i="5"/>
  <c r="P30" i="5"/>
  <c r="P31" i="5"/>
  <c r="P33" i="5"/>
  <c r="P34" i="5"/>
  <c r="P40" i="5"/>
  <c r="P41" i="5"/>
  <c r="P42" i="5"/>
  <c r="P44" i="5"/>
  <c r="P50" i="5"/>
  <c r="P55" i="5"/>
  <c r="P58" i="5"/>
  <c r="P59" i="5"/>
  <c r="P60" i="5"/>
  <c r="P61" i="5"/>
  <c r="P63" i="5"/>
  <c r="P64" i="5"/>
  <c r="P65" i="5"/>
  <c r="P79" i="5"/>
  <c r="P66" i="5"/>
  <c r="P69" i="5"/>
  <c r="P70" i="5"/>
  <c r="P72" i="5"/>
  <c r="P88" i="5"/>
  <c r="P73" i="5"/>
  <c r="P74" i="5"/>
  <c r="P75" i="5"/>
  <c r="P76" i="5"/>
  <c r="P80" i="5"/>
  <c r="P81" i="5"/>
  <c r="P82" i="5"/>
  <c r="P84" i="5"/>
  <c r="P85" i="5"/>
  <c r="P87" i="5"/>
  <c r="P90" i="5"/>
  <c r="P92" i="5"/>
  <c r="P94" i="5"/>
  <c r="P96" i="5"/>
  <c r="P97" i="5"/>
  <c r="P98" i="5"/>
  <c r="P115" i="5"/>
  <c r="P99" i="5"/>
  <c r="P100" i="5"/>
  <c r="P103" i="5"/>
  <c r="P104" i="5"/>
  <c r="P105" i="5"/>
  <c r="P106" i="5"/>
  <c r="P109" i="5"/>
  <c r="P112" i="5"/>
  <c r="P113" i="5"/>
  <c r="P114" i="5"/>
  <c r="P118" i="5"/>
  <c r="P119" i="5"/>
  <c r="P137" i="5"/>
  <c r="P123" i="5"/>
  <c r="P141" i="5"/>
  <c r="P143" i="5"/>
  <c r="P126" i="5"/>
  <c r="P127" i="5"/>
  <c r="P129" i="5"/>
  <c r="P148" i="5"/>
  <c r="P131" i="5"/>
  <c r="P133" i="5"/>
  <c r="P134" i="5"/>
  <c r="P135" i="5"/>
  <c r="P138" i="5"/>
  <c r="P139" i="5"/>
  <c r="P142" i="5"/>
  <c r="P144" i="5"/>
  <c r="P146" i="5"/>
  <c r="P149" i="5"/>
  <c r="P153" i="5"/>
  <c r="P154" i="5"/>
  <c r="P157" i="5"/>
  <c r="P158" i="5"/>
  <c r="P163" i="5"/>
  <c r="P165" i="5"/>
  <c r="P166" i="5"/>
  <c r="P167" i="5"/>
  <c r="P168" i="5"/>
  <c r="P169" i="5"/>
  <c r="P170" i="5"/>
  <c r="P172" i="5"/>
  <c r="P173" i="5"/>
  <c r="P174" i="5"/>
  <c r="P176" i="5"/>
  <c r="P188" i="5"/>
  <c r="P177" i="5"/>
  <c r="P179" i="5"/>
  <c r="P180" i="5"/>
  <c r="P182" i="5"/>
  <c r="P184" i="5"/>
  <c r="P185" i="5"/>
  <c r="P186" i="5"/>
  <c r="P187" i="5"/>
  <c r="P189" i="5"/>
  <c r="P190" i="5"/>
  <c r="P191" i="5"/>
  <c r="P195" i="5"/>
  <c r="P196" i="5"/>
  <c r="P197" i="5"/>
  <c r="P214" i="5"/>
  <c r="P198" i="5"/>
  <c r="P199" i="5"/>
  <c r="P200" i="5"/>
  <c r="P202" i="5"/>
  <c r="P206" i="5"/>
  <c r="P207" i="5"/>
  <c r="P208" i="5"/>
  <c r="P210" i="5"/>
  <c r="P221" i="5"/>
  <c r="P212" i="5"/>
  <c r="P213" i="5"/>
  <c r="P216" i="5"/>
  <c r="P217" i="5"/>
  <c r="P218" i="5"/>
  <c r="P219" i="5"/>
  <c r="P220" i="5"/>
  <c r="P222" i="5"/>
  <c r="P223" i="5"/>
  <c r="P224" i="5"/>
  <c r="P225" i="5"/>
  <c r="P241" i="5"/>
  <c r="P253" i="5"/>
  <c r="P242" i="5"/>
  <c r="P247" i="5"/>
  <c r="P254" i="5"/>
  <c r="P266" i="5"/>
  <c r="P258" i="5"/>
  <c r="P261" i="5"/>
  <c r="P267" i="5"/>
  <c r="P274" i="5"/>
  <c r="P278" i="5"/>
  <c r="P295" i="5"/>
  <c r="P296" i="5"/>
  <c r="P299" i="5"/>
  <c r="P312" i="5"/>
  <c r="P367" i="5"/>
  <c r="J257" i="5"/>
  <c r="G257" i="5" s="1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R378" i="5" a="1"/>
  <c r="R378" i="5" s="1"/>
  <c r="S378" i="5" s="1"/>
  <c r="BC378" i="5" s="1"/>
  <c r="R214" i="5" a="1"/>
  <c r="R214" i="5" s="1"/>
  <c r="S214" i="5" s="1"/>
  <c r="BC214" i="5" s="1"/>
  <c r="R278" i="5" a="1"/>
  <c r="R278" i="5" s="1"/>
  <c r="S278" i="5" s="1"/>
  <c r="BC278" i="5" s="1"/>
  <c r="R74" i="5" a="1"/>
  <c r="R74" i="5" s="1"/>
  <c r="S74" i="5" s="1"/>
  <c r="BC74" i="5" s="1"/>
  <c r="R222" i="5" a="1"/>
  <c r="R222" i="5" s="1"/>
  <c r="S222" i="5" s="1"/>
  <c r="BC222" i="5" s="1"/>
  <c r="R133" i="5" a="1"/>
  <c r="R133" i="5" s="1"/>
  <c r="S133" i="5" s="1"/>
  <c r="BC133" i="5" s="1"/>
  <c r="R254" i="5" a="1"/>
  <c r="R254" i="5" s="1"/>
  <c r="S254" i="5" s="1"/>
  <c r="BC254" i="5" s="1"/>
  <c r="R5" i="5" a="1"/>
  <c r="R5" i="5" s="1"/>
  <c r="S5" i="5" s="1"/>
  <c r="BC5" i="5" s="1"/>
  <c r="R223" i="5" a="1"/>
  <c r="R223" i="5" s="1"/>
  <c r="S223" i="5" s="1"/>
  <c r="BC223" i="5" s="1"/>
  <c r="R326" i="5" a="1"/>
  <c r="R326" i="5" s="1"/>
  <c r="S326" i="5" s="1"/>
  <c r="BC326" i="5" s="1"/>
  <c r="R90" i="5" a="1"/>
  <c r="R90" i="5" s="1"/>
  <c r="S90" i="5" s="1"/>
  <c r="BC90" i="5" s="1"/>
  <c r="R258" i="5" a="1"/>
  <c r="R258" i="5" s="1"/>
  <c r="S258" i="5" s="1"/>
  <c r="BC258" i="5" s="1"/>
  <c r="R288" i="5" a="1"/>
  <c r="R288" i="5" s="1"/>
  <c r="R306" i="5" a="1"/>
  <c r="R306" i="5" s="1"/>
  <c r="S306" i="5" s="1"/>
  <c r="BC306" i="5" s="1"/>
  <c r="R379" i="5" a="1"/>
  <c r="R379" i="5" s="1"/>
  <c r="S379" i="5" s="1"/>
  <c r="BC379" i="5" s="1"/>
  <c r="R165" i="5" a="1"/>
  <c r="R165" i="5" s="1"/>
  <c r="S165" i="5" s="1"/>
  <c r="BC165" i="5" s="1"/>
  <c r="R76" i="5" a="1"/>
  <c r="R76" i="5" s="1"/>
  <c r="S76" i="5" s="1"/>
  <c r="BC76" i="5" s="1"/>
  <c r="R324" i="5" a="1"/>
  <c r="R324" i="5" s="1"/>
  <c r="R44" i="5" a="1"/>
  <c r="R44" i="5" s="1"/>
  <c r="S44" i="5" s="1"/>
  <c r="BC44" i="5" s="1"/>
  <c r="R4" i="5" a="1"/>
  <c r="R4" i="5" s="1"/>
  <c r="S4" i="5" s="1"/>
  <c r="BC4" i="5" s="1"/>
  <c r="R166" i="5" a="1"/>
  <c r="R166" i="5" s="1"/>
  <c r="S166" i="5" s="1"/>
  <c r="BC166" i="5" s="1"/>
  <c r="R380" i="5" a="1"/>
  <c r="R380" i="5" s="1"/>
  <c r="S380" i="5" s="1"/>
  <c r="BC380" i="5" s="1"/>
  <c r="R273" i="5" a="1"/>
  <c r="R273" i="5" s="1"/>
  <c r="R361" i="5" a="1"/>
  <c r="R361" i="5" s="1"/>
  <c r="S361" i="5" s="1"/>
  <c r="BC361" i="5" s="1"/>
  <c r="R315" i="5" a="1"/>
  <c r="R315" i="5" s="1"/>
  <c r="R212" i="5" a="1"/>
  <c r="R212" i="5" s="1"/>
  <c r="S212" i="5" s="1"/>
  <c r="BC212" i="5" s="1"/>
  <c r="R336" i="5" a="1"/>
  <c r="R336" i="5" s="1"/>
  <c r="S336" i="5" s="1"/>
  <c r="BC336" i="5" s="1"/>
  <c r="R35" i="5" a="1"/>
  <c r="R35" i="5" s="1"/>
  <c r="R381" i="5" a="1"/>
  <c r="R381" i="5" s="1"/>
  <c r="S381" i="5" s="1"/>
  <c r="BC381" i="5" s="1"/>
  <c r="R53" i="5" a="1"/>
  <c r="R53" i="5" s="1"/>
  <c r="S53" i="5" s="1"/>
  <c r="BC53" i="5" s="1"/>
  <c r="R227" i="5" a="1"/>
  <c r="R227" i="5" s="1"/>
  <c r="R236" i="5" a="1"/>
  <c r="R236" i="5" s="1"/>
  <c r="R99" i="5" a="1"/>
  <c r="R99" i="5" s="1"/>
  <c r="S99" i="5" s="1"/>
  <c r="BC99" i="5" s="1"/>
  <c r="R310" i="5" a="1"/>
  <c r="R310" i="5" s="1"/>
  <c r="S310" i="5" s="1"/>
  <c r="BC310" i="5" s="1"/>
  <c r="R94" i="5" a="1"/>
  <c r="R94" i="5" s="1"/>
  <c r="S94" i="5" s="1"/>
  <c r="BC94" i="5" s="1"/>
  <c r="R189" i="5" a="1"/>
  <c r="R189" i="5" s="1"/>
  <c r="S189" i="5" s="1"/>
  <c r="BC189" i="5" s="1"/>
  <c r="R134" i="5" a="1"/>
  <c r="R134" i="5" s="1"/>
  <c r="S134" i="5" s="1"/>
  <c r="BC134" i="5" s="1"/>
  <c r="R266" i="5" a="1"/>
  <c r="R266" i="5" s="1"/>
  <c r="S266" i="5" s="1"/>
  <c r="BC266" i="5" s="1"/>
  <c r="R62" i="5" a="1"/>
  <c r="R62" i="5" s="1"/>
  <c r="R244" i="5" a="1"/>
  <c r="R244" i="5" s="1"/>
  <c r="R48" i="5" a="1"/>
  <c r="R48" i="5" s="1"/>
  <c r="R226" i="5" a="1"/>
  <c r="R226" i="5" s="1"/>
  <c r="R130" i="5" a="1"/>
  <c r="R130" i="5" s="1"/>
  <c r="R297" i="5" a="1"/>
  <c r="R297" i="5" s="1"/>
  <c r="R117" i="5" a="1"/>
  <c r="R117" i="5" s="1"/>
  <c r="R80" i="5" a="1"/>
  <c r="R80" i="5" s="1"/>
  <c r="S80" i="5" s="1"/>
  <c r="BC80" i="5" s="1"/>
  <c r="R159" i="5" a="1"/>
  <c r="R159" i="5" s="1"/>
  <c r="R68" i="5" a="1"/>
  <c r="R68" i="5" s="1"/>
  <c r="R276" i="5" a="1"/>
  <c r="R276" i="5" s="1"/>
  <c r="R24" i="5" a="1"/>
  <c r="R24" i="5" s="1"/>
  <c r="S24" i="5" s="1"/>
  <c r="BC24" i="5" s="1"/>
  <c r="R142" i="5" a="1"/>
  <c r="R142" i="5" s="1"/>
  <c r="S142" i="5" s="1"/>
  <c r="BC142" i="5" s="1"/>
  <c r="R290" i="5" a="1"/>
  <c r="R290" i="5" s="1"/>
  <c r="R163" i="5" a="1"/>
  <c r="R163" i="5" s="1"/>
  <c r="S163" i="5" s="1"/>
  <c r="BC163" i="5" s="1"/>
  <c r="R274" i="5" a="1"/>
  <c r="R274" i="5" s="1"/>
  <c r="S274" i="5" s="1"/>
  <c r="BC274" i="5" s="1"/>
  <c r="R255" i="5" a="1"/>
  <c r="R255" i="5" s="1"/>
  <c r="R146" i="5" a="1"/>
  <c r="R146" i="5" s="1"/>
  <c r="S146" i="5" s="1"/>
  <c r="BC146" i="5" s="1"/>
  <c r="R52" i="5" a="1"/>
  <c r="R52" i="5" s="1"/>
  <c r="R368" i="5" a="1"/>
  <c r="R368" i="5" s="1"/>
  <c r="S368" i="5" s="1"/>
  <c r="BC368" i="5" s="1"/>
  <c r="R72" i="5" a="1"/>
  <c r="R72" i="5" s="1"/>
  <c r="S72" i="5" s="1"/>
  <c r="BC72" i="5" s="1"/>
  <c r="R27" i="5" a="1"/>
  <c r="R27" i="5" s="1"/>
  <c r="S27" i="5" s="1"/>
  <c r="BC27" i="5" s="1"/>
  <c r="R77" i="5" a="1"/>
  <c r="R77" i="5" s="1"/>
  <c r="R180" i="5" a="1"/>
  <c r="R180" i="5" s="1"/>
  <c r="S180" i="5" s="1"/>
  <c r="BC180" i="5" s="1"/>
  <c r="R96" i="5" a="1"/>
  <c r="R96" i="5" s="1"/>
  <c r="S96" i="5" s="1"/>
  <c r="BC96" i="5" s="1"/>
  <c r="R337" i="5" a="1"/>
  <c r="R337" i="5" s="1"/>
  <c r="S337" i="5" s="1"/>
  <c r="BC337" i="5" s="1"/>
  <c r="R55" i="5" a="1"/>
  <c r="R55" i="5" s="1"/>
  <c r="S55" i="5" s="1"/>
  <c r="BC55" i="5" s="1"/>
  <c r="R78" i="5" a="1"/>
  <c r="R78" i="5" s="1"/>
  <c r="R369" i="5" a="1"/>
  <c r="R369" i="5" s="1"/>
  <c r="S369" i="5" s="1"/>
  <c r="BC369" i="5" s="1"/>
  <c r="R38" i="5" a="1"/>
  <c r="R38" i="5" s="1"/>
  <c r="S38" i="5" s="1"/>
  <c r="BC38" i="5" s="1"/>
  <c r="R312" i="5" a="1"/>
  <c r="R312" i="5" s="1"/>
  <c r="S312" i="5" s="1"/>
  <c r="BC312" i="5" s="1"/>
  <c r="R338" i="5" a="1"/>
  <c r="R338" i="5" s="1"/>
  <c r="S338" i="5" s="1"/>
  <c r="BC338" i="5" s="1"/>
  <c r="R138" i="5" a="1"/>
  <c r="R138" i="5" s="1"/>
  <c r="S138" i="5" s="1"/>
  <c r="BC138" i="5" s="1"/>
  <c r="R104" i="5" a="1"/>
  <c r="R104" i="5" s="1"/>
  <c r="S104" i="5" s="1"/>
  <c r="BC104" i="5" s="1"/>
  <c r="R231" i="5" a="1"/>
  <c r="R231" i="5" s="1"/>
  <c r="R202" i="5" a="1"/>
  <c r="R202" i="5" s="1"/>
  <c r="S202" i="5" s="1"/>
  <c r="BC202" i="5" s="1"/>
  <c r="R339" i="5" a="1"/>
  <c r="R339" i="5" s="1"/>
  <c r="S339" i="5" s="1"/>
  <c r="BC339" i="5" s="1"/>
  <c r="R370" i="5" a="1"/>
  <c r="R370" i="5" s="1"/>
  <c r="S370" i="5" s="1"/>
  <c r="BC370" i="5" s="1"/>
  <c r="R200" i="5" a="1"/>
  <c r="R200" i="5" s="1"/>
  <c r="S200" i="5" s="1"/>
  <c r="BC200" i="5" s="1"/>
  <c r="R377" i="5" a="1"/>
  <c r="R377" i="5" s="1"/>
  <c r="S377" i="5" s="1"/>
  <c r="BC377" i="5" s="1"/>
  <c r="R149" i="5" a="1"/>
  <c r="R149" i="5" s="1"/>
  <c r="S149" i="5" s="1"/>
  <c r="BC149" i="5" s="1"/>
  <c r="R103" i="5" a="1"/>
  <c r="R103" i="5" s="1"/>
  <c r="S103" i="5" s="1"/>
  <c r="BC103" i="5" s="1"/>
  <c r="R367" i="5" a="1"/>
  <c r="R367" i="5" s="1"/>
  <c r="R195" i="5" a="1"/>
  <c r="R195" i="5" s="1"/>
  <c r="S195" i="5" s="1"/>
  <c r="BC195" i="5" s="1"/>
  <c r="R300" i="5" a="1"/>
  <c r="R300" i="5" s="1"/>
  <c r="S300" i="5" s="1"/>
  <c r="BC300" i="5" s="1"/>
  <c r="R11" i="5" a="1"/>
  <c r="R11" i="5" s="1"/>
  <c r="S11" i="5" s="1"/>
  <c r="BC11" i="5" s="1"/>
  <c r="R304" i="5" a="1"/>
  <c r="R304" i="5" s="1"/>
  <c r="S304" i="5" s="1"/>
  <c r="BC304" i="5" s="1"/>
  <c r="R286" i="5" a="1"/>
  <c r="R286" i="5" s="1"/>
  <c r="R57" i="5" a="1"/>
  <c r="R57" i="5" s="1"/>
  <c r="S57" i="5" s="1"/>
  <c r="BC57" i="5" s="1"/>
  <c r="R262" i="5" a="1"/>
  <c r="R262" i="5" s="1"/>
  <c r="S262" i="5" s="1"/>
  <c r="BC262" i="5" s="1"/>
  <c r="R20" i="5" a="1"/>
  <c r="R20" i="5" s="1"/>
  <c r="R184" i="5" a="1"/>
  <c r="R184" i="5" s="1"/>
  <c r="S184" i="5" s="1"/>
  <c r="BC184" i="5" s="1"/>
  <c r="R340" i="5" a="1"/>
  <c r="R340" i="5" s="1"/>
  <c r="S340" i="5" s="1"/>
  <c r="BC340" i="5" s="1"/>
  <c r="R325" i="5" a="1"/>
  <c r="R325" i="5" s="1"/>
  <c r="R267" i="5" a="1"/>
  <c r="R267" i="5" s="1"/>
  <c r="S267" i="5" s="1"/>
  <c r="BC267" i="5" s="1"/>
  <c r="R167" i="5" a="1"/>
  <c r="R167" i="5" s="1"/>
  <c r="S167" i="5" s="1"/>
  <c r="BC167" i="5" s="1"/>
  <c r="R225" i="5" a="1"/>
  <c r="R225" i="5" s="1"/>
  <c r="S225" i="5" s="1"/>
  <c r="BC225" i="5" s="1"/>
  <c r="R217" i="5" a="1"/>
  <c r="R217" i="5" s="1"/>
  <c r="S217" i="5" s="1"/>
  <c r="BC217" i="5" s="1"/>
  <c r="R327" i="5" a="1"/>
  <c r="R327" i="5" s="1"/>
  <c r="R75" i="5" a="1"/>
  <c r="R75" i="5" s="1"/>
  <c r="S75" i="5" s="1"/>
  <c r="BC75" i="5" s="1"/>
  <c r="R54" i="5" a="1"/>
  <c r="R54" i="5" s="1"/>
  <c r="S54" i="5" s="1"/>
  <c r="BC54" i="5" s="1"/>
  <c r="R216" i="5" a="1"/>
  <c r="R216" i="5" s="1"/>
  <c r="S216" i="5" s="1"/>
  <c r="BC216" i="5" s="1"/>
  <c r="R145" i="5" a="1"/>
  <c r="R145" i="5" s="1"/>
  <c r="R295" i="5" a="1"/>
  <c r="R295" i="5" s="1"/>
  <c r="S295" i="5" s="1"/>
  <c r="BC295" i="5" s="1"/>
  <c r="R43" i="5" a="1"/>
  <c r="R43" i="5" s="1"/>
  <c r="S43" i="5" s="1"/>
  <c r="BC43" i="5" s="1"/>
  <c r="R115" i="5" a="1"/>
  <c r="R115" i="5" s="1"/>
  <c r="S115" i="5" s="1"/>
  <c r="BC115" i="5" s="1"/>
  <c r="R17" i="5" a="1"/>
  <c r="R17" i="5" s="1"/>
  <c r="S17" i="5" s="1"/>
  <c r="BC17" i="5" s="1"/>
  <c r="R196" i="5" a="1"/>
  <c r="R196" i="5" s="1"/>
  <c r="S196" i="5" s="1"/>
  <c r="BC196" i="5" s="1"/>
  <c r="R105" i="5" a="1"/>
  <c r="R105" i="5" s="1"/>
  <c r="S105" i="5" s="1"/>
  <c r="BC105" i="5" s="1"/>
  <c r="R341" i="5" a="1"/>
  <c r="R341" i="5" s="1"/>
  <c r="S341" i="5" s="1"/>
  <c r="BC341" i="5" s="1"/>
  <c r="R69" i="5" a="1"/>
  <c r="R69" i="5" s="1"/>
  <c r="S69" i="5" s="1"/>
  <c r="BC69" i="5" s="1"/>
  <c r="R376" i="5" a="1"/>
  <c r="R376" i="5" s="1"/>
  <c r="R33" i="5" a="1"/>
  <c r="R33" i="5" s="1"/>
  <c r="S33" i="5" s="1"/>
  <c r="BC33" i="5" s="1"/>
  <c r="R224" i="5" a="1"/>
  <c r="R224" i="5" s="1"/>
  <c r="S224" i="5" s="1"/>
  <c r="BC224" i="5" s="1"/>
  <c r="R121" i="5" a="1"/>
  <c r="R121" i="5" s="1"/>
  <c r="S121" i="5" s="1"/>
  <c r="BC121" i="5" s="1"/>
  <c r="R280" i="5" a="1"/>
  <c r="R280" i="5" s="1"/>
  <c r="R342" i="5" a="1"/>
  <c r="R342" i="5" s="1"/>
  <c r="S342" i="5" s="1"/>
  <c r="BC342" i="5" s="1"/>
  <c r="R112" i="5" a="1"/>
  <c r="R112" i="5" s="1"/>
  <c r="S112" i="5" s="1"/>
  <c r="BC112" i="5" s="1"/>
  <c r="R91" i="5" a="1"/>
  <c r="R91" i="5" s="1"/>
  <c r="R40" i="5" a="1"/>
  <c r="R40" i="5" s="1"/>
  <c r="S40" i="5" s="1"/>
  <c r="BC40" i="5" s="1"/>
  <c r="R21" i="5" a="1"/>
  <c r="R21" i="5" s="1"/>
  <c r="S21" i="5" s="1"/>
  <c r="BC21" i="5" s="1"/>
  <c r="R164" i="5" a="1"/>
  <c r="R164" i="5" s="1"/>
  <c r="S164" i="5" s="1"/>
  <c r="BC164" i="5" s="1"/>
  <c r="R12" i="5" a="1"/>
  <c r="R12" i="5" s="1"/>
  <c r="S12" i="5" s="1"/>
  <c r="BC12" i="5" s="1"/>
  <c r="R238" i="5" a="1"/>
  <c r="R238" i="5" s="1"/>
  <c r="S238" i="5" s="1"/>
  <c r="BC238" i="5" s="1"/>
  <c r="R229" i="5" a="1"/>
  <c r="R229" i="5" s="1"/>
  <c r="R321" i="5" a="1"/>
  <c r="R321" i="5" s="1"/>
  <c r="R190" i="5" a="1"/>
  <c r="R190" i="5" s="1"/>
  <c r="S190" i="5" s="1"/>
  <c r="BC190" i="5" s="1"/>
  <c r="R176" i="5" a="1"/>
  <c r="R176" i="5" s="1"/>
  <c r="S176" i="5" s="1"/>
  <c r="BC176" i="5" s="1"/>
  <c r="R328" i="5" a="1"/>
  <c r="R328" i="5" s="1"/>
  <c r="R371" i="5" a="1"/>
  <c r="R371" i="5" s="1"/>
  <c r="S371" i="5" s="1"/>
  <c r="BC371" i="5" s="1"/>
  <c r="R372" i="5" a="1"/>
  <c r="R372" i="5" s="1"/>
  <c r="S372" i="5" s="1"/>
  <c r="BC372" i="5" s="1"/>
  <c r="R240" i="5" a="1"/>
  <c r="R240" i="5" s="1"/>
  <c r="R239" i="5" a="1"/>
  <c r="R239" i="5" s="1"/>
  <c r="R47" i="5" a="1"/>
  <c r="R47" i="5" s="1"/>
  <c r="S47" i="5" s="1"/>
  <c r="BC47" i="5" s="1"/>
  <c r="R284" i="5" a="1"/>
  <c r="R284" i="5" s="1"/>
  <c r="R139" i="5" a="1"/>
  <c r="R139" i="5" s="1"/>
  <c r="S139" i="5" s="1"/>
  <c r="BC139" i="5" s="1"/>
  <c r="R177" i="5" a="1"/>
  <c r="R177" i="5" s="1"/>
  <c r="S177" i="5" s="1"/>
  <c r="BC177" i="5" s="1"/>
  <c r="R197" i="5" a="1"/>
  <c r="R197" i="5" s="1"/>
  <c r="S197" i="5" s="1"/>
  <c r="BC197" i="5" s="1"/>
  <c r="R320" i="5" a="1"/>
  <c r="R320" i="5" s="1"/>
  <c r="R108" i="5" a="1"/>
  <c r="R108" i="5" s="1"/>
  <c r="R220" i="5" a="1"/>
  <c r="R220" i="5" s="1"/>
  <c r="S220" i="5" s="1"/>
  <c r="BC220" i="5" s="1"/>
  <c r="R343" i="5" a="1"/>
  <c r="R343" i="5" s="1"/>
  <c r="S343" i="5" s="1"/>
  <c r="BC343" i="5" s="1"/>
  <c r="R344" i="5" a="1"/>
  <c r="R344" i="5" s="1"/>
  <c r="S344" i="5" s="1"/>
  <c r="BC344" i="5" s="1"/>
  <c r="R287" i="5" a="1"/>
  <c r="R287" i="5" s="1"/>
  <c r="R182" i="5" a="1"/>
  <c r="R182" i="5" s="1"/>
  <c r="S182" i="5" s="1"/>
  <c r="BC182" i="5" s="1"/>
  <c r="R335" i="5" a="1"/>
  <c r="R335" i="5" s="1"/>
  <c r="R23" i="5" a="1"/>
  <c r="R23" i="5" s="1"/>
  <c r="S23" i="5" s="1"/>
  <c r="BC23" i="5" s="1"/>
  <c r="R383" i="5" a="1"/>
  <c r="R383" i="5" s="1"/>
  <c r="S383" i="5" s="1"/>
  <c r="BC383" i="5" s="1"/>
  <c r="R260" i="5" a="1"/>
  <c r="R260" i="5" s="1"/>
  <c r="R245" i="5" a="1"/>
  <c r="R245" i="5" s="1"/>
  <c r="R63" i="5" a="1"/>
  <c r="R63" i="5" s="1"/>
  <c r="S63" i="5" s="1"/>
  <c r="BC63" i="5" s="1"/>
  <c r="R252" i="5" a="1"/>
  <c r="R252" i="5" s="1"/>
  <c r="R46" i="5" a="1"/>
  <c r="R46" i="5" s="1"/>
  <c r="R148" i="5" a="1"/>
  <c r="R148" i="5" s="1"/>
  <c r="S148" i="5" s="1"/>
  <c r="BC148" i="5" s="1"/>
  <c r="R59" i="5" a="1"/>
  <c r="R59" i="5" s="1"/>
  <c r="S59" i="5" s="1"/>
  <c r="BC59" i="5" s="1"/>
  <c r="R109" i="5" a="1"/>
  <c r="R109" i="5" s="1"/>
  <c r="S109" i="5" s="1"/>
  <c r="BC109" i="5" s="1"/>
  <c r="R88" i="5" a="1"/>
  <c r="R88" i="5" s="1"/>
  <c r="S88" i="5" s="1"/>
  <c r="BC88" i="5" s="1"/>
  <c r="R268" i="5" a="1"/>
  <c r="R268" i="5" s="1"/>
  <c r="R198" i="5" a="1"/>
  <c r="R198" i="5" s="1"/>
  <c r="S198" i="5" s="1"/>
  <c r="BC198" i="5" s="1"/>
  <c r="R235" i="5" a="1"/>
  <c r="R235" i="5" s="1"/>
  <c r="S235" i="5" s="1"/>
  <c r="BC235" i="5" s="1"/>
  <c r="R329" i="5" a="1"/>
  <c r="R329" i="5" s="1"/>
  <c r="R291" i="5" a="1"/>
  <c r="R291" i="5" s="1"/>
  <c r="R132" i="5" a="1"/>
  <c r="R132" i="5" s="1"/>
  <c r="R179" i="5" a="1"/>
  <c r="R179" i="5" s="1"/>
  <c r="S179" i="5" s="1"/>
  <c r="BC179" i="5" s="1"/>
  <c r="R144" i="5" a="1"/>
  <c r="R144" i="5" s="1"/>
  <c r="S144" i="5" s="1"/>
  <c r="BC144" i="5" s="1"/>
  <c r="R257" i="5" a="1"/>
  <c r="R257" i="5" s="1"/>
  <c r="R42" i="5" a="1"/>
  <c r="R42" i="5" s="1"/>
  <c r="S42" i="5" s="1"/>
  <c r="BC42" i="5" s="1"/>
  <c r="R97" i="5" a="1"/>
  <c r="R97" i="5" s="1"/>
  <c r="S97" i="5" s="1"/>
  <c r="BC97" i="5" s="1"/>
  <c r="R98" i="5" a="1"/>
  <c r="R98" i="5" s="1"/>
  <c r="S98" i="5" s="1"/>
  <c r="BC98" i="5" s="1"/>
  <c r="R221" i="5" a="1"/>
  <c r="R221" i="5" s="1"/>
  <c r="S221" i="5" s="1"/>
  <c r="BC221" i="5" s="1"/>
  <c r="R345" i="5" a="1"/>
  <c r="R345" i="5" s="1"/>
  <c r="S345" i="5" s="1"/>
  <c r="BC345" i="5" s="1"/>
  <c r="R302" i="5" a="1"/>
  <c r="R302" i="5" s="1"/>
  <c r="S302" i="5" s="1"/>
  <c r="BC302" i="5" s="1"/>
  <c r="R269" i="5" a="1"/>
  <c r="R269" i="5" s="1"/>
  <c r="R303" i="5" a="1"/>
  <c r="R303" i="5" s="1"/>
  <c r="S303" i="5" s="1"/>
  <c r="BC303" i="5" s="1"/>
  <c r="R330" i="5" a="1"/>
  <c r="R330" i="5" s="1"/>
  <c r="R6" i="5" a="1"/>
  <c r="R6" i="5" s="1"/>
  <c r="S6" i="5" s="1"/>
  <c r="BC6" i="5" s="1"/>
  <c r="R346" i="5" a="1"/>
  <c r="R346" i="5" s="1"/>
  <c r="S346" i="5" s="1"/>
  <c r="BC346" i="5" s="1"/>
  <c r="R172" i="5" a="1"/>
  <c r="R172" i="5" s="1"/>
  <c r="S172" i="5" s="1"/>
  <c r="BC172" i="5" s="1"/>
  <c r="R347" i="5" a="1"/>
  <c r="R347" i="5" s="1"/>
  <c r="S347" i="5" s="1"/>
  <c r="BC347" i="5" s="1"/>
  <c r="R264" i="5" a="1"/>
  <c r="R264" i="5" s="1"/>
  <c r="R241" i="5" a="1"/>
  <c r="R241" i="5" s="1"/>
  <c r="S241" i="5" s="1"/>
  <c r="BC241" i="5" s="1"/>
  <c r="R307" i="5" a="1"/>
  <c r="R307" i="5" s="1"/>
  <c r="S307" i="5" s="1"/>
  <c r="BC307" i="5" s="1"/>
  <c r="R147" i="5" a="1"/>
  <c r="R147" i="5" s="1"/>
  <c r="S147" i="5" s="1"/>
  <c r="BC147" i="5" s="1"/>
  <c r="R129" i="5" a="1"/>
  <c r="R129" i="5" s="1"/>
  <c r="S129" i="5" s="1"/>
  <c r="BC129" i="5" s="1"/>
  <c r="R143" i="5" a="1"/>
  <c r="R143" i="5" s="1"/>
  <c r="S143" i="5" s="1"/>
  <c r="BC143" i="5" s="1"/>
  <c r="R237" i="5" a="1"/>
  <c r="R237" i="5" s="1"/>
  <c r="R100" i="5" a="1"/>
  <c r="R100" i="5" s="1"/>
  <c r="S100" i="5" s="1"/>
  <c r="BC100" i="5" s="1"/>
  <c r="R71" i="5" a="1"/>
  <c r="R71" i="5" s="1"/>
  <c r="R106" i="5" a="1"/>
  <c r="R106" i="5" s="1"/>
  <c r="S106" i="5" s="1"/>
  <c r="BC106" i="5" s="1"/>
  <c r="R29" i="5" a="1"/>
  <c r="R29" i="5" s="1"/>
  <c r="R296" i="5" a="1"/>
  <c r="R296" i="5" s="1"/>
  <c r="S296" i="5" s="1"/>
  <c r="BC296" i="5" s="1"/>
  <c r="R153" i="5" a="1"/>
  <c r="R153" i="5" s="1"/>
  <c r="S153" i="5" s="1"/>
  <c r="BC153" i="5" s="1"/>
  <c r="R313" i="5" a="1"/>
  <c r="R313" i="5" s="1"/>
  <c r="S313" i="5" s="1"/>
  <c r="BC313" i="5" s="1"/>
  <c r="R374" i="5" a="1"/>
  <c r="R374" i="5" s="1"/>
  <c r="S374" i="5" s="1"/>
  <c r="BC374" i="5" s="1"/>
  <c r="R87" i="5" a="1"/>
  <c r="R87" i="5" s="1"/>
  <c r="S87" i="5" s="1"/>
  <c r="BC87" i="5" s="1"/>
  <c r="R116" i="5" a="1"/>
  <c r="R116" i="5" s="1"/>
  <c r="R113" i="5" a="1"/>
  <c r="R113" i="5" s="1"/>
  <c r="S113" i="5" s="1"/>
  <c r="BC113" i="5" s="1"/>
  <c r="R308" i="5" a="1"/>
  <c r="R308" i="5" s="1"/>
  <c r="S308" i="5" s="1"/>
  <c r="BC308" i="5" s="1"/>
  <c r="R188" i="5" a="1"/>
  <c r="R188" i="5" s="1"/>
  <c r="S188" i="5" s="1"/>
  <c r="BC188" i="5" s="1"/>
  <c r="R294" i="5" a="1"/>
  <c r="R294" i="5" s="1"/>
  <c r="R13" i="5" a="1"/>
  <c r="R13" i="5" s="1"/>
  <c r="S13" i="5" s="1"/>
  <c r="BC13" i="5" s="1"/>
  <c r="R317" i="5" a="1"/>
  <c r="R317" i="5" s="1"/>
  <c r="R362" i="5" a="1"/>
  <c r="R362" i="5" s="1"/>
  <c r="S362" i="5" s="1"/>
  <c r="BC362" i="5" s="1"/>
  <c r="R123" i="5" a="1"/>
  <c r="R123" i="5" s="1"/>
  <c r="S123" i="5" s="1"/>
  <c r="BC123" i="5" s="1"/>
  <c r="R305" i="5" a="1"/>
  <c r="R305" i="5" s="1"/>
  <c r="R141" i="5" a="1"/>
  <c r="R141" i="5" s="1"/>
  <c r="S141" i="5" s="1"/>
  <c r="BC141" i="5" s="1"/>
  <c r="R348" i="5" a="1"/>
  <c r="R348" i="5" s="1"/>
  <c r="S348" i="5" s="1"/>
  <c r="BC348" i="5" s="1"/>
  <c r="R158" i="5" a="1"/>
  <c r="R158" i="5" s="1"/>
  <c r="S158" i="5" s="1"/>
  <c r="BC158" i="5" s="1"/>
  <c r="R301" i="5" a="1"/>
  <c r="R301" i="5" s="1"/>
  <c r="S301" i="5" s="1"/>
  <c r="BC301" i="5" s="1"/>
  <c r="R213" i="5" a="1"/>
  <c r="R213" i="5" s="1"/>
  <c r="S213" i="5" s="1"/>
  <c r="BC213" i="5" s="1"/>
  <c r="R175" i="5" a="1"/>
  <c r="R175" i="5" s="1"/>
  <c r="R299" i="5" a="1"/>
  <c r="R299" i="5" s="1"/>
  <c r="S299" i="5" s="1"/>
  <c r="BC299" i="5" s="1"/>
  <c r="R218" i="5" a="1"/>
  <c r="R218" i="5" s="1"/>
  <c r="S218" i="5" s="1"/>
  <c r="BC218" i="5" s="1"/>
  <c r="R205" i="5" a="1"/>
  <c r="R205" i="5" s="1"/>
  <c r="R350" i="5" a="1"/>
  <c r="R350" i="5" s="1"/>
  <c r="S350" i="5" s="1"/>
  <c r="BC350" i="5" s="1"/>
  <c r="R191" i="5" a="1"/>
  <c r="R191" i="5" s="1"/>
  <c r="S191" i="5" s="1"/>
  <c r="BC191" i="5" s="1"/>
  <c r="R70" i="5" a="1"/>
  <c r="R70" i="5" s="1"/>
  <c r="S70" i="5" s="1"/>
  <c r="BC70" i="5" s="1"/>
  <c r="R18" i="5" a="1"/>
  <c r="R18" i="5" s="1"/>
  <c r="S18" i="5" s="1"/>
  <c r="BC18" i="5" s="1"/>
  <c r="R232" i="5" a="1"/>
  <c r="R232" i="5" s="1"/>
  <c r="R64" i="5" a="1"/>
  <c r="R64" i="5" s="1"/>
  <c r="S64" i="5" s="1"/>
  <c r="BC64" i="5" s="1"/>
  <c r="R331" i="5" a="1"/>
  <c r="R331" i="5" s="1"/>
  <c r="R137" i="5" a="1"/>
  <c r="R137" i="5" s="1"/>
  <c r="S137" i="5" s="1"/>
  <c r="BC137" i="5" s="1"/>
  <c r="R81" i="5" a="1"/>
  <c r="R81" i="5" s="1"/>
  <c r="S81" i="5" s="1"/>
  <c r="BC81" i="5" s="1"/>
  <c r="R168" i="5" a="1"/>
  <c r="R168" i="5" s="1"/>
  <c r="S168" i="5" s="1"/>
  <c r="BC168" i="5" s="1"/>
  <c r="R351" i="5" a="1"/>
  <c r="R351" i="5" s="1"/>
  <c r="S351" i="5" s="1"/>
  <c r="BC351" i="5" s="1"/>
  <c r="R265" i="5" a="1"/>
  <c r="R265" i="5" s="1"/>
  <c r="R30" i="5" a="1"/>
  <c r="R30" i="5" s="1"/>
  <c r="S30" i="5" s="1"/>
  <c r="BC30" i="5" s="1"/>
  <c r="R131" i="5" a="1"/>
  <c r="R131" i="5" s="1"/>
  <c r="S131" i="5" s="1"/>
  <c r="BC131" i="5" s="1"/>
  <c r="R50" i="5" a="1"/>
  <c r="R50" i="5" s="1"/>
  <c r="S50" i="5" s="1"/>
  <c r="BC50" i="5" s="1"/>
  <c r="R128" i="5" a="1"/>
  <c r="R128" i="5" s="1"/>
  <c r="R375" i="5" a="1"/>
  <c r="R375" i="5" s="1"/>
  <c r="S375" i="5" s="1"/>
  <c r="BC375" i="5" s="1"/>
  <c r="R352" i="5" a="1"/>
  <c r="R352" i="5" s="1"/>
  <c r="S352" i="5" s="1"/>
  <c r="BC352" i="5" s="1"/>
  <c r="R322" i="5" a="1"/>
  <c r="R322" i="5" s="1"/>
  <c r="S322" i="5" s="1"/>
  <c r="BC322" i="5" s="1"/>
  <c r="R58" i="5" a="1"/>
  <c r="R58" i="5" s="1"/>
  <c r="S58" i="5" s="1"/>
  <c r="BC58" i="5" s="1"/>
  <c r="R173" i="5" a="1"/>
  <c r="R173" i="5" s="1"/>
  <c r="S173" i="5" s="1"/>
  <c r="BC173" i="5" s="1"/>
  <c r="R209" i="5" a="1"/>
  <c r="R209" i="5" s="1"/>
  <c r="R185" i="5" a="1"/>
  <c r="R185" i="5" s="1"/>
  <c r="S185" i="5" s="1"/>
  <c r="BC185" i="5" s="1"/>
  <c r="R181" i="5" a="1"/>
  <c r="R181" i="5" s="1"/>
  <c r="S181" i="5" s="1"/>
  <c r="BC181" i="5" s="1"/>
  <c r="R309" i="5" a="1"/>
  <c r="R309" i="5" s="1"/>
  <c r="S309" i="5" s="1"/>
  <c r="BC309" i="5" s="1"/>
  <c r="R169" i="5" a="1"/>
  <c r="R169" i="5" s="1"/>
  <c r="S169" i="5" s="1"/>
  <c r="BC169" i="5" s="1"/>
  <c r="R211" i="5" a="1"/>
  <c r="R211" i="5" s="1"/>
  <c r="S211" i="5" s="1"/>
  <c r="BC211" i="5" s="1"/>
  <c r="R285" i="5" a="1"/>
  <c r="R285" i="5" s="1"/>
  <c r="R243" i="5" a="1"/>
  <c r="R243" i="5" s="1"/>
  <c r="R201" i="5" a="1"/>
  <c r="R201" i="5" s="1"/>
  <c r="R170" i="5" a="1"/>
  <c r="R170" i="5" s="1"/>
  <c r="S170" i="5" s="1"/>
  <c r="BC170" i="5" s="1"/>
  <c r="R283" i="5" a="1"/>
  <c r="R283" i="5" s="1"/>
  <c r="R118" i="5" a="1"/>
  <c r="R118" i="5" s="1"/>
  <c r="S118" i="5" s="1"/>
  <c r="BC118" i="5" s="1"/>
  <c r="R277" i="5" a="1"/>
  <c r="R277" i="5" s="1"/>
  <c r="R318" i="5" a="1"/>
  <c r="R318" i="5" s="1"/>
  <c r="R178" i="5" a="1"/>
  <c r="R178" i="5" s="1"/>
  <c r="R353" i="5" a="1"/>
  <c r="R353" i="5" s="1"/>
  <c r="S353" i="5" s="1"/>
  <c r="BC353" i="5" s="1"/>
  <c r="R206" i="5" a="1"/>
  <c r="R206" i="5" s="1"/>
  <c r="S206" i="5" s="1"/>
  <c r="BC206" i="5" s="1"/>
  <c r="R354" i="5" a="1"/>
  <c r="R354" i="5" s="1"/>
  <c r="S354" i="5" s="1"/>
  <c r="BC354" i="5" s="1"/>
  <c r="R7" i="5" a="1"/>
  <c r="R7" i="5" s="1"/>
  <c r="S7" i="5" s="1"/>
  <c r="BC7" i="5" s="1"/>
  <c r="R242" i="5" a="1"/>
  <c r="R242" i="5" s="1"/>
  <c r="S242" i="5" s="1"/>
  <c r="BC242" i="5" s="1"/>
  <c r="R95" i="5" a="1"/>
  <c r="R95" i="5" s="1"/>
  <c r="R34" i="5" a="1"/>
  <c r="R34" i="5" s="1"/>
  <c r="S34" i="5" s="1"/>
  <c r="BC34" i="5" s="1"/>
  <c r="R332" i="5" a="1"/>
  <c r="R332" i="5" s="1"/>
  <c r="R333" i="5" a="1"/>
  <c r="R333" i="5" s="1"/>
  <c r="R219" i="5" a="1"/>
  <c r="R219" i="5" s="1"/>
  <c r="S219" i="5" s="1"/>
  <c r="BC219" i="5" s="1"/>
  <c r="R316" i="5" a="1"/>
  <c r="R316" i="5" s="1"/>
  <c r="S316" i="5" s="1"/>
  <c r="BC316" i="5" s="1"/>
  <c r="R208" i="5" a="1"/>
  <c r="R208" i="5" s="1"/>
  <c r="S208" i="5" s="1"/>
  <c r="BC208" i="5" s="1"/>
  <c r="R311" i="5" a="1"/>
  <c r="R311" i="5" s="1"/>
  <c r="S311" i="5" s="1"/>
  <c r="BC311" i="5" s="1"/>
  <c r="R83" i="5" a="1"/>
  <c r="R83" i="5" s="1"/>
  <c r="S83" i="5" s="1"/>
  <c r="BC83" i="5" s="1"/>
  <c r="R298" i="5" a="1"/>
  <c r="R298" i="5" s="1"/>
  <c r="R355" i="5" a="1"/>
  <c r="R355" i="5" s="1"/>
  <c r="S355" i="5" s="1"/>
  <c r="BC355" i="5" s="1"/>
  <c r="R122" i="5" a="1"/>
  <c r="R122" i="5" s="1"/>
  <c r="R157" i="5" a="1"/>
  <c r="R157" i="5" s="1"/>
  <c r="S157" i="5" s="1"/>
  <c r="BC157" i="5" s="1"/>
  <c r="R126" i="5" a="1"/>
  <c r="R126" i="5" s="1"/>
  <c r="S126" i="5" s="1"/>
  <c r="BC126" i="5" s="1"/>
  <c r="R79" i="5" a="1"/>
  <c r="R79" i="5" s="1"/>
  <c r="S79" i="5" s="1"/>
  <c r="BC79" i="5" s="1"/>
  <c r="R22" i="5" a="1"/>
  <c r="R22" i="5" s="1"/>
  <c r="R253" i="5" a="1"/>
  <c r="R253" i="5" s="1"/>
  <c r="S253" i="5" s="1"/>
  <c r="BC253" i="5" s="1"/>
  <c r="R65" i="5" a="1"/>
  <c r="R65" i="5" s="1"/>
  <c r="S65" i="5" s="1"/>
  <c r="BC65" i="5" s="1"/>
  <c r="R66" i="5" a="1"/>
  <c r="R66" i="5" s="1"/>
  <c r="S66" i="5" s="1"/>
  <c r="BC66" i="5" s="1"/>
  <c r="R186" i="5" a="1"/>
  <c r="R186" i="5" s="1"/>
  <c r="S186" i="5" s="1"/>
  <c r="BC186" i="5" s="1"/>
  <c r="R67" i="5" a="1"/>
  <c r="R67" i="5" s="1"/>
  <c r="R261" i="5" a="1"/>
  <c r="R261" i="5" s="1"/>
  <c r="S261" i="5" s="1"/>
  <c r="BC261" i="5" s="1"/>
  <c r="R41" i="5" a="1"/>
  <c r="R41" i="5" s="1"/>
  <c r="S41" i="5" s="1"/>
  <c r="BC41" i="5" s="1"/>
  <c r="R82" i="5" a="1"/>
  <c r="R82" i="5" s="1"/>
  <c r="S82" i="5" s="1"/>
  <c r="BC82" i="5" s="1"/>
  <c r="R119" i="5" a="1"/>
  <c r="R119" i="5" s="1"/>
  <c r="S119" i="5" s="1"/>
  <c r="BC119" i="5" s="1"/>
  <c r="R31" i="5" a="1"/>
  <c r="R31" i="5" s="1"/>
  <c r="S31" i="5" s="1"/>
  <c r="BC31" i="5" s="1"/>
  <c r="R114" i="5" a="1"/>
  <c r="R114" i="5" s="1"/>
  <c r="S114" i="5" s="1"/>
  <c r="BC114" i="5" s="1"/>
  <c r="R246" i="5" a="1"/>
  <c r="R246" i="5" s="1"/>
  <c r="R89" i="5" a="1"/>
  <c r="R89" i="5" s="1"/>
  <c r="S89" i="5" s="1"/>
  <c r="BC89" i="5" s="1"/>
  <c r="R14" i="5" a="1"/>
  <c r="R14" i="5" s="1"/>
  <c r="S14" i="5" s="1"/>
  <c r="BC14" i="5" s="1"/>
  <c r="R160" i="5" a="1"/>
  <c r="R160" i="5" s="1"/>
  <c r="R356" i="5" a="1"/>
  <c r="R356" i="5" s="1"/>
  <c r="S356" i="5" s="1"/>
  <c r="BC356" i="5" s="1"/>
  <c r="R384" i="5" a="1"/>
  <c r="R384" i="5" s="1"/>
  <c r="S384" i="5" s="1"/>
  <c r="BC384" i="5" s="1"/>
  <c r="R215" i="5" a="1"/>
  <c r="R215" i="5" s="1"/>
  <c r="R84" i="5" a="1"/>
  <c r="R84" i="5" s="1"/>
  <c r="S84" i="5" s="1"/>
  <c r="BC84" i="5" s="1"/>
  <c r="R275" i="5" a="1"/>
  <c r="R275" i="5" s="1"/>
  <c r="R210" i="5" a="1"/>
  <c r="R210" i="5" s="1"/>
  <c r="S210" i="5" s="1"/>
  <c r="BC210" i="5" s="1"/>
  <c r="R154" i="5" a="1"/>
  <c r="R154" i="5" s="1"/>
  <c r="S154" i="5" s="1"/>
  <c r="BC154" i="5" s="1"/>
  <c r="R357" i="5" a="1"/>
  <c r="R357" i="5" s="1"/>
  <c r="S357" i="5" s="1"/>
  <c r="BC357" i="5" s="1"/>
  <c r="R272" i="5" a="1"/>
  <c r="R272" i="5" s="1"/>
  <c r="R187" i="5" a="1"/>
  <c r="R187" i="5" s="1"/>
  <c r="S187" i="5" s="1"/>
  <c r="BC187" i="5" s="1"/>
  <c r="R382" i="5" a="1"/>
  <c r="R382" i="5" s="1"/>
  <c r="S382" i="5" s="1"/>
  <c r="BC382" i="5" s="1"/>
  <c r="R60" i="5" a="1"/>
  <c r="R60" i="5" s="1"/>
  <c r="S60" i="5" s="1"/>
  <c r="BC60" i="5" s="1"/>
  <c r="R358" i="5" a="1"/>
  <c r="R358" i="5" s="1"/>
  <c r="S358" i="5" s="1"/>
  <c r="BC358" i="5" s="1"/>
  <c r="R61" i="5" a="1"/>
  <c r="R61" i="5" s="1"/>
  <c r="S61" i="5" s="1"/>
  <c r="BC61" i="5" s="1"/>
  <c r="R161" i="5" a="1"/>
  <c r="R161" i="5" s="1"/>
  <c r="R359" i="5" a="1"/>
  <c r="R359" i="5" s="1"/>
  <c r="S359" i="5" s="1"/>
  <c r="BC359" i="5" s="1"/>
  <c r="R92" i="5" a="1"/>
  <c r="R92" i="5" s="1"/>
  <c r="S92" i="5" s="1"/>
  <c r="BC92" i="5" s="1"/>
  <c r="R2" i="5" a="1"/>
  <c r="R2" i="5" s="1"/>
  <c r="S2" i="5" s="1"/>
  <c r="BC2" i="5" s="1"/>
  <c r="R334" i="5" a="1"/>
  <c r="R334" i="5" s="1"/>
  <c r="R85" i="5" a="1"/>
  <c r="R85" i="5" s="1"/>
  <c r="S85" i="5" s="1"/>
  <c r="BC85" i="5" s="1"/>
  <c r="R73" i="5" a="1"/>
  <c r="R73" i="5" s="1"/>
  <c r="S73" i="5" s="1"/>
  <c r="BC73" i="5" s="1"/>
  <c r="R319" i="5" a="1"/>
  <c r="R319" i="5" s="1"/>
  <c r="S319" i="5" s="1"/>
  <c r="BC319" i="5" s="1"/>
  <c r="R127" i="5" a="1"/>
  <c r="R127" i="5" s="1"/>
  <c r="S127" i="5" s="1"/>
  <c r="BC127" i="5" s="1"/>
  <c r="R373" i="5" a="1"/>
  <c r="R373" i="5" s="1"/>
  <c r="S373" i="5" s="1"/>
  <c r="BC373" i="5" s="1"/>
  <c r="R39" i="5" a="1"/>
  <c r="R39" i="5" s="1"/>
  <c r="R360" i="5" a="1"/>
  <c r="R360" i="5" s="1"/>
  <c r="S360" i="5" s="1"/>
  <c r="BC360" i="5" s="1"/>
  <c r="R135" i="5" a="1"/>
  <c r="R135" i="5" s="1"/>
  <c r="S135" i="5" s="1"/>
  <c r="BC135" i="5" s="1"/>
  <c r="R199" i="5" a="1"/>
  <c r="R199" i="5" s="1"/>
  <c r="S199" i="5" s="1"/>
  <c r="BC199" i="5" s="1"/>
  <c r="R281" i="5" a="1"/>
  <c r="R281" i="5" s="1"/>
  <c r="R259" i="5" a="1"/>
  <c r="R259" i="5" s="1"/>
  <c r="R152" i="5" a="1"/>
  <c r="R152" i="5" s="1"/>
  <c r="R174" i="5" a="1"/>
  <c r="R174" i="5" s="1"/>
  <c r="S174" i="5" s="1"/>
  <c r="BC174" i="5" s="1"/>
  <c r="R256" i="5" a="1"/>
  <c r="R256" i="5" s="1"/>
  <c r="R289" i="5" a="1"/>
  <c r="R289" i="5" s="1"/>
  <c r="R3" i="5" a="1"/>
  <c r="R3" i="5" s="1"/>
  <c r="R247" i="5" a="1"/>
  <c r="R247" i="5" s="1"/>
  <c r="S247" i="5" s="1"/>
  <c r="BC247" i="5" s="1"/>
  <c r="R349" i="5" a="1"/>
  <c r="R349" i="5" s="1"/>
  <c r="S349" i="5" s="1"/>
  <c r="BC349" i="5" s="1"/>
  <c r="R207" i="5" a="1"/>
  <c r="R207" i="5" s="1"/>
  <c r="S207" i="5" s="1"/>
  <c r="BC207" i="5" s="1"/>
  <c r="R16" i="5" a="1"/>
  <c r="R16" i="5" s="1"/>
  <c r="F4" i="3"/>
  <c r="F5" i="3"/>
  <c r="F6" i="3"/>
  <c r="F7" i="3"/>
  <c r="F3" i="3"/>
  <c r="Z251" i="5"/>
  <c r="AF251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" i="5"/>
  <c r="AI285" i="5" a="1"/>
  <c r="AI285" i="5" s="1"/>
  <c r="AI267" i="5" a="1"/>
  <c r="AI267" i="5" s="1"/>
  <c r="AI242" i="5" a="1"/>
  <c r="AI242" i="5" s="1"/>
  <c r="AI239" i="5" a="1"/>
  <c r="AI239" i="5" s="1"/>
  <c r="AI218" i="5" a="1"/>
  <c r="AI218" i="5" s="1"/>
  <c r="AI197" i="5" a="1"/>
  <c r="AI197" i="5" s="1"/>
  <c r="AI192" i="5" a="1"/>
  <c r="AI192" i="5" s="1"/>
  <c r="AI152" i="5" a="1"/>
  <c r="AI152" i="5" s="1"/>
  <c r="AI144" i="5" a="1"/>
  <c r="AI144" i="5" s="1"/>
  <c r="AI141" i="5" a="1"/>
  <c r="AI141" i="5" s="1"/>
  <c r="AI132" i="5" a="1"/>
  <c r="AI132" i="5" s="1"/>
  <c r="AI103" i="5" a="1"/>
  <c r="AI103" i="5" s="1"/>
  <c r="AF324" i="5"/>
  <c r="AF325" i="5"/>
  <c r="AF326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2" i="5"/>
  <c r="F7" i="4"/>
  <c r="F6" i="4"/>
  <c r="F5" i="4"/>
  <c r="F4" i="4"/>
  <c r="F3" i="4"/>
  <c r="G7" i="3"/>
  <c r="G6" i="3"/>
  <c r="G5" i="3"/>
  <c r="G4" i="3"/>
  <c r="G3" i="3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AI68" i="5" a="1"/>
  <c r="AI68" i="5" s="1"/>
  <c r="AI51" i="5" a="1"/>
  <c r="AI51" i="5" s="1"/>
  <c r="U392" i="5" l="1"/>
  <c r="BC392" i="5"/>
  <c r="U391" i="5"/>
  <c r="BC391" i="5"/>
  <c r="U36" i="5"/>
  <c r="BC36" i="5"/>
  <c r="U193" i="5"/>
  <c r="BC193" i="5"/>
  <c r="U250" i="5"/>
  <c r="BC250" i="5"/>
  <c r="U155" i="5"/>
  <c r="BC155" i="5"/>
  <c r="U25" i="5"/>
  <c r="BC25" i="5"/>
  <c r="U270" i="5"/>
  <c r="BC270" i="5"/>
  <c r="U150" i="5"/>
  <c r="BC150" i="5"/>
  <c r="BC37" i="5"/>
  <c r="BC10" i="5"/>
  <c r="BC111" i="5"/>
  <c r="BC271" i="5"/>
  <c r="BC293" i="5"/>
  <c r="BC102" i="5"/>
  <c r="BC365" i="5"/>
  <c r="BC120" i="5"/>
  <c r="BC156" i="5"/>
  <c r="BC171" i="5"/>
  <c r="BC234" i="5"/>
  <c r="BC292" i="5"/>
  <c r="BC8" i="5"/>
  <c r="BC151" i="5"/>
  <c r="BC233" i="5"/>
  <c r="L2" i="11"/>
  <c r="K2" i="11"/>
  <c r="BC2" i="11"/>
  <c r="U2" i="11"/>
  <c r="L3" i="11"/>
  <c r="K3" i="11"/>
  <c r="BC3" i="11"/>
  <c r="U3" i="11"/>
  <c r="L4" i="11"/>
  <c r="K4" i="11"/>
  <c r="BC4" i="11"/>
  <c r="U4" i="11"/>
  <c r="L5" i="11"/>
  <c r="K5" i="11"/>
  <c r="BC5" i="11"/>
  <c r="U5" i="11"/>
  <c r="L6" i="11"/>
  <c r="K6" i="11"/>
  <c r="BC6" i="11"/>
  <c r="U6" i="11"/>
  <c r="L7" i="11"/>
  <c r="K7" i="11"/>
  <c r="BC7" i="11"/>
  <c r="U7" i="11"/>
  <c r="BC8" i="11"/>
  <c r="U8" i="11"/>
  <c r="BC9" i="11"/>
  <c r="U9" i="11"/>
  <c r="BC10" i="11"/>
  <c r="U10" i="11"/>
  <c r="L11" i="11"/>
  <c r="K11" i="11"/>
  <c r="BC11" i="11"/>
  <c r="U11" i="11"/>
  <c r="L12" i="11"/>
  <c r="K12" i="11"/>
  <c r="BC12" i="11"/>
  <c r="U12" i="11"/>
  <c r="L13" i="11"/>
  <c r="K13" i="11"/>
  <c r="BC13" i="11"/>
  <c r="U13" i="11"/>
  <c r="L14" i="11"/>
  <c r="K14" i="11"/>
  <c r="BC14" i="11"/>
  <c r="U14" i="11"/>
  <c r="BC15" i="11"/>
  <c r="U15" i="11"/>
  <c r="L16" i="11"/>
  <c r="G16" i="11" s="1"/>
  <c r="K16" i="11"/>
  <c r="F16" i="11" s="1"/>
  <c r="BC16" i="11"/>
  <c r="U16" i="11"/>
  <c r="L17" i="11"/>
  <c r="K17" i="11"/>
  <c r="BC17" i="11"/>
  <c r="U17" i="11"/>
  <c r="L18" i="11"/>
  <c r="K18" i="11"/>
  <c r="BC18" i="11"/>
  <c r="U18" i="11"/>
  <c r="BC19" i="11"/>
  <c r="U19" i="11"/>
  <c r="L20" i="11"/>
  <c r="K20" i="11"/>
  <c r="BC20" i="11"/>
  <c r="U20" i="11"/>
  <c r="L21" i="11"/>
  <c r="K21" i="11"/>
  <c r="BC21" i="11"/>
  <c r="U21" i="11"/>
  <c r="L22" i="11"/>
  <c r="K22" i="11"/>
  <c r="BC22" i="11"/>
  <c r="U22" i="11"/>
  <c r="L23" i="11"/>
  <c r="G23" i="11" s="1"/>
  <c r="K23" i="11"/>
  <c r="F23" i="11" s="1"/>
  <c r="BC23" i="11"/>
  <c r="U23" i="11"/>
  <c r="L24" i="11"/>
  <c r="K24" i="11"/>
  <c r="BC24" i="11"/>
  <c r="U24" i="11"/>
  <c r="BC25" i="11"/>
  <c r="U25" i="11"/>
  <c r="BC26" i="11"/>
  <c r="U26" i="11"/>
  <c r="L27" i="11"/>
  <c r="K27" i="11"/>
  <c r="BC27" i="11"/>
  <c r="U27" i="11"/>
  <c r="BC28" i="11"/>
  <c r="U28" i="11"/>
  <c r="L29" i="11"/>
  <c r="K29" i="11"/>
  <c r="BC29" i="11"/>
  <c r="U29" i="11"/>
  <c r="L30" i="11"/>
  <c r="K30" i="11"/>
  <c r="BC30" i="11"/>
  <c r="U30" i="11"/>
  <c r="L31" i="11"/>
  <c r="K31" i="11"/>
  <c r="BC31" i="11"/>
  <c r="U31" i="11"/>
  <c r="BC32" i="11"/>
  <c r="U32" i="11"/>
  <c r="L33" i="11"/>
  <c r="K33" i="11"/>
  <c r="BC33" i="11"/>
  <c r="U33" i="11"/>
  <c r="L34" i="11"/>
  <c r="K34" i="11"/>
  <c r="BC34" i="11"/>
  <c r="U34" i="11"/>
  <c r="L35" i="11"/>
  <c r="K35" i="11"/>
  <c r="BC35" i="11"/>
  <c r="U35" i="11"/>
  <c r="BC36" i="11"/>
  <c r="U36" i="11"/>
  <c r="BC37" i="11"/>
  <c r="U37" i="11"/>
  <c r="L38" i="11"/>
  <c r="K38" i="11"/>
  <c r="BC38" i="11"/>
  <c r="U38" i="11"/>
  <c r="L39" i="11"/>
  <c r="G39" i="11" s="1"/>
  <c r="K39" i="11"/>
  <c r="F39" i="11" s="1"/>
  <c r="BC39" i="11"/>
  <c r="U39" i="11"/>
  <c r="L40" i="11"/>
  <c r="K40" i="11"/>
  <c r="BC40" i="11"/>
  <c r="U40" i="11"/>
  <c r="L41" i="11"/>
  <c r="K41" i="11"/>
  <c r="BC41" i="11"/>
  <c r="U41" i="11"/>
  <c r="L42" i="11"/>
  <c r="K42" i="11"/>
  <c r="BC42" i="11"/>
  <c r="U42" i="11"/>
  <c r="L43" i="11"/>
  <c r="G43" i="11" s="1"/>
  <c r="K43" i="11"/>
  <c r="F43" i="11" s="1"/>
  <c r="BC43" i="11"/>
  <c r="U43" i="11"/>
  <c r="L44" i="11"/>
  <c r="K44" i="11"/>
  <c r="BC44" i="11"/>
  <c r="U44" i="11"/>
  <c r="BC45" i="11"/>
  <c r="U45" i="11"/>
  <c r="L46" i="11"/>
  <c r="K46" i="11"/>
  <c r="BC46" i="11"/>
  <c r="U46" i="11"/>
  <c r="L47" i="11"/>
  <c r="K47" i="11"/>
  <c r="BC47" i="11"/>
  <c r="U47" i="11"/>
  <c r="L48" i="11"/>
  <c r="K48" i="11"/>
  <c r="BC48" i="11"/>
  <c r="U48" i="11"/>
  <c r="BC49" i="11"/>
  <c r="U49" i="11"/>
  <c r="L50" i="11"/>
  <c r="K50" i="11"/>
  <c r="BC50" i="11"/>
  <c r="U50" i="11"/>
  <c r="BC51" i="11"/>
  <c r="U51" i="11"/>
  <c r="L52" i="11"/>
  <c r="K52" i="11"/>
  <c r="BC52" i="11"/>
  <c r="U52" i="11"/>
  <c r="L53" i="11"/>
  <c r="G53" i="11" s="1"/>
  <c r="K53" i="11"/>
  <c r="F53" i="11" s="1"/>
  <c r="BC53" i="11"/>
  <c r="U53" i="11"/>
  <c r="L54" i="11"/>
  <c r="K54" i="11"/>
  <c r="BC54" i="11"/>
  <c r="U54" i="11"/>
  <c r="L55" i="11"/>
  <c r="K55" i="11"/>
  <c r="BC55" i="11"/>
  <c r="U55" i="11"/>
  <c r="BC56" i="11"/>
  <c r="U56" i="11"/>
  <c r="L57" i="11"/>
  <c r="K57" i="11"/>
  <c r="BC57" i="11"/>
  <c r="U57" i="11"/>
  <c r="L58" i="11"/>
  <c r="K58" i="11"/>
  <c r="BC58" i="11"/>
  <c r="U58" i="11"/>
  <c r="L59" i="11"/>
  <c r="K59" i="11"/>
  <c r="BC59" i="11"/>
  <c r="U59" i="11"/>
  <c r="L60" i="11"/>
  <c r="K60" i="11"/>
  <c r="BC60" i="11"/>
  <c r="U60" i="11"/>
  <c r="L61" i="11"/>
  <c r="K61" i="11"/>
  <c r="BC61" i="11"/>
  <c r="U61" i="11"/>
  <c r="L62" i="11"/>
  <c r="G62" i="11" s="1"/>
  <c r="K62" i="11"/>
  <c r="F62" i="11" s="1"/>
  <c r="BC62" i="11"/>
  <c r="U62" i="11"/>
  <c r="L63" i="11"/>
  <c r="K63" i="11"/>
  <c r="BC63" i="11"/>
  <c r="U63" i="11"/>
  <c r="L64" i="11"/>
  <c r="K64" i="11"/>
  <c r="BC64" i="11"/>
  <c r="U64" i="11"/>
  <c r="L65" i="11"/>
  <c r="K65" i="11"/>
  <c r="BC65" i="11"/>
  <c r="U65" i="11"/>
  <c r="L66" i="11"/>
  <c r="K66" i="11"/>
  <c r="BC66" i="11"/>
  <c r="U66" i="11"/>
  <c r="L67" i="11"/>
  <c r="K67" i="11"/>
  <c r="BC67" i="11"/>
  <c r="U67" i="11"/>
  <c r="L68" i="11"/>
  <c r="K68" i="11"/>
  <c r="BC68" i="11"/>
  <c r="U68" i="11"/>
  <c r="L69" i="11"/>
  <c r="K69" i="11"/>
  <c r="BC69" i="11"/>
  <c r="U69" i="11"/>
  <c r="L70" i="11"/>
  <c r="K70" i="11"/>
  <c r="BC70" i="11"/>
  <c r="U70" i="11"/>
  <c r="L71" i="11"/>
  <c r="K71" i="11"/>
  <c r="BC71" i="11"/>
  <c r="U71" i="11"/>
  <c r="L72" i="11"/>
  <c r="K72" i="11"/>
  <c r="BC72" i="11"/>
  <c r="U72" i="11"/>
  <c r="L73" i="11"/>
  <c r="K73" i="11"/>
  <c r="BC73" i="11"/>
  <c r="U73" i="11"/>
  <c r="L74" i="11"/>
  <c r="K74" i="11"/>
  <c r="BC74" i="11"/>
  <c r="U74" i="11"/>
  <c r="L75" i="11"/>
  <c r="K75" i="11"/>
  <c r="BC75" i="11"/>
  <c r="U75" i="11"/>
  <c r="L76" i="11"/>
  <c r="K76" i="11"/>
  <c r="BC76" i="11"/>
  <c r="U76" i="11"/>
  <c r="L77" i="11"/>
  <c r="K77" i="11"/>
  <c r="BC77" i="11"/>
  <c r="U77" i="11"/>
  <c r="L78" i="11"/>
  <c r="K78" i="11"/>
  <c r="BC78" i="11"/>
  <c r="U78" i="11"/>
  <c r="L79" i="11"/>
  <c r="G79" i="11" s="1"/>
  <c r="K79" i="11"/>
  <c r="F79" i="11" s="1"/>
  <c r="BC79" i="11"/>
  <c r="U79" i="11"/>
  <c r="L80" i="11"/>
  <c r="K80" i="11"/>
  <c r="BC80" i="11"/>
  <c r="U80" i="11"/>
  <c r="L81" i="11"/>
  <c r="K81" i="11"/>
  <c r="BC81" i="11"/>
  <c r="U81" i="11"/>
  <c r="L82" i="11"/>
  <c r="K82" i="11"/>
  <c r="BC82" i="11"/>
  <c r="U82" i="11"/>
  <c r="L83" i="11"/>
  <c r="K83" i="11"/>
  <c r="BC83" i="11"/>
  <c r="U83" i="11"/>
  <c r="L84" i="11"/>
  <c r="K84" i="11"/>
  <c r="BC84" i="11"/>
  <c r="U84" i="11"/>
  <c r="L85" i="11"/>
  <c r="K85" i="11"/>
  <c r="BC85" i="11"/>
  <c r="U85" i="11"/>
  <c r="BC86" i="11"/>
  <c r="U86" i="11"/>
  <c r="L87" i="11"/>
  <c r="K87" i="11"/>
  <c r="BC87" i="11"/>
  <c r="U87" i="11"/>
  <c r="L88" i="11"/>
  <c r="G88" i="11" s="1"/>
  <c r="K88" i="11"/>
  <c r="F88" i="11" s="1"/>
  <c r="BC88" i="11"/>
  <c r="U88" i="11"/>
  <c r="L89" i="11"/>
  <c r="K89" i="11"/>
  <c r="BC89" i="11"/>
  <c r="U89" i="11"/>
  <c r="L90" i="11"/>
  <c r="K90" i="11"/>
  <c r="BC90" i="11"/>
  <c r="U90" i="11"/>
  <c r="L91" i="11"/>
  <c r="K91" i="11"/>
  <c r="BC91" i="11"/>
  <c r="U91" i="11"/>
  <c r="L92" i="11"/>
  <c r="K92" i="11"/>
  <c r="BC92" i="11"/>
  <c r="U92" i="11"/>
  <c r="BC93" i="11"/>
  <c r="U93" i="11"/>
  <c r="L94" i="11"/>
  <c r="K94" i="11"/>
  <c r="BC94" i="11"/>
  <c r="U94" i="11"/>
  <c r="L95" i="11"/>
  <c r="K95" i="11"/>
  <c r="BC95" i="11"/>
  <c r="U95" i="11"/>
  <c r="L96" i="11"/>
  <c r="K96" i="11"/>
  <c r="BC96" i="11"/>
  <c r="U96" i="11"/>
  <c r="L97" i="11"/>
  <c r="K97" i="11"/>
  <c r="BC97" i="11"/>
  <c r="U97" i="11"/>
  <c r="L98" i="11"/>
  <c r="K98" i="11"/>
  <c r="BC98" i="11"/>
  <c r="U98" i="11"/>
  <c r="L99" i="11"/>
  <c r="K99" i="11"/>
  <c r="BC99" i="11"/>
  <c r="U99" i="11"/>
  <c r="L100" i="11"/>
  <c r="K100" i="11"/>
  <c r="BC100" i="11"/>
  <c r="U100" i="11"/>
  <c r="BC101" i="11"/>
  <c r="U101" i="11"/>
  <c r="BC102" i="11"/>
  <c r="U102" i="11"/>
  <c r="L103" i="11"/>
  <c r="K103" i="11"/>
  <c r="BC103" i="11"/>
  <c r="U103" i="11"/>
  <c r="L104" i="11"/>
  <c r="K104" i="11"/>
  <c r="BC104" i="11"/>
  <c r="U104" i="11"/>
  <c r="L105" i="11"/>
  <c r="K105" i="11"/>
  <c r="BC105" i="11"/>
  <c r="U105" i="11"/>
  <c r="L106" i="11"/>
  <c r="K106" i="11"/>
  <c r="BC106" i="11"/>
  <c r="U106" i="11"/>
  <c r="BC107" i="11"/>
  <c r="U107" i="11"/>
  <c r="L108" i="11"/>
  <c r="K108" i="11"/>
  <c r="BC108" i="11"/>
  <c r="U108" i="11"/>
  <c r="L109" i="11"/>
  <c r="K109" i="11"/>
  <c r="BC109" i="11"/>
  <c r="U109" i="11"/>
  <c r="BC110" i="11"/>
  <c r="U110" i="11"/>
  <c r="BC111" i="11"/>
  <c r="U111" i="11"/>
  <c r="L112" i="11"/>
  <c r="K112" i="11"/>
  <c r="BC112" i="11"/>
  <c r="U112" i="11"/>
  <c r="L113" i="11"/>
  <c r="K113" i="11"/>
  <c r="BC113" i="11"/>
  <c r="U113" i="11"/>
  <c r="L114" i="11"/>
  <c r="K114" i="11"/>
  <c r="BC114" i="11"/>
  <c r="U114" i="11"/>
  <c r="L115" i="11"/>
  <c r="G115" i="11" s="1"/>
  <c r="K115" i="11"/>
  <c r="F115" i="11" s="1"/>
  <c r="BC115" i="11"/>
  <c r="U115" i="11"/>
  <c r="L116" i="11"/>
  <c r="G116" i="11" s="1"/>
  <c r="K116" i="11"/>
  <c r="F116" i="11" s="1"/>
  <c r="BC116" i="11"/>
  <c r="U116" i="11"/>
  <c r="L117" i="11"/>
  <c r="K117" i="11"/>
  <c r="BC117" i="11"/>
  <c r="U117" i="11"/>
  <c r="L118" i="11"/>
  <c r="K118" i="11"/>
  <c r="BC118" i="11"/>
  <c r="U118" i="11"/>
  <c r="L119" i="11"/>
  <c r="K119" i="11"/>
  <c r="BC119" i="11"/>
  <c r="U119" i="11"/>
  <c r="BC120" i="11"/>
  <c r="U120" i="11"/>
  <c r="L121" i="11"/>
  <c r="K121" i="11"/>
  <c r="BC121" i="11"/>
  <c r="U121" i="11"/>
  <c r="L122" i="11"/>
  <c r="K122" i="11"/>
  <c r="BC122" i="11"/>
  <c r="U122" i="11"/>
  <c r="L123" i="11"/>
  <c r="K123" i="11"/>
  <c r="BC123" i="11"/>
  <c r="U123" i="11"/>
  <c r="BC125" i="11"/>
  <c r="U125" i="11"/>
  <c r="L126" i="11"/>
  <c r="K126" i="11"/>
  <c r="BC126" i="11"/>
  <c r="U126" i="11"/>
  <c r="L127" i="11"/>
  <c r="K127" i="11"/>
  <c r="BC127" i="11"/>
  <c r="U127" i="11"/>
  <c r="L128" i="11"/>
  <c r="K128" i="11"/>
  <c r="BC128" i="11"/>
  <c r="U128" i="11"/>
  <c r="L129" i="11"/>
  <c r="K129" i="11"/>
  <c r="BC129" i="11"/>
  <c r="U129" i="11"/>
  <c r="L130" i="11"/>
  <c r="K130" i="11"/>
  <c r="BC130" i="11"/>
  <c r="U130" i="11"/>
  <c r="L131" i="11"/>
  <c r="K131" i="11"/>
  <c r="BC131" i="11"/>
  <c r="U131" i="11"/>
  <c r="L132" i="11"/>
  <c r="K132" i="11"/>
  <c r="BC132" i="11"/>
  <c r="U132" i="11"/>
  <c r="L133" i="11"/>
  <c r="K133" i="11"/>
  <c r="BC133" i="11"/>
  <c r="U133" i="11"/>
  <c r="L134" i="11"/>
  <c r="K134" i="11"/>
  <c r="BC134" i="11"/>
  <c r="U134" i="11"/>
  <c r="L135" i="11"/>
  <c r="K135" i="11"/>
  <c r="BC135" i="11"/>
  <c r="U135" i="11"/>
  <c r="BC136" i="11"/>
  <c r="U136" i="11"/>
  <c r="L137" i="11"/>
  <c r="K137" i="11"/>
  <c r="BC137" i="11"/>
  <c r="U137" i="11"/>
  <c r="L138" i="11"/>
  <c r="K138" i="11"/>
  <c r="BC138" i="11"/>
  <c r="U138" i="11"/>
  <c r="L139" i="11"/>
  <c r="K139" i="11"/>
  <c r="BC139" i="11"/>
  <c r="U139" i="11"/>
  <c r="BC140" i="11"/>
  <c r="U140" i="11"/>
  <c r="L141" i="11"/>
  <c r="K141" i="11"/>
  <c r="BC141" i="11"/>
  <c r="U141" i="11"/>
  <c r="L142" i="11"/>
  <c r="K142" i="11"/>
  <c r="BC142" i="11"/>
  <c r="U142" i="11"/>
  <c r="L143" i="11"/>
  <c r="G143" i="11" s="1"/>
  <c r="K143" i="11"/>
  <c r="F143" i="11" s="1"/>
  <c r="BC143" i="11"/>
  <c r="U143" i="11"/>
  <c r="L144" i="11"/>
  <c r="K144" i="11"/>
  <c r="BC144" i="11"/>
  <c r="U144" i="11"/>
  <c r="L145" i="11"/>
  <c r="K145" i="11"/>
  <c r="BC145" i="11"/>
  <c r="U145" i="11"/>
  <c r="L146" i="11"/>
  <c r="K146" i="11"/>
  <c r="BC146" i="11"/>
  <c r="U146" i="11"/>
  <c r="L147" i="11"/>
  <c r="K147" i="11"/>
  <c r="BC147" i="11"/>
  <c r="U147" i="11"/>
  <c r="L148" i="11"/>
  <c r="G148" i="11" s="1"/>
  <c r="K148" i="11"/>
  <c r="F148" i="11" s="1"/>
  <c r="BC148" i="11"/>
  <c r="U148" i="11"/>
  <c r="L149" i="11"/>
  <c r="K149" i="11"/>
  <c r="BC149" i="11"/>
  <c r="U149" i="11"/>
  <c r="BC150" i="11"/>
  <c r="U150" i="11"/>
  <c r="BC151" i="11"/>
  <c r="U151" i="11"/>
  <c r="L152" i="11"/>
  <c r="K152" i="11"/>
  <c r="BC152" i="11"/>
  <c r="U152" i="11"/>
  <c r="L153" i="11"/>
  <c r="K153" i="11"/>
  <c r="BC153" i="11"/>
  <c r="U153" i="11"/>
  <c r="L154" i="11"/>
  <c r="K154" i="11"/>
  <c r="BC154" i="11"/>
  <c r="U154" i="11"/>
  <c r="BC155" i="11"/>
  <c r="U155" i="11"/>
  <c r="BC156" i="11"/>
  <c r="U156" i="11"/>
  <c r="L157" i="11"/>
  <c r="K157" i="11"/>
  <c r="BC157" i="11"/>
  <c r="U157" i="11"/>
  <c r="L158" i="11"/>
  <c r="K158" i="11"/>
  <c r="BC158" i="11"/>
  <c r="U158" i="11"/>
  <c r="L159" i="11"/>
  <c r="K159" i="11"/>
  <c r="BC159" i="11"/>
  <c r="U159" i="11"/>
  <c r="L160" i="11"/>
  <c r="K160" i="11"/>
  <c r="BC160" i="11"/>
  <c r="U160" i="11"/>
  <c r="L161" i="11"/>
  <c r="K161" i="11"/>
  <c r="BC161" i="11"/>
  <c r="U161" i="11"/>
  <c r="BC162" i="11"/>
  <c r="U162" i="11"/>
  <c r="L163" i="11"/>
  <c r="K163" i="11"/>
  <c r="BC163" i="11"/>
  <c r="U163" i="11"/>
  <c r="L164" i="11"/>
  <c r="K164" i="11"/>
  <c r="BC164" i="11"/>
  <c r="U164" i="11"/>
  <c r="L165" i="11"/>
  <c r="K165" i="11"/>
  <c r="BC165" i="11"/>
  <c r="U165" i="11"/>
  <c r="L166" i="11"/>
  <c r="K166" i="11"/>
  <c r="BC166" i="11"/>
  <c r="U166" i="11"/>
  <c r="L167" i="11"/>
  <c r="K167" i="11"/>
  <c r="BC167" i="11"/>
  <c r="U167" i="11"/>
  <c r="L168" i="11"/>
  <c r="K168" i="11"/>
  <c r="BC168" i="11"/>
  <c r="U168" i="11"/>
  <c r="L169" i="11"/>
  <c r="K169" i="11"/>
  <c r="BC169" i="11"/>
  <c r="U169" i="11"/>
  <c r="L170" i="11"/>
  <c r="K170" i="11"/>
  <c r="BC170" i="11"/>
  <c r="U170" i="11"/>
  <c r="BC171" i="11"/>
  <c r="U171" i="11"/>
  <c r="L172" i="11"/>
  <c r="K172" i="11"/>
  <c r="BC172" i="11"/>
  <c r="U172" i="11"/>
  <c r="L173" i="11"/>
  <c r="K173" i="11"/>
  <c r="BC173" i="11"/>
  <c r="U173" i="11"/>
  <c r="L174" i="11"/>
  <c r="K174" i="11"/>
  <c r="BC174" i="11"/>
  <c r="U174" i="11"/>
  <c r="L175" i="11"/>
  <c r="K175" i="11"/>
  <c r="BC175" i="11"/>
  <c r="U175" i="11"/>
  <c r="L176" i="11"/>
  <c r="K176" i="11"/>
  <c r="BC176" i="11"/>
  <c r="U176" i="11"/>
  <c r="L177" i="11"/>
  <c r="K177" i="11"/>
  <c r="BC177" i="11"/>
  <c r="U177" i="11"/>
  <c r="L178" i="11"/>
  <c r="K178" i="11"/>
  <c r="BC178" i="11"/>
  <c r="U178" i="11"/>
  <c r="L179" i="11"/>
  <c r="K179" i="11"/>
  <c r="BC179" i="11"/>
  <c r="U179" i="11"/>
  <c r="L180" i="11"/>
  <c r="K180" i="11"/>
  <c r="BC180" i="11"/>
  <c r="U180" i="11"/>
  <c r="L181" i="11"/>
  <c r="K181" i="11"/>
  <c r="BC181" i="11"/>
  <c r="U181" i="11"/>
  <c r="L182" i="11"/>
  <c r="K182" i="11"/>
  <c r="BC182" i="11"/>
  <c r="U182" i="11"/>
  <c r="BC183" i="11"/>
  <c r="U183" i="11"/>
  <c r="L184" i="11"/>
  <c r="K184" i="11"/>
  <c r="BC184" i="11"/>
  <c r="U184" i="11"/>
  <c r="L185" i="11"/>
  <c r="K185" i="11"/>
  <c r="BC185" i="11"/>
  <c r="U185" i="11"/>
  <c r="L186" i="11"/>
  <c r="K186" i="11"/>
  <c r="BC186" i="11"/>
  <c r="U186" i="11"/>
  <c r="L187" i="11"/>
  <c r="K187" i="11"/>
  <c r="BC187" i="11"/>
  <c r="U187" i="11"/>
  <c r="L188" i="11"/>
  <c r="K188" i="11"/>
  <c r="BC188" i="11"/>
  <c r="U188" i="11"/>
  <c r="L189" i="11"/>
  <c r="K189" i="11"/>
  <c r="BC189" i="11"/>
  <c r="U189" i="11"/>
  <c r="L190" i="11"/>
  <c r="K190" i="11"/>
  <c r="BC190" i="11"/>
  <c r="U190" i="11"/>
  <c r="L191" i="11"/>
  <c r="K191" i="11"/>
  <c r="BC191" i="11"/>
  <c r="U191" i="11"/>
  <c r="BC192" i="11"/>
  <c r="U192" i="11"/>
  <c r="BC193" i="11"/>
  <c r="U193" i="11"/>
  <c r="BC194" i="11"/>
  <c r="U194" i="11"/>
  <c r="L195" i="11"/>
  <c r="K195" i="11"/>
  <c r="BC195" i="11"/>
  <c r="U195" i="11"/>
  <c r="L196" i="11"/>
  <c r="K196" i="11"/>
  <c r="BC196" i="11"/>
  <c r="U196" i="11"/>
  <c r="L197" i="11"/>
  <c r="K197" i="11"/>
  <c r="BC197" i="11"/>
  <c r="U197" i="11"/>
  <c r="L198" i="11"/>
  <c r="K198" i="11"/>
  <c r="BC198" i="11"/>
  <c r="U198" i="11"/>
  <c r="L199" i="11"/>
  <c r="K199" i="11"/>
  <c r="BC199" i="11"/>
  <c r="U199" i="11"/>
  <c r="L200" i="11"/>
  <c r="K200" i="11"/>
  <c r="BC200" i="11"/>
  <c r="U200" i="11"/>
  <c r="L201" i="11"/>
  <c r="K201" i="11"/>
  <c r="BC201" i="11"/>
  <c r="U201" i="11"/>
  <c r="L202" i="11"/>
  <c r="K202" i="11"/>
  <c r="BC202" i="11"/>
  <c r="U202" i="11"/>
  <c r="BC204" i="11"/>
  <c r="U204" i="11"/>
  <c r="L205" i="11"/>
  <c r="K205" i="11"/>
  <c r="BC205" i="11"/>
  <c r="U205" i="11"/>
  <c r="L206" i="11"/>
  <c r="K206" i="11"/>
  <c r="BC206" i="11"/>
  <c r="U206" i="11"/>
  <c r="L207" i="11"/>
  <c r="K207" i="11"/>
  <c r="BC207" i="11"/>
  <c r="U207" i="11"/>
  <c r="L208" i="11"/>
  <c r="K208" i="11"/>
  <c r="BC208" i="11"/>
  <c r="U208" i="11"/>
  <c r="L209" i="11"/>
  <c r="K209" i="11"/>
  <c r="BC209" i="11"/>
  <c r="U209" i="11"/>
  <c r="L210" i="11"/>
  <c r="K210" i="11"/>
  <c r="BC210" i="11"/>
  <c r="U210" i="11"/>
  <c r="L211" i="11"/>
  <c r="K211" i="11"/>
  <c r="BC211" i="11"/>
  <c r="U211" i="11"/>
  <c r="L212" i="11"/>
  <c r="K212" i="11"/>
  <c r="BC212" i="11"/>
  <c r="U212" i="11"/>
  <c r="L213" i="11"/>
  <c r="K213" i="11"/>
  <c r="BC213" i="11"/>
  <c r="U213" i="11"/>
  <c r="L214" i="11"/>
  <c r="K214" i="11"/>
  <c r="BC214" i="11"/>
  <c r="U214" i="11"/>
  <c r="L215" i="11"/>
  <c r="K215" i="11"/>
  <c r="BC215" i="11"/>
  <c r="U215" i="11"/>
  <c r="L216" i="11"/>
  <c r="K216" i="11"/>
  <c r="BC216" i="11"/>
  <c r="U216" i="11"/>
  <c r="L217" i="11"/>
  <c r="K217" i="11"/>
  <c r="BC217" i="11"/>
  <c r="U217" i="11"/>
  <c r="L218" i="11"/>
  <c r="K218" i="11"/>
  <c r="BC218" i="11"/>
  <c r="U218" i="11"/>
  <c r="L219" i="11"/>
  <c r="K219" i="11"/>
  <c r="BC219" i="11"/>
  <c r="U219" i="11"/>
  <c r="L220" i="11"/>
  <c r="K220" i="11"/>
  <c r="BC220" i="11"/>
  <c r="U220" i="11"/>
  <c r="L221" i="11"/>
  <c r="G221" i="11" s="1"/>
  <c r="K221" i="11"/>
  <c r="F221" i="11" s="1"/>
  <c r="BC221" i="11"/>
  <c r="U221" i="11"/>
  <c r="L222" i="11"/>
  <c r="K222" i="11"/>
  <c r="BC222" i="11"/>
  <c r="U222" i="11"/>
  <c r="L223" i="11"/>
  <c r="K223" i="11"/>
  <c r="BC223" i="11"/>
  <c r="U223" i="11"/>
  <c r="L224" i="11"/>
  <c r="K224" i="11"/>
  <c r="BC224" i="11"/>
  <c r="U224" i="11"/>
  <c r="L225" i="11"/>
  <c r="K225" i="11"/>
  <c r="BC225" i="11"/>
  <c r="U225" i="11"/>
  <c r="L226" i="11"/>
  <c r="K226" i="11"/>
  <c r="BC226" i="11"/>
  <c r="U226" i="11"/>
  <c r="L227" i="11"/>
  <c r="K227" i="11"/>
  <c r="BC227" i="11"/>
  <c r="U227" i="11"/>
  <c r="BC228" i="11"/>
  <c r="U228" i="11"/>
  <c r="L229" i="11"/>
  <c r="K229" i="11"/>
  <c r="BC229" i="11"/>
  <c r="U229" i="11"/>
  <c r="BC230" i="11"/>
  <c r="U230" i="11"/>
  <c r="L231" i="11"/>
  <c r="K231" i="11"/>
  <c r="BC231" i="11"/>
  <c r="U231" i="11"/>
  <c r="L232" i="11"/>
  <c r="K232" i="11"/>
  <c r="BC232" i="11"/>
  <c r="U232" i="11"/>
  <c r="BC233" i="11"/>
  <c r="U233" i="11"/>
  <c r="BC234" i="11"/>
  <c r="U234" i="11"/>
  <c r="L235" i="11"/>
  <c r="K235" i="11"/>
  <c r="BC235" i="11"/>
  <c r="U235" i="11"/>
  <c r="L236" i="11"/>
  <c r="K236" i="11"/>
  <c r="BC236" i="11"/>
  <c r="U236" i="11"/>
  <c r="L237" i="11"/>
  <c r="K237" i="11"/>
  <c r="BC237" i="11"/>
  <c r="U237" i="11"/>
  <c r="L238" i="11"/>
  <c r="K238" i="11"/>
  <c r="BC238" i="11"/>
  <c r="U238" i="11"/>
  <c r="L239" i="11"/>
  <c r="K239" i="11"/>
  <c r="BC239" i="11"/>
  <c r="U239" i="11"/>
  <c r="L240" i="11"/>
  <c r="K240" i="11"/>
  <c r="BC240" i="11"/>
  <c r="U240" i="11"/>
  <c r="L241" i="11"/>
  <c r="K241" i="11"/>
  <c r="BC241" i="11"/>
  <c r="U241" i="11"/>
  <c r="L242" i="11"/>
  <c r="K242" i="11"/>
  <c r="BC242" i="11"/>
  <c r="U242" i="11"/>
  <c r="L243" i="11"/>
  <c r="K243" i="11"/>
  <c r="BC243" i="11"/>
  <c r="U243" i="11"/>
  <c r="L244" i="11"/>
  <c r="K244" i="11"/>
  <c r="BC244" i="11"/>
  <c r="U244" i="11"/>
  <c r="L245" i="11"/>
  <c r="K245" i="11"/>
  <c r="BC245" i="11"/>
  <c r="U245" i="11"/>
  <c r="L246" i="11"/>
  <c r="K246" i="11"/>
  <c r="BC246" i="11"/>
  <c r="U246" i="11"/>
  <c r="L247" i="11"/>
  <c r="K247" i="11"/>
  <c r="BC247" i="11"/>
  <c r="U247" i="11"/>
  <c r="BC248" i="11"/>
  <c r="U248" i="11"/>
  <c r="BC249" i="11"/>
  <c r="U249" i="11"/>
  <c r="BC250" i="11"/>
  <c r="U250" i="11"/>
  <c r="BC251" i="11"/>
  <c r="U251" i="11"/>
  <c r="L252" i="11"/>
  <c r="G252" i="11" s="1"/>
  <c r="K252" i="11"/>
  <c r="F252" i="11" s="1"/>
  <c r="BC252" i="11"/>
  <c r="U252" i="11"/>
  <c r="L253" i="11"/>
  <c r="G253" i="11" s="1"/>
  <c r="K253" i="11"/>
  <c r="F253" i="11" s="1"/>
  <c r="BC253" i="11"/>
  <c r="U253" i="11"/>
  <c r="L254" i="11"/>
  <c r="K254" i="11"/>
  <c r="BC254" i="11"/>
  <c r="U254" i="11"/>
  <c r="L255" i="11"/>
  <c r="K255" i="11"/>
  <c r="BC255" i="11"/>
  <c r="U255" i="11"/>
  <c r="L256" i="11"/>
  <c r="K256" i="11"/>
  <c r="BC256" i="11"/>
  <c r="U256" i="11"/>
  <c r="L257" i="11"/>
  <c r="K257" i="11"/>
  <c r="BC257" i="11"/>
  <c r="U257" i="11"/>
  <c r="L258" i="11"/>
  <c r="K258" i="11"/>
  <c r="BC258" i="11"/>
  <c r="U258" i="11"/>
  <c r="L259" i="11"/>
  <c r="K259" i="11"/>
  <c r="BC259" i="11"/>
  <c r="U259" i="11"/>
  <c r="L260" i="11"/>
  <c r="G260" i="11" s="1"/>
  <c r="K260" i="11"/>
  <c r="F260" i="11" s="1"/>
  <c r="BC260" i="11"/>
  <c r="U260" i="11"/>
  <c r="L261" i="11"/>
  <c r="K261" i="11"/>
  <c r="BC261" i="11"/>
  <c r="U261" i="11"/>
  <c r="L262" i="11"/>
  <c r="K262" i="11"/>
  <c r="BC262" i="11"/>
  <c r="U262" i="11"/>
  <c r="BC263" i="11"/>
  <c r="U263" i="11"/>
  <c r="L264" i="11"/>
  <c r="K264" i="11"/>
  <c r="BC264" i="11"/>
  <c r="U264" i="11"/>
  <c r="L265" i="11"/>
  <c r="K265" i="11"/>
  <c r="BC265" i="11"/>
  <c r="U265" i="11"/>
  <c r="L266" i="11"/>
  <c r="G266" i="11" s="1"/>
  <c r="K266" i="11"/>
  <c r="F266" i="11" s="1"/>
  <c r="BC266" i="11"/>
  <c r="U266" i="11"/>
  <c r="L267" i="11"/>
  <c r="K267" i="11"/>
  <c r="BC267" i="11"/>
  <c r="U267" i="11"/>
  <c r="L268" i="11"/>
  <c r="K268" i="11"/>
  <c r="BC268" i="11"/>
  <c r="U268" i="11"/>
  <c r="L269" i="11"/>
  <c r="K269" i="11"/>
  <c r="BC269" i="11"/>
  <c r="U269" i="11"/>
  <c r="BC270" i="11"/>
  <c r="U270" i="11"/>
  <c r="BC271" i="11"/>
  <c r="U271" i="11"/>
  <c r="L272" i="11"/>
  <c r="K272" i="11"/>
  <c r="BC272" i="11"/>
  <c r="U272" i="11"/>
  <c r="L273" i="11"/>
  <c r="K273" i="11"/>
  <c r="BC273" i="11"/>
  <c r="U273" i="11"/>
  <c r="L274" i="11"/>
  <c r="K274" i="11"/>
  <c r="BC274" i="11"/>
  <c r="U274" i="11"/>
  <c r="L275" i="11"/>
  <c r="K275" i="11"/>
  <c r="BC275" i="11"/>
  <c r="U275" i="11"/>
  <c r="L276" i="11"/>
  <c r="K276" i="11"/>
  <c r="BC276" i="11"/>
  <c r="U276" i="11"/>
  <c r="L277" i="11"/>
  <c r="K277" i="11"/>
  <c r="BC277" i="11"/>
  <c r="U277" i="11"/>
  <c r="L278" i="11"/>
  <c r="K278" i="11"/>
  <c r="BC278" i="11"/>
  <c r="U278" i="11"/>
  <c r="BC279" i="11"/>
  <c r="U279" i="11"/>
  <c r="L280" i="11"/>
  <c r="K280" i="11"/>
  <c r="BC280" i="11"/>
  <c r="U280" i="11"/>
  <c r="L281" i="11"/>
  <c r="K281" i="11"/>
  <c r="BC281" i="11"/>
  <c r="U281" i="11"/>
  <c r="BC282" i="11"/>
  <c r="U282" i="11"/>
  <c r="L283" i="11"/>
  <c r="K283" i="11"/>
  <c r="BC283" i="11"/>
  <c r="U283" i="11"/>
  <c r="L284" i="11"/>
  <c r="K284" i="11"/>
  <c r="BC284" i="11"/>
  <c r="U284" i="11"/>
  <c r="L285" i="11"/>
  <c r="K285" i="11"/>
  <c r="BC285" i="11"/>
  <c r="U285" i="11"/>
  <c r="L286" i="11"/>
  <c r="K286" i="11"/>
  <c r="BC286" i="11"/>
  <c r="U286" i="11"/>
  <c r="L287" i="11"/>
  <c r="G287" i="11" s="1"/>
  <c r="K287" i="11"/>
  <c r="F287" i="11" s="1"/>
  <c r="BC287" i="11"/>
  <c r="U287" i="11"/>
  <c r="L288" i="11"/>
  <c r="K288" i="11"/>
  <c r="BC288" i="11"/>
  <c r="U288" i="11"/>
  <c r="L289" i="11"/>
  <c r="K289" i="11"/>
  <c r="BC289" i="11"/>
  <c r="U289" i="11"/>
  <c r="L290" i="11"/>
  <c r="K290" i="11"/>
  <c r="BC290" i="11"/>
  <c r="U290" i="11"/>
  <c r="L291" i="11"/>
  <c r="K291" i="11"/>
  <c r="BC291" i="11"/>
  <c r="U291" i="11"/>
  <c r="BC292" i="11"/>
  <c r="U292" i="11"/>
  <c r="BC293" i="11"/>
  <c r="U293" i="11"/>
  <c r="L294" i="11"/>
  <c r="K294" i="11"/>
  <c r="BC294" i="11"/>
  <c r="U294" i="11"/>
  <c r="L295" i="11"/>
  <c r="K295" i="11"/>
  <c r="BC295" i="11"/>
  <c r="U295" i="11"/>
  <c r="L296" i="11"/>
  <c r="K296" i="11"/>
  <c r="BC296" i="11"/>
  <c r="U296" i="11"/>
  <c r="L297" i="11"/>
  <c r="K297" i="11"/>
  <c r="BC297" i="11"/>
  <c r="U297" i="11"/>
  <c r="L298" i="11"/>
  <c r="K298" i="11"/>
  <c r="BC298" i="11"/>
  <c r="U298" i="11"/>
  <c r="L299" i="11"/>
  <c r="K299" i="11"/>
  <c r="BC299" i="11"/>
  <c r="U299" i="11"/>
  <c r="L300" i="11"/>
  <c r="K300" i="11"/>
  <c r="BC300" i="11"/>
  <c r="U300" i="11"/>
  <c r="L301" i="11"/>
  <c r="K301" i="11"/>
  <c r="BC301" i="11"/>
  <c r="U301" i="11"/>
  <c r="L302" i="11"/>
  <c r="K302" i="11"/>
  <c r="BC302" i="11"/>
  <c r="U302" i="11"/>
  <c r="L303" i="11"/>
  <c r="K303" i="11"/>
  <c r="BC303" i="11"/>
  <c r="U303" i="11"/>
  <c r="L304" i="11"/>
  <c r="K304" i="11"/>
  <c r="BC304" i="11"/>
  <c r="U304" i="11"/>
  <c r="L305" i="11"/>
  <c r="K305" i="11"/>
  <c r="BC305" i="11"/>
  <c r="U305" i="11"/>
  <c r="L306" i="11"/>
  <c r="K306" i="11"/>
  <c r="BC306" i="11"/>
  <c r="U306" i="11"/>
  <c r="L307" i="11"/>
  <c r="K307" i="11"/>
  <c r="BC307" i="11"/>
  <c r="U307" i="11"/>
  <c r="L308" i="11"/>
  <c r="K308" i="11"/>
  <c r="BC308" i="11"/>
  <c r="U308" i="11"/>
  <c r="L309" i="11"/>
  <c r="K309" i="11"/>
  <c r="BC309" i="11"/>
  <c r="U309" i="11"/>
  <c r="L310" i="11"/>
  <c r="K310" i="11"/>
  <c r="BC310" i="11"/>
  <c r="U310" i="11"/>
  <c r="L311" i="11"/>
  <c r="K311" i="11"/>
  <c r="BC311" i="11"/>
  <c r="U311" i="11"/>
  <c r="L312" i="11"/>
  <c r="K312" i="11"/>
  <c r="BC312" i="11"/>
  <c r="U312" i="11"/>
  <c r="L313" i="11"/>
  <c r="K313" i="11"/>
  <c r="BC313" i="11"/>
  <c r="U313" i="11"/>
  <c r="BC314" i="11"/>
  <c r="U314" i="11"/>
  <c r="L315" i="11"/>
  <c r="K315" i="11"/>
  <c r="BC315" i="11"/>
  <c r="U315" i="11"/>
  <c r="L316" i="11"/>
  <c r="K316" i="11"/>
  <c r="BC316" i="11"/>
  <c r="U316" i="11"/>
  <c r="L317" i="11"/>
  <c r="K317" i="11"/>
  <c r="BC317" i="11"/>
  <c r="U317" i="11"/>
  <c r="L318" i="11"/>
  <c r="K318" i="11"/>
  <c r="BC318" i="11"/>
  <c r="U318" i="11"/>
  <c r="L319" i="11"/>
  <c r="K319" i="11"/>
  <c r="BC319" i="11"/>
  <c r="U319" i="11"/>
  <c r="L320" i="11"/>
  <c r="K320" i="11"/>
  <c r="BC320" i="11"/>
  <c r="U320" i="11"/>
  <c r="L321" i="11"/>
  <c r="K321" i="11"/>
  <c r="BC321" i="11"/>
  <c r="U321" i="11"/>
  <c r="L322" i="11"/>
  <c r="K322" i="11"/>
  <c r="BC322" i="11"/>
  <c r="U322" i="11"/>
  <c r="BC323" i="11"/>
  <c r="U323" i="11"/>
  <c r="L324" i="11"/>
  <c r="K324" i="11"/>
  <c r="BC324" i="11"/>
  <c r="U324" i="11"/>
  <c r="L325" i="11"/>
  <c r="K325" i="11"/>
  <c r="BC325" i="11"/>
  <c r="U325" i="11"/>
  <c r="L326" i="11"/>
  <c r="K326" i="11"/>
  <c r="BC326" i="11"/>
  <c r="U326" i="11"/>
  <c r="L327" i="11"/>
  <c r="K327" i="11"/>
  <c r="BC327" i="11"/>
  <c r="U327" i="11"/>
  <c r="L328" i="11"/>
  <c r="K328" i="11"/>
  <c r="BC328" i="11"/>
  <c r="U328" i="11"/>
  <c r="L329" i="11"/>
  <c r="K329" i="11"/>
  <c r="BC329" i="11"/>
  <c r="U329" i="11"/>
  <c r="L330" i="11"/>
  <c r="K330" i="11"/>
  <c r="BC330" i="11"/>
  <c r="U330" i="11"/>
  <c r="L331" i="11"/>
  <c r="K331" i="11"/>
  <c r="BC331" i="11"/>
  <c r="U331" i="11"/>
  <c r="L332" i="11"/>
  <c r="K332" i="11"/>
  <c r="BC332" i="11"/>
  <c r="U332" i="11"/>
  <c r="L333" i="11"/>
  <c r="K333" i="11"/>
  <c r="BC333" i="11"/>
  <c r="U333" i="11"/>
  <c r="L334" i="11"/>
  <c r="K334" i="11"/>
  <c r="BC334" i="11"/>
  <c r="U334" i="11"/>
  <c r="L335" i="11"/>
  <c r="K335" i="11"/>
  <c r="BC335" i="11"/>
  <c r="U335" i="11"/>
  <c r="L336" i="11"/>
  <c r="K336" i="11"/>
  <c r="BC336" i="11"/>
  <c r="U336" i="11"/>
  <c r="L337" i="11"/>
  <c r="K337" i="11"/>
  <c r="BC337" i="11"/>
  <c r="U337" i="11"/>
  <c r="L338" i="11"/>
  <c r="K338" i="11"/>
  <c r="BC338" i="11"/>
  <c r="U338" i="11"/>
  <c r="L339" i="11"/>
  <c r="K339" i="11"/>
  <c r="BC339" i="11"/>
  <c r="U339" i="11"/>
  <c r="L340" i="11"/>
  <c r="K340" i="11"/>
  <c r="BC340" i="11"/>
  <c r="U340" i="11"/>
  <c r="L341" i="11"/>
  <c r="K341" i="11"/>
  <c r="BC341" i="11"/>
  <c r="U341" i="11"/>
  <c r="L342" i="11"/>
  <c r="K342" i="11"/>
  <c r="BC342" i="11"/>
  <c r="U342" i="11"/>
  <c r="L343" i="11"/>
  <c r="K343" i="11"/>
  <c r="BC343" i="11"/>
  <c r="U343" i="11"/>
  <c r="L344" i="11"/>
  <c r="K344" i="11"/>
  <c r="BC344" i="11"/>
  <c r="U344" i="11"/>
  <c r="L345" i="11"/>
  <c r="K345" i="11"/>
  <c r="BC345" i="11"/>
  <c r="U345" i="11"/>
  <c r="L346" i="11"/>
  <c r="K346" i="11"/>
  <c r="BC346" i="11"/>
  <c r="U346" i="11"/>
  <c r="L347" i="11"/>
  <c r="K347" i="11"/>
  <c r="BC347" i="11"/>
  <c r="U347" i="11"/>
  <c r="L348" i="11"/>
  <c r="K348" i="11"/>
  <c r="BC348" i="11"/>
  <c r="U348" i="11"/>
  <c r="L349" i="11"/>
  <c r="K349" i="11"/>
  <c r="BC349" i="11"/>
  <c r="U349" i="11"/>
  <c r="L350" i="11"/>
  <c r="K350" i="11"/>
  <c r="BC350" i="11"/>
  <c r="U350" i="11"/>
  <c r="L351" i="11"/>
  <c r="K351" i="11"/>
  <c r="BC351" i="11"/>
  <c r="U351" i="11"/>
  <c r="L352" i="11"/>
  <c r="K352" i="11"/>
  <c r="BC352" i="11"/>
  <c r="U352" i="11"/>
  <c r="L353" i="11"/>
  <c r="K353" i="11"/>
  <c r="BC353" i="11"/>
  <c r="U353" i="11"/>
  <c r="L354" i="11"/>
  <c r="K354" i="11"/>
  <c r="BC354" i="11"/>
  <c r="U354" i="11"/>
  <c r="L355" i="11"/>
  <c r="K355" i="11"/>
  <c r="BC355" i="11"/>
  <c r="U355" i="11"/>
  <c r="L356" i="11"/>
  <c r="K356" i="11"/>
  <c r="BC356" i="11"/>
  <c r="U356" i="11"/>
  <c r="L357" i="11"/>
  <c r="K357" i="11"/>
  <c r="BC357" i="11"/>
  <c r="U357" i="11"/>
  <c r="L358" i="11"/>
  <c r="K358" i="11"/>
  <c r="BC358" i="11"/>
  <c r="U358" i="11"/>
  <c r="L359" i="11"/>
  <c r="K359" i="11"/>
  <c r="BC359" i="11"/>
  <c r="U359" i="11"/>
  <c r="L360" i="11"/>
  <c r="K360" i="11"/>
  <c r="BC360" i="11"/>
  <c r="U360" i="11"/>
  <c r="L361" i="11"/>
  <c r="K361" i="11"/>
  <c r="BC361" i="11"/>
  <c r="U361" i="11"/>
  <c r="L362" i="11"/>
  <c r="K362" i="11"/>
  <c r="BC362" i="11"/>
  <c r="U362" i="11"/>
  <c r="BC363" i="11"/>
  <c r="U363" i="11"/>
  <c r="BC364" i="11"/>
  <c r="U364" i="11"/>
  <c r="BC365" i="11"/>
  <c r="U365" i="11"/>
  <c r="BC366" i="11"/>
  <c r="U366" i="11"/>
  <c r="L367" i="11"/>
  <c r="K367" i="11"/>
  <c r="BC367" i="11"/>
  <c r="U367" i="11"/>
  <c r="L368" i="11"/>
  <c r="G368" i="11" s="1"/>
  <c r="K368" i="11"/>
  <c r="F368" i="11" s="1"/>
  <c r="BC368" i="11"/>
  <c r="U368" i="11"/>
  <c r="L369" i="11"/>
  <c r="K369" i="11"/>
  <c r="BC369" i="11"/>
  <c r="U369" i="11"/>
  <c r="L370" i="11"/>
  <c r="K370" i="11"/>
  <c r="BC370" i="11"/>
  <c r="U370" i="11"/>
  <c r="L371" i="11"/>
  <c r="K371" i="11"/>
  <c r="BC371" i="11"/>
  <c r="U371" i="11"/>
  <c r="L372" i="11"/>
  <c r="K372" i="11"/>
  <c r="BC372" i="11"/>
  <c r="U372" i="11"/>
  <c r="L373" i="11"/>
  <c r="G373" i="11" s="1"/>
  <c r="K373" i="11"/>
  <c r="F373" i="11" s="1"/>
  <c r="BC373" i="11"/>
  <c r="U373" i="11"/>
  <c r="L374" i="11"/>
  <c r="K374" i="11"/>
  <c r="BC374" i="11"/>
  <c r="U374" i="11"/>
  <c r="L375" i="11"/>
  <c r="K375" i="11"/>
  <c r="BC375" i="11"/>
  <c r="U375" i="11"/>
  <c r="L376" i="11"/>
  <c r="K376" i="11"/>
  <c r="BC376" i="11"/>
  <c r="U376" i="11"/>
  <c r="L377" i="11"/>
  <c r="G377" i="11" s="1"/>
  <c r="K377" i="11"/>
  <c r="F377" i="11" s="1"/>
  <c r="BC377" i="11"/>
  <c r="U377" i="11"/>
  <c r="L378" i="11"/>
  <c r="K378" i="11"/>
  <c r="BC378" i="11"/>
  <c r="U378" i="11"/>
  <c r="L379" i="11"/>
  <c r="K379" i="11"/>
  <c r="BC379" i="11"/>
  <c r="U379" i="11"/>
  <c r="L380" i="11"/>
  <c r="K380" i="11"/>
  <c r="BC380" i="11"/>
  <c r="U380" i="11"/>
  <c r="L381" i="11"/>
  <c r="K381" i="11"/>
  <c r="BC381" i="11"/>
  <c r="U381" i="11"/>
  <c r="L382" i="11"/>
  <c r="K382" i="11"/>
  <c r="BC382" i="11"/>
  <c r="U382" i="11"/>
  <c r="L383" i="11"/>
  <c r="K383" i="11"/>
  <c r="BC383" i="11"/>
  <c r="U383" i="11"/>
  <c r="L384" i="11"/>
  <c r="K384" i="11"/>
  <c r="BC384" i="11"/>
  <c r="U384" i="11"/>
  <c r="BC385" i="11"/>
  <c r="U385" i="11"/>
  <c r="BC386" i="11"/>
  <c r="U386" i="11"/>
  <c r="BC387" i="11"/>
  <c r="U387" i="11"/>
  <c r="BC388" i="11"/>
  <c r="U388" i="11"/>
  <c r="BC389" i="11"/>
  <c r="U389" i="11"/>
  <c r="BC390" i="11"/>
  <c r="U390" i="11"/>
  <c r="BC391" i="11"/>
  <c r="U391" i="11"/>
  <c r="BC392" i="11"/>
  <c r="U392" i="11"/>
  <c r="U282" i="5"/>
  <c r="U183" i="5"/>
  <c r="U162" i="5"/>
  <c r="U387" i="5"/>
  <c r="U363" i="5"/>
  <c r="U194" i="5"/>
  <c r="U263" i="5"/>
  <c r="U140" i="5"/>
  <c r="U228" i="5"/>
  <c r="U107" i="5"/>
  <c r="U230" i="5"/>
  <c r="U248" i="5"/>
  <c r="U385" i="5"/>
  <c r="U32" i="5"/>
  <c r="U110" i="5"/>
  <c r="U204" i="5"/>
  <c r="U10" i="5"/>
  <c r="U111" i="5"/>
  <c r="U102" i="5"/>
  <c r="U156" i="5"/>
  <c r="U234" i="5"/>
  <c r="U292" i="5"/>
  <c r="U8" i="5"/>
  <c r="U390" i="5"/>
  <c r="U249" i="5"/>
  <c r="U15" i="5"/>
  <c r="U51" i="5"/>
  <c r="U314" i="5"/>
  <c r="U93" i="5"/>
  <c r="U28" i="5"/>
  <c r="U192" i="5"/>
  <c r="U9" i="5"/>
  <c r="U86" i="5"/>
  <c r="U389" i="5"/>
  <c r="U279" i="5"/>
  <c r="U251" i="5"/>
  <c r="U37" i="5"/>
  <c r="U271" i="5"/>
  <c r="U293" i="5"/>
  <c r="U151" i="5"/>
  <c r="U56" i="5"/>
  <c r="U136" i="5"/>
  <c r="U125" i="5"/>
  <c r="U366" i="5"/>
  <c r="U365" i="5"/>
  <c r="U19" i="5"/>
  <c r="U233" i="5"/>
  <c r="U388" i="5"/>
  <c r="U323" i="5"/>
  <c r="U101" i="5"/>
  <c r="U120" i="5"/>
  <c r="U171" i="5"/>
  <c r="U45" i="5"/>
  <c r="U364" i="5"/>
  <c r="U386" i="5"/>
  <c r="U49" i="5"/>
  <c r="U26" i="5"/>
  <c r="U207" i="5"/>
  <c r="U349" i="5"/>
  <c r="U247" i="5"/>
  <c r="U174" i="5"/>
  <c r="U199" i="5"/>
  <c r="U135" i="5"/>
  <c r="U360" i="5"/>
  <c r="U373" i="5"/>
  <c r="U127" i="5"/>
  <c r="U319" i="5"/>
  <c r="U73" i="5"/>
  <c r="U85" i="5"/>
  <c r="U2" i="5"/>
  <c r="U92" i="5"/>
  <c r="U359" i="5"/>
  <c r="U61" i="5"/>
  <c r="U358" i="5"/>
  <c r="U60" i="5"/>
  <c r="U382" i="5"/>
  <c r="U187" i="5"/>
  <c r="U357" i="5"/>
  <c r="U154" i="5"/>
  <c r="U210" i="5"/>
  <c r="U84" i="5"/>
  <c r="U384" i="5"/>
  <c r="U356" i="5"/>
  <c r="U14" i="5"/>
  <c r="U89" i="5"/>
  <c r="U114" i="5"/>
  <c r="U31" i="5"/>
  <c r="U119" i="5"/>
  <c r="U82" i="5"/>
  <c r="U41" i="5"/>
  <c r="U261" i="5"/>
  <c r="U186" i="5"/>
  <c r="U66" i="5"/>
  <c r="U65" i="5"/>
  <c r="U253" i="5"/>
  <c r="U79" i="5"/>
  <c r="U126" i="5"/>
  <c r="U157" i="5"/>
  <c r="U355" i="5"/>
  <c r="U83" i="5"/>
  <c r="U311" i="5"/>
  <c r="U208" i="5"/>
  <c r="U316" i="5"/>
  <c r="U219" i="5"/>
  <c r="U34" i="5"/>
  <c r="U242" i="5"/>
  <c r="U7" i="5"/>
  <c r="U354" i="5"/>
  <c r="U206" i="5"/>
  <c r="U353" i="5"/>
  <c r="U118" i="5"/>
  <c r="U170" i="5"/>
  <c r="U211" i="5"/>
  <c r="U169" i="5"/>
  <c r="U309" i="5"/>
  <c r="U181" i="5"/>
  <c r="U185" i="5"/>
  <c r="U173" i="5"/>
  <c r="U58" i="5"/>
  <c r="U322" i="5"/>
  <c r="U352" i="5"/>
  <c r="U375" i="5"/>
  <c r="U50" i="5"/>
  <c r="U131" i="5"/>
  <c r="U30" i="5"/>
  <c r="U351" i="5"/>
  <c r="U168" i="5"/>
  <c r="U81" i="5"/>
  <c r="U137" i="5"/>
  <c r="U64" i="5"/>
  <c r="U18" i="5"/>
  <c r="U70" i="5"/>
  <c r="U191" i="5"/>
  <c r="U350" i="5"/>
  <c r="U218" i="5"/>
  <c r="U299" i="5"/>
  <c r="U213" i="5"/>
  <c r="U301" i="5"/>
  <c r="U158" i="5"/>
  <c r="U348" i="5"/>
  <c r="U141" i="5"/>
  <c r="U123" i="5"/>
  <c r="U362" i="5"/>
  <c r="U13" i="5"/>
  <c r="U188" i="5"/>
  <c r="U308" i="5"/>
  <c r="U113" i="5"/>
  <c r="U87" i="5"/>
  <c r="U374" i="5"/>
  <c r="U313" i="5"/>
  <c r="U153" i="5"/>
  <c r="U296" i="5"/>
  <c r="U106" i="5"/>
  <c r="U100" i="5"/>
  <c r="U143" i="5"/>
  <c r="U129" i="5"/>
  <c r="U147" i="5"/>
  <c r="U307" i="5"/>
  <c r="U241" i="5"/>
  <c r="U347" i="5"/>
  <c r="U172" i="5"/>
  <c r="U346" i="5"/>
  <c r="U6" i="5"/>
  <c r="U303" i="5"/>
  <c r="U302" i="5"/>
  <c r="U345" i="5"/>
  <c r="U221" i="5"/>
  <c r="U98" i="5"/>
  <c r="U97" i="5"/>
  <c r="U42" i="5"/>
  <c r="U144" i="5"/>
  <c r="U179" i="5"/>
  <c r="U235" i="5"/>
  <c r="U198" i="5"/>
  <c r="U88" i="5"/>
  <c r="U109" i="5"/>
  <c r="U59" i="5"/>
  <c r="U148" i="5"/>
  <c r="U63" i="5"/>
  <c r="U383" i="5"/>
  <c r="U23" i="5"/>
  <c r="U182" i="5"/>
  <c r="U344" i="5"/>
  <c r="U343" i="5"/>
  <c r="U220" i="5"/>
  <c r="U197" i="5"/>
  <c r="U177" i="5"/>
  <c r="U139" i="5"/>
  <c r="U47" i="5"/>
  <c r="U372" i="5"/>
  <c r="U371" i="5"/>
  <c r="U176" i="5"/>
  <c r="U190" i="5"/>
  <c r="U238" i="5"/>
  <c r="U12" i="5"/>
  <c r="U164" i="5"/>
  <c r="U21" i="5"/>
  <c r="U40" i="5"/>
  <c r="U112" i="5"/>
  <c r="U342" i="5"/>
  <c r="U121" i="5"/>
  <c r="U224" i="5"/>
  <c r="U33" i="5"/>
  <c r="U69" i="5"/>
  <c r="U341" i="5"/>
  <c r="U105" i="5"/>
  <c r="U196" i="5"/>
  <c r="U17" i="5"/>
  <c r="U115" i="5"/>
  <c r="U43" i="5"/>
  <c r="U295" i="5"/>
  <c r="U216" i="5"/>
  <c r="U54" i="5"/>
  <c r="U75" i="5"/>
  <c r="U217" i="5"/>
  <c r="U225" i="5"/>
  <c r="U167" i="5"/>
  <c r="U267" i="5"/>
  <c r="U340" i="5"/>
  <c r="U184" i="5"/>
  <c r="U262" i="5"/>
  <c r="U57" i="5"/>
  <c r="U304" i="5"/>
  <c r="U11" i="5"/>
  <c r="U300" i="5"/>
  <c r="U195" i="5"/>
  <c r="U103" i="5"/>
  <c r="U149" i="5"/>
  <c r="U377" i="5"/>
  <c r="U200" i="5"/>
  <c r="U370" i="5"/>
  <c r="U339" i="5"/>
  <c r="U202" i="5"/>
  <c r="U104" i="5"/>
  <c r="U138" i="5"/>
  <c r="U338" i="5"/>
  <c r="U312" i="5"/>
  <c r="U38" i="5"/>
  <c r="U369" i="5"/>
  <c r="U55" i="5"/>
  <c r="U337" i="5"/>
  <c r="U96" i="5"/>
  <c r="U180" i="5"/>
  <c r="U27" i="5"/>
  <c r="U72" i="5"/>
  <c r="U368" i="5"/>
  <c r="U146" i="5"/>
  <c r="U274" i="5"/>
  <c r="U163" i="5"/>
  <c r="U142" i="5"/>
  <c r="U24" i="5"/>
  <c r="U80" i="5"/>
  <c r="U266" i="5"/>
  <c r="U134" i="5"/>
  <c r="U189" i="5"/>
  <c r="U94" i="5"/>
  <c r="U310" i="5"/>
  <c r="U99" i="5"/>
  <c r="U53" i="5"/>
  <c r="U381" i="5"/>
  <c r="U336" i="5"/>
  <c r="U212" i="5"/>
  <c r="U361" i="5"/>
  <c r="U380" i="5"/>
  <c r="U166" i="5"/>
  <c r="U4" i="5"/>
  <c r="U44" i="5"/>
  <c r="U76" i="5"/>
  <c r="U165" i="5"/>
  <c r="U379" i="5"/>
  <c r="U306" i="5"/>
  <c r="U258" i="5"/>
  <c r="U90" i="5"/>
  <c r="U326" i="5"/>
  <c r="U223" i="5"/>
  <c r="U5" i="5"/>
  <c r="U254" i="5"/>
  <c r="U133" i="5"/>
  <c r="U222" i="5"/>
  <c r="U74" i="5"/>
  <c r="U278" i="5"/>
  <c r="U214" i="5"/>
  <c r="U378" i="5"/>
  <c r="I252" i="5"/>
  <c r="I22" i="5"/>
  <c r="I29" i="5"/>
  <c r="I35" i="5"/>
  <c r="I46" i="5"/>
  <c r="I39" i="5"/>
  <c r="I48" i="5"/>
  <c r="I52" i="5"/>
  <c r="I67" i="5"/>
  <c r="I62" i="5"/>
  <c r="I68" i="5"/>
  <c r="I71" i="5"/>
  <c r="I77" i="5"/>
  <c r="I78" i="5"/>
  <c r="I91" i="5"/>
  <c r="I95" i="5"/>
  <c r="I108" i="5"/>
  <c r="I117" i="5"/>
  <c r="I116" i="5"/>
  <c r="I122" i="5"/>
  <c r="I128" i="5"/>
  <c r="I132" i="5"/>
  <c r="I299" i="5"/>
  <c r="I312" i="5"/>
  <c r="I367" i="5"/>
  <c r="I20" i="5"/>
  <c r="I376" i="5"/>
  <c r="I3" i="5"/>
  <c r="I145" i="5"/>
  <c r="I152" i="5"/>
  <c r="I159" i="5"/>
  <c r="I160" i="5"/>
  <c r="I161" i="5"/>
  <c r="I175" i="5"/>
  <c r="I178" i="5"/>
  <c r="I205" i="5"/>
  <c r="I209" i="5"/>
  <c r="I215" i="5"/>
  <c r="I226" i="5"/>
  <c r="I229" i="5"/>
  <c r="I231" i="5"/>
  <c r="I232" i="5"/>
  <c r="I243" i="5"/>
  <c r="I246" i="5"/>
  <c r="I255" i="5"/>
  <c r="I256" i="5"/>
  <c r="I259" i="5"/>
  <c r="I260" i="5"/>
  <c r="I264" i="5"/>
  <c r="I265" i="5"/>
  <c r="I268" i="5"/>
  <c r="I272" i="5"/>
  <c r="I275" i="5"/>
  <c r="I273" i="5"/>
  <c r="I276" i="5"/>
  <c r="I277" i="5"/>
  <c r="I280" i="5"/>
  <c r="I281" i="5"/>
  <c r="I283" i="5"/>
  <c r="I284" i="5"/>
  <c r="I285" i="5"/>
  <c r="I286" i="5"/>
  <c r="I288" i="5"/>
  <c r="I287" i="5"/>
  <c r="I289" i="5"/>
  <c r="I290" i="5"/>
  <c r="I291" i="5"/>
  <c r="I294" i="5"/>
  <c r="I298" i="5"/>
  <c r="I305" i="5"/>
  <c r="I315" i="5"/>
  <c r="I317" i="5"/>
  <c r="I318" i="5"/>
  <c r="I320" i="5"/>
  <c r="I324" i="5"/>
  <c r="I325" i="5"/>
  <c r="I327" i="5"/>
  <c r="I328" i="5"/>
  <c r="I329" i="5"/>
  <c r="I330" i="5"/>
  <c r="I331" i="5"/>
  <c r="I332" i="5"/>
  <c r="I333" i="5"/>
  <c r="I334" i="5"/>
  <c r="I321" i="5"/>
  <c r="I335" i="5"/>
  <c r="I227" i="5"/>
  <c r="I326" i="5"/>
  <c r="I236" i="5"/>
  <c r="I237" i="5"/>
  <c r="I239" i="5"/>
  <c r="I240" i="5"/>
  <c r="I244" i="5"/>
  <c r="I245" i="5"/>
  <c r="I269" i="5"/>
  <c r="I297" i="5"/>
  <c r="I181" i="5"/>
  <c r="I302" i="5"/>
  <c r="I303" i="5"/>
  <c r="I306" i="5"/>
  <c r="I307" i="5"/>
  <c r="I308" i="5"/>
  <c r="I309" i="5"/>
  <c r="I310" i="5"/>
  <c r="I311" i="5"/>
  <c r="I316" i="5"/>
  <c r="I319" i="5"/>
  <c r="I322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4" i="5"/>
  <c r="I350" i="5"/>
  <c r="I351" i="5"/>
  <c r="I352" i="5"/>
  <c r="I353" i="5"/>
  <c r="I354" i="5"/>
  <c r="I355" i="5"/>
  <c r="I356" i="5"/>
  <c r="I357" i="5"/>
  <c r="I358" i="5"/>
  <c r="I359" i="5"/>
  <c r="I368" i="5"/>
  <c r="I360" i="5"/>
  <c r="I211" i="5"/>
  <c r="I238" i="5"/>
  <c r="I377" i="5"/>
  <c r="I304" i="5"/>
  <c r="I361" i="5"/>
  <c r="I362" i="5"/>
  <c r="I378" i="5"/>
  <c r="I379" i="5"/>
  <c r="I380" i="5"/>
  <c r="I381" i="5"/>
  <c r="I369" i="5"/>
  <c r="I38" i="5"/>
  <c r="I235" i="5"/>
  <c r="I370" i="5"/>
  <c r="I300" i="5"/>
  <c r="I262" i="5"/>
  <c r="I121" i="5"/>
  <c r="I21" i="5"/>
  <c r="I164" i="5"/>
  <c r="I371" i="5"/>
  <c r="I372" i="5"/>
  <c r="I382" i="5"/>
  <c r="I373" i="5"/>
  <c r="I383" i="5"/>
  <c r="I147" i="5"/>
  <c r="I374" i="5"/>
  <c r="I301" i="5"/>
  <c r="I375" i="5"/>
  <c r="I83" i="5"/>
  <c r="I16" i="5"/>
  <c r="I89" i="5"/>
  <c r="I384" i="5"/>
  <c r="I2" i="5"/>
  <c r="I23" i="5"/>
  <c r="I5" i="5"/>
  <c r="I6" i="5"/>
  <c r="I7" i="5"/>
  <c r="I11" i="5"/>
  <c r="I12" i="5"/>
  <c r="I13" i="5"/>
  <c r="I14" i="5"/>
  <c r="I17" i="5"/>
  <c r="I18" i="5"/>
  <c r="I43" i="5"/>
  <c r="I24" i="5"/>
  <c r="I53" i="5"/>
  <c r="I27" i="5"/>
  <c r="I54" i="5"/>
  <c r="I57" i="5"/>
  <c r="I30" i="5"/>
  <c r="I31" i="5"/>
  <c r="I33" i="5"/>
  <c r="I34" i="5"/>
  <c r="I40" i="5"/>
  <c r="I41" i="5"/>
  <c r="I42" i="5"/>
  <c r="I44" i="5"/>
  <c r="I50" i="5"/>
  <c r="I55" i="5"/>
  <c r="I58" i="5"/>
  <c r="I59" i="5"/>
  <c r="I60" i="5"/>
  <c r="I61" i="5"/>
  <c r="I63" i="5"/>
  <c r="I64" i="5"/>
  <c r="I65" i="5"/>
  <c r="I79" i="5"/>
  <c r="I66" i="5"/>
  <c r="I69" i="5"/>
  <c r="J69" i="5" s="1"/>
  <c r="G69" i="5" s="1"/>
  <c r="I70" i="5"/>
  <c r="I72" i="5"/>
  <c r="I88" i="5"/>
  <c r="I74" i="5"/>
  <c r="I75" i="5"/>
  <c r="I76" i="5"/>
  <c r="J76" i="5" s="1"/>
  <c r="G76" i="5" s="1"/>
  <c r="I80" i="5"/>
  <c r="I81" i="5"/>
  <c r="I84" i="5"/>
  <c r="J84" i="5" s="1"/>
  <c r="G84" i="5" s="1"/>
  <c r="I85" i="5"/>
  <c r="I87" i="5"/>
  <c r="I90" i="5"/>
  <c r="J90" i="5" s="1"/>
  <c r="G90" i="5" s="1"/>
  <c r="I92" i="5"/>
  <c r="I94" i="5"/>
  <c r="J94" i="5" s="1"/>
  <c r="G94" i="5" s="1"/>
  <c r="I96" i="5"/>
  <c r="J96" i="5" s="1"/>
  <c r="G96" i="5" s="1"/>
  <c r="I97" i="5"/>
  <c r="I98" i="5"/>
  <c r="I115" i="5"/>
  <c r="I99" i="5"/>
  <c r="I100" i="5"/>
  <c r="J100" i="5" s="1"/>
  <c r="G100" i="5" s="1"/>
  <c r="I103" i="5"/>
  <c r="J103" i="5" s="1"/>
  <c r="G103" i="5" s="1"/>
  <c r="I104" i="5"/>
  <c r="J104" i="5" s="1"/>
  <c r="G104" i="5" s="1"/>
  <c r="I105" i="5"/>
  <c r="I106" i="5"/>
  <c r="J106" i="5" s="1"/>
  <c r="G106" i="5" s="1"/>
  <c r="I109" i="5"/>
  <c r="J109" i="5" s="1"/>
  <c r="G109" i="5" s="1"/>
  <c r="I112" i="5"/>
  <c r="J112" i="5" s="1"/>
  <c r="G112" i="5" s="1"/>
  <c r="I114" i="5"/>
  <c r="J114" i="5" s="1"/>
  <c r="G114" i="5" s="1"/>
  <c r="I118" i="5"/>
  <c r="I119" i="5"/>
  <c r="J119" i="5" s="1"/>
  <c r="G119" i="5" s="1"/>
  <c r="I137" i="5"/>
  <c r="J137" i="5" s="1"/>
  <c r="G137" i="5" s="1"/>
  <c r="I123" i="5"/>
  <c r="I141" i="5"/>
  <c r="J141" i="5" s="1"/>
  <c r="G141" i="5" s="1"/>
  <c r="I143" i="5"/>
  <c r="I126" i="5"/>
  <c r="J126" i="5" s="1"/>
  <c r="G126" i="5" s="1"/>
  <c r="I127" i="5"/>
  <c r="J127" i="5" s="1"/>
  <c r="G127" i="5" s="1"/>
  <c r="I129" i="5"/>
  <c r="J129" i="5" s="1"/>
  <c r="G129" i="5" s="1"/>
  <c r="I148" i="5"/>
  <c r="I131" i="5"/>
  <c r="J131" i="5" s="1"/>
  <c r="G131" i="5" s="1"/>
  <c r="I133" i="5"/>
  <c r="I134" i="5"/>
  <c r="I135" i="5"/>
  <c r="J135" i="5" s="1"/>
  <c r="G135" i="5" s="1"/>
  <c r="I138" i="5"/>
  <c r="J138" i="5" s="1"/>
  <c r="G138" i="5" s="1"/>
  <c r="I139" i="5"/>
  <c r="I142" i="5"/>
  <c r="J142" i="5" s="1"/>
  <c r="G142" i="5" s="1"/>
  <c r="I144" i="5"/>
  <c r="J144" i="5" s="1"/>
  <c r="G144" i="5" s="1"/>
  <c r="I146" i="5"/>
  <c r="I149" i="5"/>
  <c r="J149" i="5" s="1"/>
  <c r="G149" i="5" s="1"/>
  <c r="I153" i="5"/>
  <c r="J153" i="5" s="1"/>
  <c r="G153" i="5" s="1"/>
  <c r="I154" i="5"/>
  <c r="I157" i="5"/>
  <c r="J157" i="5" s="1"/>
  <c r="G157" i="5" s="1"/>
  <c r="I158" i="5"/>
  <c r="J158" i="5" s="1"/>
  <c r="G158" i="5" s="1"/>
  <c r="I163" i="5"/>
  <c r="I165" i="5"/>
  <c r="J165" i="5" s="1"/>
  <c r="G165" i="5" s="1"/>
  <c r="I166" i="5"/>
  <c r="J166" i="5" s="1"/>
  <c r="G166" i="5" s="1"/>
  <c r="I167" i="5"/>
  <c r="I168" i="5"/>
  <c r="J168" i="5" s="1"/>
  <c r="G168" i="5" s="1"/>
  <c r="I169" i="5"/>
  <c r="J169" i="5" s="1"/>
  <c r="G169" i="5" s="1"/>
  <c r="I170" i="5"/>
  <c r="I172" i="5"/>
  <c r="J172" i="5" s="1"/>
  <c r="G172" i="5" s="1"/>
  <c r="I173" i="5"/>
  <c r="J173" i="5" s="1"/>
  <c r="G173" i="5" s="1"/>
  <c r="I174" i="5"/>
  <c r="I176" i="5"/>
  <c r="J176" i="5" s="1"/>
  <c r="G176" i="5" s="1"/>
  <c r="I188" i="5"/>
  <c r="J188" i="5" s="1"/>
  <c r="G188" i="5" s="1"/>
  <c r="I177" i="5"/>
  <c r="I179" i="5"/>
  <c r="J179" i="5" s="1"/>
  <c r="G179" i="5" s="1"/>
  <c r="I180" i="5"/>
  <c r="J180" i="5" s="1"/>
  <c r="G180" i="5" s="1"/>
  <c r="I182" i="5"/>
  <c r="I184" i="5"/>
  <c r="J184" i="5" s="1"/>
  <c r="G184" i="5" s="1"/>
  <c r="I185" i="5"/>
  <c r="J185" i="5" s="1"/>
  <c r="G185" i="5" s="1"/>
  <c r="I186" i="5"/>
  <c r="I187" i="5"/>
  <c r="J187" i="5" s="1"/>
  <c r="G187" i="5" s="1"/>
  <c r="I189" i="5"/>
  <c r="J189" i="5" s="1"/>
  <c r="G189" i="5" s="1"/>
  <c r="I190" i="5"/>
  <c r="I195" i="5"/>
  <c r="J195" i="5" s="1"/>
  <c r="G195" i="5" s="1"/>
  <c r="I196" i="5"/>
  <c r="J196" i="5" s="1"/>
  <c r="G196" i="5" s="1"/>
  <c r="I197" i="5"/>
  <c r="J197" i="5" s="1"/>
  <c r="G197" i="5" s="1"/>
  <c r="I214" i="5"/>
  <c r="I198" i="5"/>
  <c r="J198" i="5" s="1"/>
  <c r="G198" i="5" s="1"/>
  <c r="I199" i="5"/>
  <c r="J199" i="5" s="1"/>
  <c r="G199" i="5" s="1"/>
  <c r="I200" i="5"/>
  <c r="J200" i="5" s="1"/>
  <c r="G200" i="5" s="1"/>
  <c r="I202" i="5"/>
  <c r="J202" i="5" s="1"/>
  <c r="G202" i="5" s="1"/>
  <c r="I206" i="5"/>
  <c r="J206" i="5" s="1"/>
  <c r="G206" i="5" s="1"/>
  <c r="I207" i="5"/>
  <c r="J207" i="5" s="1"/>
  <c r="G207" i="5" s="1"/>
  <c r="I208" i="5"/>
  <c r="J208" i="5" s="1"/>
  <c r="G208" i="5" s="1"/>
  <c r="I210" i="5"/>
  <c r="J210" i="5" s="1"/>
  <c r="G210" i="5" s="1"/>
  <c r="I221" i="5"/>
  <c r="I212" i="5"/>
  <c r="I213" i="5"/>
  <c r="I216" i="5"/>
  <c r="J216" i="5" s="1"/>
  <c r="G216" i="5" s="1"/>
  <c r="I217" i="5"/>
  <c r="J217" i="5" s="1"/>
  <c r="G217" i="5" s="1"/>
  <c r="I218" i="5"/>
  <c r="I220" i="5"/>
  <c r="J220" i="5" s="1"/>
  <c r="G220" i="5" s="1"/>
  <c r="I222" i="5"/>
  <c r="J222" i="5" s="1"/>
  <c r="G222" i="5" s="1"/>
  <c r="I223" i="5"/>
  <c r="J223" i="5" s="1"/>
  <c r="G223" i="5" s="1"/>
  <c r="I224" i="5"/>
  <c r="I225" i="5"/>
  <c r="J225" i="5" s="1"/>
  <c r="G225" i="5" s="1"/>
  <c r="I253" i="5"/>
  <c r="I242" i="5"/>
  <c r="J242" i="5" s="1"/>
  <c r="G242" i="5" s="1"/>
  <c r="I247" i="5"/>
  <c r="J247" i="5" s="1"/>
  <c r="G247" i="5" s="1"/>
  <c r="I254" i="5"/>
  <c r="J254" i="5" s="1"/>
  <c r="G254" i="5" s="1"/>
  <c r="I266" i="5"/>
  <c r="I258" i="5"/>
  <c r="J258" i="5" s="1"/>
  <c r="G258" i="5" s="1"/>
  <c r="I261" i="5"/>
  <c r="I267" i="5"/>
  <c r="J267" i="5" s="1"/>
  <c r="G267" i="5" s="1"/>
  <c r="I274" i="5"/>
  <c r="J274" i="5" s="1"/>
  <c r="G274" i="5" s="1"/>
  <c r="I278" i="5"/>
  <c r="I295" i="5"/>
  <c r="J295" i="5" s="1"/>
  <c r="G295" i="5" s="1"/>
  <c r="I296" i="5"/>
  <c r="J296" i="5" s="1"/>
  <c r="G296" i="5" s="1"/>
  <c r="J20" i="5"/>
  <c r="G20" i="5" s="1"/>
  <c r="J376" i="5"/>
  <c r="G376" i="5" s="1"/>
  <c r="J3" i="5"/>
  <c r="G3" i="5" s="1"/>
  <c r="J22" i="5"/>
  <c r="G22" i="5" s="1"/>
  <c r="J29" i="5"/>
  <c r="G29" i="5" s="1"/>
  <c r="J35" i="5"/>
  <c r="G35" i="5" s="1"/>
  <c r="J46" i="5"/>
  <c r="G46" i="5" s="1"/>
  <c r="J48" i="5"/>
  <c r="G48" i="5" s="1"/>
  <c r="J52" i="5"/>
  <c r="G52" i="5" s="1"/>
  <c r="J67" i="5"/>
  <c r="G67" i="5" s="1"/>
  <c r="J68" i="5"/>
  <c r="G68" i="5" s="1"/>
  <c r="J71" i="5"/>
  <c r="G71" i="5" s="1"/>
  <c r="J77" i="5"/>
  <c r="G77" i="5" s="1"/>
  <c r="J78" i="5"/>
  <c r="G78" i="5" s="1"/>
  <c r="J91" i="5"/>
  <c r="G91" i="5" s="1"/>
  <c r="J95" i="5"/>
  <c r="G95" i="5" s="1"/>
  <c r="J108" i="5"/>
  <c r="G108" i="5" s="1"/>
  <c r="J117" i="5"/>
  <c r="G117" i="5" s="1"/>
  <c r="J122" i="5"/>
  <c r="G122" i="5" s="1"/>
  <c r="J128" i="5"/>
  <c r="G128" i="5" s="1"/>
  <c r="J130" i="5"/>
  <c r="G130" i="5" s="1"/>
  <c r="J132" i="5"/>
  <c r="G132" i="5" s="1"/>
  <c r="J145" i="5"/>
  <c r="G145" i="5" s="1"/>
  <c r="J152" i="5"/>
  <c r="G152" i="5" s="1"/>
  <c r="J159" i="5"/>
  <c r="G159" i="5" s="1"/>
  <c r="J160" i="5"/>
  <c r="G160" i="5" s="1"/>
  <c r="J161" i="5"/>
  <c r="G161" i="5" s="1"/>
  <c r="J175" i="5"/>
  <c r="G175" i="5" s="1"/>
  <c r="J178" i="5"/>
  <c r="G178" i="5" s="1"/>
  <c r="J201" i="5"/>
  <c r="G201" i="5" s="1"/>
  <c r="J205" i="5"/>
  <c r="G205" i="5" s="1"/>
  <c r="J209" i="5"/>
  <c r="G209" i="5" s="1"/>
  <c r="J215" i="5"/>
  <c r="G215" i="5" s="1"/>
  <c r="J226" i="5"/>
  <c r="G226" i="5" s="1"/>
  <c r="J229" i="5"/>
  <c r="G229" i="5" s="1"/>
  <c r="J231" i="5"/>
  <c r="G231" i="5" s="1"/>
  <c r="J232" i="5"/>
  <c r="G232" i="5" s="1"/>
  <c r="J243" i="5"/>
  <c r="G243" i="5" s="1"/>
  <c r="J246" i="5"/>
  <c r="G246" i="5" s="1"/>
  <c r="J255" i="5"/>
  <c r="G255" i="5" s="1"/>
  <c r="J256" i="5"/>
  <c r="G256" i="5" s="1"/>
  <c r="J259" i="5"/>
  <c r="G259" i="5" s="1"/>
  <c r="J264" i="5"/>
  <c r="G264" i="5" s="1"/>
  <c r="J265" i="5"/>
  <c r="G265" i="5" s="1"/>
  <c r="J268" i="5"/>
  <c r="G268" i="5" s="1"/>
  <c r="J272" i="5"/>
  <c r="G272" i="5" s="1"/>
  <c r="J275" i="5"/>
  <c r="G275" i="5" s="1"/>
  <c r="J273" i="5"/>
  <c r="G273" i="5" s="1"/>
  <c r="J276" i="5"/>
  <c r="G276" i="5" s="1"/>
  <c r="J277" i="5"/>
  <c r="G277" i="5" s="1"/>
  <c r="J280" i="5"/>
  <c r="G280" i="5" s="1"/>
  <c r="J281" i="5"/>
  <c r="G281" i="5" s="1"/>
  <c r="J283" i="5"/>
  <c r="G283" i="5" s="1"/>
  <c r="J284" i="5"/>
  <c r="G284" i="5" s="1"/>
  <c r="J285" i="5"/>
  <c r="G285" i="5" s="1"/>
  <c r="J286" i="5"/>
  <c r="G286" i="5" s="1"/>
  <c r="J288" i="5"/>
  <c r="G288" i="5" s="1"/>
  <c r="J289" i="5"/>
  <c r="G289" i="5" s="1"/>
  <c r="J290" i="5"/>
  <c r="G290" i="5" s="1"/>
  <c r="J291" i="5"/>
  <c r="G291" i="5" s="1"/>
  <c r="J294" i="5"/>
  <c r="G294" i="5" s="1"/>
  <c r="J298" i="5"/>
  <c r="G298" i="5" s="1"/>
  <c r="J305" i="5"/>
  <c r="G305" i="5" s="1"/>
  <c r="J315" i="5"/>
  <c r="G315" i="5" s="1"/>
  <c r="J317" i="5"/>
  <c r="G317" i="5" s="1"/>
  <c r="J318" i="5"/>
  <c r="G318" i="5" s="1"/>
  <c r="J320" i="5"/>
  <c r="G320" i="5" s="1"/>
  <c r="J324" i="5"/>
  <c r="G324" i="5" s="1"/>
  <c r="J325" i="5"/>
  <c r="G325" i="5" s="1"/>
  <c r="J327" i="5"/>
  <c r="G327" i="5" s="1"/>
  <c r="J328" i="5"/>
  <c r="G328" i="5" s="1"/>
  <c r="J329" i="5"/>
  <c r="G329" i="5" s="1"/>
  <c r="J330" i="5"/>
  <c r="G330" i="5" s="1"/>
  <c r="J331" i="5"/>
  <c r="G331" i="5" s="1"/>
  <c r="J332" i="5"/>
  <c r="G332" i="5" s="1"/>
  <c r="J333" i="5"/>
  <c r="G333" i="5" s="1"/>
  <c r="J334" i="5"/>
  <c r="G334" i="5" s="1"/>
  <c r="J321" i="5"/>
  <c r="G321" i="5" s="1"/>
  <c r="J335" i="5"/>
  <c r="G335" i="5" s="1"/>
  <c r="J227" i="5"/>
  <c r="G227" i="5" s="1"/>
  <c r="J326" i="5"/>
  <c r="G326" i="5" s="1"/>
  <c r="J236" i="5"/>
  <c r="G236" i="5" s="1"/>
  <c r="J237" i="5"/>
  <c r="G237" i="5" s="1"/>
  <c r="J239" i="5"/>
  <c r="G239" i="5" s="1"/>
  <c r="J240" i="5"/>
  <c r="G240" i="5" s="1"/>
  <c r="J244" i="5"/>
  <c r="G244" i="5" s="1"/>
  <c r="J245" i="5"/>
  <c r="G245" i="5" s="1"/>
  <c r="J269" i="5"/>
  <c r="G269" i="5" s="1"/>
  <c r="J297" i="5"/>
  <c r="G297" i="5" s="1"/>
  <c r="J181" i="5"/>
  <c r="G181" i="5" s="1"/>
  <c r="J302" i="5"/>
  <c r="G302" i="5" s="1"/>
  <c r="J303" i="5"/>
  <c r="G303" i="5" s="1"/>
  <c r="J306" i="5"/>
  <c r="G306" i="5" s="1"/>
  <c r="J307" i="5"/>
  <c r="G307" i="5" s="1"/>
  <c r="J308" i="5"/>
  <c r="G308" i="5" s="1"/>
  <c r="J309" i="5"/>
  <c r="G309" i="5" s="1"/>
  <c r="J310" i="5"/>
  <c r="G310" i="5" s="1"/>
  <c r="J311" i="5"/>
  <c r="G311" i="5" s="1"/>
  <c r="J316" i="5"/>
  <c r="G316" i="5" s="1"/>
  <c r="J319" i="5"/>
  <c r="G319" i="5" s="1"/>
  <c r="J322" i="5"/>
  <c r="G322" i="5" s="1"/>
  <c r="J336" i="5"/>
  <c r="G336" i="5" s="1"/>
  <c r="J337" i="5"/>
  <c r="G337" i="5" s="1"/>
  <c r="J338" i="5"/>
  <c r="G338" i="5" s="1"/>
  <c r="J339" i="5"/>
  <c r="G339" i="5" s="1"/>
  <c r="J340" i="5"/>
  <c r="G340" i="5" s="1"/>
  <c r="J341" i="5"/>
  <c r="G341" i="5" s="1"/>
  <c r="J342" i="5"/>
  <c r="G342" i="5" s="1"/>
  <c r="J343" i="5"/>
  <c r="G343" i="5" s="1"/>
  <c r="J344" i="5"/>
  <c r="G344" i="5" s="1"/>
  <c r="J345" i="5"/>
  <c r="G345" i="5" s="1"/>
  <c r="J346" i="5"/>
  <c r="G346" i="5" s="1"/>
  <c r="J347" i="5"/>
  <c r="G347" i="5" s="1"/>
  <c r="J348" i="5"/>
  <c r="G348" i="5" s="1"/>
  <c r="J349" i="5"/>
  <c r="G349" i="5" s="1"/>
  <c r="G4" i="5"/>
  <c r="J350" i="5"/>
  <c r="G350" i="5" s="1"/>
  <c r="J351" i="5"/>
  <c r="G351" i="5" s="1"/>
  <c r="J352" i="5"/>
  <c r="G352" i="5" s="1"/>
  <c r="J353" i="5"/>
  <c r="G353" i="5" s="1"/>
  <c r="G354" i="5"/>
  <c r="J355" i="5"/>
  <c r="G355" i="5" s="1"/>
  <c r="J356" i="5"/>
  <c r="G356" i="5" s="1"/>
  <c r="J357" i="5"/>
  <c r="G357" i="5" s="1"/>
  <c r="J358" i="5"/>
  <c r="G358" i="5" s="1"/>
  <c r="J359" i="5"/>
  <c r="G359" i="5" s="1"/>
  <c r="J360" i="5"/>
  <c r="G360" i="5" s="1"/>
  <c r="J211" i="5"/>
  <c r="G211" i="5" s="1"/>
  <c r="J238" i="5"/>
  <c r="G238" i="5" s="1"/>
  <c r="J304" i="5"/>
  <c r="G304" i="5" s="1"/>
  <c r="J361" i="5"/>
  <c r="G361" i="5" s="1"/>
  <c r="J362" i="5"/>
  <c r="G362" i="5" s="1"/>
  <c r="J378" i="5"/>
  <c r="G378" i="5" s="1"/>
  <c r="J379" i="5"/>
  <c r="G379" i="5" s="1"/>
  <c r="J380" i="5"/>
  <c r="G380" i="5" s="1"/>
  <c r="J381" i="5"/>
  <c r="G381" i="5" s="1"/>
  <c r="J369" i="5"/>
  <c r="G369" i="5" s="1"/>
  <c r="J38" i="5"/>
  <c r="G38" i="5" s="1"/>
  <c r="J235" i="5"/>
  <c r="G235" i="5" s="1"/>
  <c r="J370" i="5"/>
  <c r="G370" i="5" s="1"/>
  <c r="J300" i="5"/>
  <c r="G300" i="5" s="1"/>
  <c r="J262" i="5"/>
  <c r="G262" i="5" s="1"/>
  <c r="J121" i="5"/>
  <c r="G121" i="5" s="1"/>
  <c r="J21" i="5"/>
  <c r="G21" i="5" s="1"/>
  <c r="J164" i="5"/>
  <c r="G164" i="5" s="1"/>
  <c r="J371" i="5"/>
  <c r="G371" i="5" s="1"/>
  <c r="J372" i="5"/>
  <c r="G372" i="5" s="1"/>
  <c r="J382" i="5"/>
  <c r="G382" i="5" s="1"/>
  <c r="J47" i="5"/>
  <c r="G47" i="5" s="1"/>
  <c r="J383" i="5"/>
  <c r="G383" i="5" s="1"/>
  <c r="J147" i="5"/>
  <c r="G147" i="5" s="1"/>
  <c r="J313" i="5"/>
  <c r="G313" i="5" s="1"/>
  <c r="J374" i="5"/>
  <c r="G374" i="5" s="1"/>
  <c r="J301" i="5"/>
  <c r="G301" i="5" s="1"/>
  <c r="J375" i="5"/>
  <c r="G375" i="5" s="1"/>
  <c r="J83" i="5"/>
  <c r="G83" i="5" s="1"/>
  <c r="J89" i="5"/>
  <c r="G89" i="5" s="1"/>
  <c r="J384" i="5"/>
  <c r="G384" i="5" s="1"/>
  <c r="J2" i="5"/>
  <c r="G2" i="5" s="1"/>
  <c r="J5" i="5"/>
  <c r="G5" i="5" s="1"/>
  <c r="J6" i="5"/>
  <c r="G6" i="5" s="1"/>
  <c r="J7" i="5"/>
  <c r="G7" i="5" s="1"/>
  <c r="J11" i="5"/>
  <c r="G11" i="5" s="1"/>
  <c r="J12" i="5"/>
  <c r="G12" i="5" s="1"/>
  <c r="J13" i="5"/>
  <c r="G13" i="5" s="1"/>
  <c r="J14" i="5"/>
  <c r="G14" i="5" s="1"/>
  <c r="J17" i="5"/>
  <c r="G17" i="5" s="1"/>
  <c r="J18" i="5"/>
  <c r="G18" i="5" s="1"/>
  <c r="J24" i="5"/>
  <c r="G24" i="5" s="1"/>
  <c r="J27" i="5"/>
  <c r="G27" i="5" s="1"/>
  <c r="J54" i="5"/>
  <c r="G54" i="5" s="1"/>
  <c r="J57" i="5"/>
  <c r="G57" i="5" s="1"/>
  <c r="J30" i="5"/>
  <c r="G30" i="5" s="1"/>
  <c r="J31" i="5"/>
  <c r="G31" i="5" s="1"/>
  <c r="J33" i="5"/>
  <c r="G33" i="5" s="1"/>
  <c r="J34" i="5"/>
  <c r="G34" i="5" s="1"/>
  <c r="J40" i="5"/>
  <c r="G40" i="5" s="1"/>
  <c r="J41" i="5"/>
  <c r="G41" i="5" s="1"/>
  <c r="J42" i="5"/>
  <c r="G42" i="5" s="1"/>
  <c r="J44" i="5"/>
  <c r="G44" i="5" s="1"/>
  <c r="J50" i="5"/>
  <c r="G50" i="5" s="1"/>
  <c r="J55" i="5"/>
  <c r="G55" i="5" s="1"/>
  <c r="J58" i="5"/>
  <c r="G58" i="5" s="1"/>
  <c r="J59" i="5"/>
  <c r="G59" i="5" s="1"/>
  <c r="J60" i="5"/>
  <c r="G60" i="5" s="1"/>
  <c r="J61" i="5"/>
  <c r="G61" i="5" s="1"/>
  <c r="J63" i="5"/>
  <c r="G63" i="5" s="1"/>
  <c r="J64" i="5"/>
  <c r="G64" i="5" s="1"/>
  <c r="J65" i="5"/>
  <c r="G65" i="5" s="1"/>
  <c r="J66" i="5"/>
  <c r="G66" i="5" s="1"/>
  <c r="J70" i="5"/>
  <c r="G70" i="5" s="1"/>
  <c r="J72" i="5"/>
  <c r="G72" i="5" s="1"/>
  <c r="J73" i="5"/>
  <c r="G73" i="5" s="1"/>
  <c r="J74" i="5"/>
  <c r="G74" i="5" s="1"/>
  <c r="J75" i="5"/>
  <c r="G75" i="5" s="1"/>
  <c r="J80" i="5"/>
  <c r="G80" i="5" s="1"/>
  <c r="J81" i="5"/>
  <c r="G81" i="5" s="1"/>
  <c r="J82" i="5"/>
  <c r="G82" i="5" s="1"/>
  <c r="J85" i="5"/>
  <c r="G85" i="5" s="1"/>
  <c r="J87" i="5"/>
  <c r="G87" i="5" s="1"/>
  <c r="J92" i="5"/>
  <c r="G92" i="5" s="1"/>
  <c r="J97" i="5"/>
  <c r="G97" i="5" s="1"/>
  <c r="J98" i="5"/>
  <c r="G98" i="5" s="1"/>
  <c r="J99" i="5"/>
  <c r="G99" i="5" s="1"/>
  <c r="J105" i="5"/>
  <c r="G105" i="5" s="1"/>
  <c r="J113" i="5"/>
  <c r="G113" i="5" s="1"/>
  <c r="J118" i="5"/>
  <c r="G118" i="5" s="1"/>
  <c r="J123" i="5"/>
  <c r="G123" i="5" s="1"/>
  <c r="J133" i="5"/>
  <c r="G133" i="5" s="1"/>
  <c r="J134" i="5"/>
  <c r="G134" i="5" s="1"/>
  <c r="J139" i="5"/>
  <c r="G139" i="5" s="1"/>
  <c r="J146" i="5"/>
  <c r="G146" i="5" s="1"/>
  <c r="J154" i="5"/>
  <c r="G154" i="5" s="1"/>
  <c r="J163" i="5"/>
  <c r="G163" i="5" s="1"/>
  <c r="J167" i="5"/>
  <c r="G167" i="5" s="1"/>
  <c r="J170" i="5"/>
  <c r="G170" i="5" s="1"/>
  <c r="J174" i="5"/>
  <c r="G174" i="5" s="1"/>
  <c r="J177" i="5"/>
  <c r="G177" i="5" s="1"/>
  <c r="J182" i="5"/>
  <c r="G182" i="5" s="1"/>
  <c r="J186" i="5"/>
  <c r="G186" i="5" s="1"/>
  <c r="J190" i="5"/>
  <c r="G190" i="5" s="1"/>
  <c r="J191" i="5"/>
  <c r="G191" i="5" s="1"/>
  <c r="J214" i="5"/>
  <c r="G214" i="5" s="1"/>
  <c r="J212" i="5"/>
  <c r="G212" i="5" s="1"/>
  <c r="J213" i="5"/>
  <c r="G213" i="5" s="1"/>
  <c r="J218" i="5"/>
  <c r="G218" i="5" s="1"/>
  <c r="J219" i="5"/>
  <c r="G219" i="5" s="1"/>
  <c r="J224" i="5"/>
  <c r="G224" i="5" s="1"/>
  <c r="J241" i="5"/>
  <c r="G241" i="5" s="1"/>
  <c r="J261" i="5"/>
  <c r="G261" i="5" s="1"/>
  <c r="J278" i="5"/>
  <c r="G278" i="5" s="1"/>
  <c r="J299" i="5"/>
  <c r="G299" i="5" s="1"/>
  <c r="J312" i="5"/>
  <c r="G312" i="5" s="1"/>
  <c r="H312" i="5"/>
  <c r="H299" i="5"/>
  <c r="H296" i="5"/>
  <c r="H295" i="5"/>
  <c r="H278" i="5"/>
  <c r="H274" i="5"/>
  <c r="H267" i="5"/>
  <c r="H261" i="5"/>
  <c r="H258" i="5"/>
  <c r="H254" i="5"/>
  <c r="H247" i="5"/>
  <c r="H242" i="5"/>
  <c r="H241" i="5"/>
  <c r="H225" i="5"/>
  <c r="H224" i="5"/>
  <c r="H223" i="5"/>
  <c r="H222" i="5"/>
  <c r="H220" i="5"/>
  <c r="H219" i="5"/>
  <c r="H218" i="5"/>
  <c r="H217" i="5"/>
  <c r="H216" i="5"/>
  <c r="H213" i="5"/>
  <c r="H212" i="5"/>
  <c r="H210" i="5"/>
  <c r="H208" i="5"/>
  <c r="H207" i="5"/>
  <c r="H206" i="5"/>
  <c r="H202" i="5"/>
  <c r="H200" i="5"/>
  <c r="H199" i="5"/>
  <c r="H198" i="5"/>
  <c r="H197" i="5"/>
  <c r="H196" i="5"/>
  <c r="H195" i="5"/>
  <c r="H191" i="5"/>
  <c r="H190" i="5"/>
  <c r="H189" i="5"/>
  <c r="H187" i="5"/>
  <c r="H186" i="5"/>
  <c r="H185" i="5"/>
  <c r="H184" i="5"/>
  <c r="H182" i="5"/>
  <c r="H180" i="5"/>
  <c r="H179" i="5"/>
  <c r="H177" i="5"/>
  <c r="H176" i="5"/>
  <c r="H174" i="5"/>
  <c r="H173" i="5"/>
  <c r="H172" i="5"/>
  <c r="H170" i="5"/>
  <c r="H169" i="5"/>
  <c r="H168" i="5"/>
  <c r="H167" i="5"/>
  <c r="H166" i="5"/>
  <c r="H165" i="5"/>
  <c r="H163" i="5"/>
  <c r="H158" i="5"/>
  <c r="H157" i="5"/>
  <c r="H154" i="5"/>
  <c r="H153" i="5"/>
  <c r="H149" i="5"/>
  <c r="H146" i="5"/>
  <c r="H144" i="5"/>
  <c r="H142" i="5"/>
  <c r="H139" i="5"/>
  <c r="H138" i="5"/>
  <c r="H135" i="5"/>
  <c r="H134" i="5"/>
  <c r="H133" i="5"/>
  <c r="H131" i="5"/>
  <c r="H129" i="5"/>
  <c r="H127" i="5"/>
  <c r="H126" i="5"/>
  <c r="H123" i="5"/>
  <c r="H119" i="5"/>
  <c r="H118" i="5"/>
  <c r="H114" i="5"/>
  <c r="H113" i="5"/>
  <c r="H112" i="5"/>
  <c r="H109" i="5"/>
  <c r="H106" i="5"/>
  <c r="H105" i="5"/>
  <c r="H104" i="5"/>
  <c r="H103" i="5"/>
  <c r="H100" i="5"/>
  <c r="H99" i="5"/>
  <c r="H98" i="5"/>
  <c r="H97" i="5"/>
  <c r="H96" i="5"/>
  <c r="H94" i="5"/>
  <c r="H92" i="5"/>
  <c r="H90" i="5"/>
  <c r="H87" i="5"/>
  <c r="H85" i="5"/>
  <c r="H84" i="5"/>
  <c r="H82" i="5"/>
  <c r="H81" i="5"/>
  <c r="H80" i="5"/>
  <c r="H76" i="5"/>
  <c r="H75" i="5"/>
  <c r="H74" i="5"/>
  <c r="H73" i="5"/>
  <c r="H72" i="5"/>
  <c r="H70" i="5"/>
  <c r="H69" i="5"/>
  <c r="H66" i="5"/>
  <c r="H65" i="5"/>
  <c r="H64" i="5"/>
  <c r="H63" i="5"/>
  <c r="H61" i="5"/>
  <c r="H60" i="5"/>
  <c r="H59" i="5"/>
  <c r="H58" i="5"/>
  <c r="H55" i="5"/>
  <c r="H50" i="5"/>
  <c r="H44" i="5"/>
  <c r="H42" i="5"/>
  <c r="H41" i="5"/>
  <c r="H40" i="5"/>
  <c r="H34" i="5"/>
  <c r="H33" i="5"/>
  <c r="H31" i="5"/>
  <c r="H30" i="5"/>
  <c r="H27" i="5"/>
  <c r="H24" i="5"/>
  <c r="H18" i="5"/>
  <c r="H17" i="5"/>
  <c r="H14" i="5"/>
  <c r="H13" i="5"/>
  <c r="H12" i="5"/>
  <c r="H11" i="5"/>
  <c r="H7" i="5"/>
  <c r="H6" i="5"/>
  <c r="H5" i="5"/>
  <c r="H2" i="5"/>
  <c r="H384" i="5"/>
  <c r="H89" i="5"/>
  <c r="H83" i="5"/>
  <c r="H375" i="5"/>
  <c r="H301" i="5"/>
  <c r="H374" i="5"/>
  <c r="H313" i="5"/>
  <c r="H147" i="5"/>
  <c r="H383" i="5"/>
  <c r="H47" i="5"/>
  <c r="H372" i="5"/>
  <c r="H371" i="5"/>
  <c r="H164" i="5"/>
  <c r="H21" i="5"/>
  <c r="H121" i="5"/>
  <c r="H262" i="5"/>
  <c r="H300" i="5"/>
  <c r="H370" i="5"/>
  <c r="H38" i="5"/>
  <c r="H369" i="5"/>
  <c r="H381" i="5"/>
  <c r="H380" i="5"/>
  <c r="H379" i="5"/>
  <c r="H378" i="5"/>
  <c r="H362" i="5"/>
  <c r="H361" i="5"/>
  <c r="H304" i="5"/>
  <c r="H238" i="5"/>
  <c r="H211" i="5"/>
  <c r="H360" i="5"/>
  <c r="H359" i="5"/>
  <c r="H358" i="5"/>
  <c r="H357" i="5"/>
  <c r="H356" i="5"/>
  <c r="H355" i="5"/>
  <c r="H354" i="5"/>
  <c r="H353" i="5"/>
  <c r="H352" i="5"/>
  <c r="H351" i="5"/>
  <c r="H350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22" i="5"/>
  <c r="H319" i="5"/>
  <c r="H316" i="5"/>
  <c r="H311" i="5"/>
  <c r="H310" i="5"/>
  <c r="H309" i="5"/>
  <c r="H308" i="5"/>
  <c r="H307" i="5"/>
  <c r="H306" i="5"/>
  <c r="H303" i="5"/>
  <c r="H302" i="5"/>
  <c r="H181" i="5"/>
  <c r="H297" i="5"/>
  <c r="H269" i="5"/>
  <c r="H257" i="5"/>
  <c r="H245" i="5"/>
  <c r="H244" i="5"/>
  <c r="H240" i="5"/>
  <c r="H239" i="5"/>
  <c r="H237" i="5"/>
  <c r="H236" i="5"/>
  <c r="H227" i="5"/>
  <c r="H335" i="5"/>
  <c r="H334" i="5"/>
  <c r="H333" i="5"/>
  <c r="H332" i="5"/>
  <c r="H331" i="5"/>
  <c r="H330" i="5"/>
  <c r="H329" i="5"/>
  <c r="H328" i="5"/>
  <c r="H327" i="5"/>
  <c r="H325" i="5"/>
  <c r="H324" i="5"/>
  <c r="H320" i="5"/>
  <c r="H318" i="5"/>
  <c r="H317" i="5"/>
  <c r="H315" i="5"/>
  <c r="H305" i="5"/>
  <c r="H298" i="5"/>
  <c r="H294" i="5"/>
  <c r="H291" i="5"/>
  <c r="H290" i="5"/>
  <c r="H289" i="5"/>
  <c r="H288" i="5"/>
  <c r="H286" i="5"/>
  <c r="H285" i="5"/>
  <c r="H284" i="5"/>
  <c r="H283" i="5"/>
  <c r="H281" i="5"/>
  <c r="H280" i="5"/>
  <c r="H277" i="5"/>
  <c r="H276" i="5"/>
  <c r="H275" i="5"/>
  <c r="H272" i="5"/>
  <c r="H268" i="5"/>
  <c r="H265" i="5"/>
  <c r="H264" i="5"/>
  <c r="H259" i="5"/>
  <c r="H256" i="5"/>
  <c r="H255" i="5"/>
  <c r="H246" i="5"/>
  <c r="H243" i="5"/>
  <c r="H232" i="5"/>
  <c r="H231" i="5"/>
  <c r="H229" i="5"/>
  <c r="H226" i="5"/>
  <c r="H215" i="5"/>
  <c r="H209" i="5"/>
  <c r="H205" i="5"/>
  <c r="H201" i="5"/>
  <c r="H178" i="5"/>
  <c r="H175" i="5"/>
  <c r="H161" i="5"/>
  <c r="H160" i="5"/>
  <c r="H159" i="5"/>
  <c r="H152" i="5"/>
  <c r="H145" i="5"/>
  <c r="H132" i="5"/>
  <c r="H130" i="5"/>
  <c r="H128" i="5"/>
  <c r="F128" i="5" s="1"/>
  <c r="H122" i="5"/>
  <c r="F122" i="5" s="1"/>
  <c r="H117" i="5"/>
  <c r="F117" i="5" s="1"/>
  <c r="H108" i="5"/>
  <c r="F108" i="5" s="1"/>
  <c r="H95" i="5"/>
  <c r="F95" i="5" s="1"/>
  <c r="H91" i="5"/>
  <c r="F91" i="5" s="1"/>
  <c r="H78" i="5"/>
  <c r="F78" i="5" s="1"/>
  <c r="H77" i="5"/>
  <c r="F77" i="5" s="1"/>
  <c r="H71" i="5"/>
  <c r="F71" i="5" s="1"/>
  <c r="H68" i="5"/>
  <c r="F68" i="5" s="1"/>
  <c r="H67" i="5"/>
  <c r="F67" i="5" s="1"/>
  <c r="H52" i="5"/>
  <c r="F52" i="5" s="1"/>
  <c r="H48" i="5"/>
  <c r="F48" i="5" s="1"/>
  <c r="H46" i="5"/>
  <c r="F46" i="5" s="1"/>
  <c r="H35" i="5"/>
  <c r="F35" i="5" s="1"/>
  <c r="H29" i="5"/>
  <c r="F29" i="5" s="1"/>
  <c r="H22" i="5"/>
  <c r="F22" i="5" s="1"/>
  <c r="H3" i="5"/>
  <c r="H376" i="5"/>
  <c r="H20" i="5"/>
  <c r="H367" i="5"/>
  <c r="H252" i="5"/>
  <c r="H39" i="5"/>
  <c r="H62" i="5"/>
  <c r="H116" i="5"/>
  <c r="H260" i="5"/>
  <c r="K260" i="5" s="1"/>
  <c r="F260" i="5" s="1"/>
  <c r="H273" i="5"/>
  <c r="H287" i="5"/>
  <c r="H321" i="5"/>
  <c r="H326" i="5"/>
  <c r="H349" i="5"/>
  <c r="H4" i="5"/>
  <c r="H368" i="5"/>
  <c r="K368" i="5" s="1"/>
  <c r="F368" i="5" s="1"/>
  <c r="H377" i="5"/>
  <c r="K377" i="5" s="1"/>
  <c r="F377" i="5" s="1"/>
  <c r="H235" i="5"/>
  <c r="H382" i="5"/>
  <c r="H373" i="5"/>
  <c r="K373" i="5" s="1"/>
  <c r="F373" i="5" s="1"/>
  <c r="H16" i="5"/>
  <c r="K16" i="5" s="1"/>
  <c r="F16" i="5" s="1"/>
  <c r="H23" i="5"/>
  <c r="K23" i="5" s="1"/>
  <c r="F23" i="5" s="1"/>
  <c r="H43" i="5"/>
  <c r="K43" i="5" s="1"/>
  <c r="F43" i="5" s="1"/>
  <c r="H53" i="5"/>
  <c r="K53" i="5" s="1"/>
  <c r="F53" i="5" s="1"/>
  <c r="H54" i="5"/>
  <c r="H57" i="5"/>
  <c r="H79" i="5"/>
  <c r="K79" i="5" s="1"/>
  <c r="F79" i="5" s="1"/>
  <c r="H88" i="5"/>
  <c r="K88" i="5" s="1"/>
  <c r="F88" i="5" s="1"/>
  <c r="H115" i="5"/>
  <c r="K115" i="5" s="1"/>
  <c r="F115" i="5" s="1"/>
  <c r="H137" i="5"/>
  <c r="H141" i="5"/>
  <c r="H143" i="5"/>
  <c r="K143" i="5" s="1"/>
  <c r="F143" i="5" s="1"/>
  <c r="H148" i="5"/>
  <c r="K148" i="5" s="1"/>
  <c r="F148" i="5" s="1"/>
  <c r="H188" i="5"/>
  <c r="H214" i="5"/>
  <c r="H221" i="5"/>
  <c r="K221" i="5" s="1"/>
  <c r="F221" i="5" s="1"/>
  <c r="H253" i="5"/>
  <c r="K253" i="5" s="1"/>
  <c r="F253" i="5" s="1"/>
  <c r="H266" i="5"/>
  <c r="K266" i="5" s="1"/>
  <c r="F266" i="5" s="1"/>
  <c r="S16" i="5"/>
  <c r="BC16" i="5" s="1"/>
  <c r="U16" i="5" l="1"/>
  <c r="K287" i="5"/>
  <c r="F287" i="5" s="1"/>
  <c r="J367" i="5"/>
  <c r="G367" i="5" s="1"/>
  <c r="K258" i="5"/>
  <c r="F258" i="5"/>
  <c r="K261" i="5"/>
  <c r="F261" i="5"/>
  <c r="K267" i="5"/>
  <c r="F267" i="5"/>
  <c r="K274" i="5"/>
  <c r="F274" i="5"/>
  <c r="K278" i="5"/>
  <c r="F278" i="5"/>
  <c r="K295" i="5"/>
  <c r="F295" i="5"/>
  <c r="K296" i="5"/>
  <c r="F296" i="5"/>
  <c r="K299" i="5"/>
  <c r="F299" i="5"/>
  <c r="K312" i="5"/>
  <c r="F312" i="5"/>
  <c r="K242" i="5"/>
  <c r="F242" i="5"/>
  <c r="K247" i="5"/>
  <c r="F247" i="5"/>
  <c r="K254" i="5"/>
  <c r="F254" i="5"/>
  <c r="K212" i="5"/>
  <c r="F212" i="5"/>
  <c r="K213" i="5"/>
  <c r="F213" i="5"/>
  <c r="K216" i="5"/>
  <c r="F216" i="5"/>
  <c r="K217" i="5"/>
  <c r="F217" i="5"/>
  <c r="K218" i="5"/>
  <c r="F218" i="5"/>
  <c r="K219" i="5"/>
  <c r="F219" i="5"/>
  <c r="K220" i="5"/>
  <c r="F220" i="5"/>
  <c r="K222" i="5"/>
  <c r="F222" i="5"/>
  <c r="K223" i="5"/>
  <c r="F223" i="5"/>
  <c r="K224" i="5"/>
  <c r="F224" i="5"/>
  <c r="K225" i="5"/>
  <c r="F225" i="5"/>
  <c r="K241" i="5"/>
  <c r="F241" i="5"/>
  <c r="K214" i="5"/>
  <c r="F214" i="5"/>
  <c r="K188" i="5"/>
  <c r="F188" i="5"/>
  <c r="K131" i="5"/>
  <c r="F131" i="5"/>
  <c r="K133" i="5"/>
  <c r="F133" i="5"/>
  <c r="K134" i="5"/>
  <c r="F134" i="5"/>
  <c r="K135" i="5"/>
  <c r="F135" i="5"/>
  <c r="K138" i="5"/>
  <c r="F138" i="5"/>
  <c r="K139" i="5"/>
  <c r="F139" i="5"/>
  <c r="K142" i="5"/>
  <c r="F142" i="5"/>
  <c r="K144" i="5"/>
  <c r="F144" i="5"/>
  <c r="K146" i="5"/>
  <c r="F146" i="5"/>
  <c r="K149" i="5"/>
  <c r="F149" i="5"/>
  <c r="K153" i="5"/>
  <c r="F153" i="5"/>
  <c r="K154" i="5"/>
  <c r="F154" i="5"/>
  <c r="K157" i="5"/>
  <c r="F157" i="5"/>
  <c r="K158" i="5"/>
  <c r="F158" i="5"/>
  <c r="K163" i="5"/>
  <c r="F163" i="5"/>
  <c r="K165" i="5"/>
  <c r="F165" i="5"/>
  <c r="K166" i="5"/>
  <c r="F166" i="5"/>
  <c r="K167" i="5"/>
  <c r="F167" i="5"/>
  <c r="K168" i="5"/>
  <c r="F168" i="5"/>
  <c r="K169" i="5"/>
  <c r="F169" i="5"/>
  <c r="K170" i="5"/>
  <c r="F170" i="5"/>
  <c r="K172" i="5"/>
  <c r="F172" i="5"/>
  <c r="K173" i="5"/>
  <c r="F173" i="5"/>
  <c r="K174" i="5"/>
  <c r="F174" i="5"/>
  <c r="K176" i="5"/>
  <c r="F176" i="5"/>
  <c r="K177" i="5"/>
  <c r="F177" i="5"/>
  <c r="K179" i="5"/>
  <c r="F179" i="5"/>
  <c r="K180" i="5"/>
  <c r="F180" i="5"/>
  <c r="K182" i="5"/>
  <c r="F182" i="5"/>
  <c r="K184" i="5"/>
  <c r="F184" i="5"/>
  <c r="K185" i="5"/>
  <c r="F185" i="5"/>
  <c r="K186" i="5"/>
  <c r="F186" i="5"/>
  <c r="K187" i="5"/>
  <c r="F187" i="5"/>
  <c r="K189" i="5"/>
  <c r="F189" i="5"/>
  <c r="K190" i="5"/>
  <c r="F190" i="5"/>
  <c r="K191" i="5"/>
  <c r="F191" i="5"/>
  <c r="K195" i="5"/>
  <c r="F195" i="5"/>
  <c r="K196" i="5"/>
  <c r="F196" i="5"/>
  <c r="K197" i="5"/>
  <c r="F197" i="5"/>
  <c r="K198" i="5"/>
  <c r="F198" i="5"/>
  <c r="K199" i="5"/>
  <c r="F199" i="5"/>
  <c r="K200" i="5"/>
  <c r="F200" i="5"/>
  <c r="K202" i="5"/>
  <c r="F202" i="5"/>
  <c r="K206" i="5"/>
  <c r="F206" i="5"/>
  <c r="K207" i="5"/>
  <c r="F207" i="5"/>
  <c r="K208" i="5"/>
  <c r="F208" i="5"/>
  <c r="K210" i="5"/>
  <c r="F210" i="5"/>
  <c r="K126" i="5"/>
  <c r="F126" i="5"/>
  <c r="K127" i="5"/>
  <c r="F127" i="5"/>
  <c r="K129" i="5"/>
  <c r="F129" i="5"/>
  <c r="K141" i="5"/>
  <c r="F141" i="5"/>
  <c r="K137" i="5"/>
  <c r="F137" i="5"/>
  <c r="K99" i="5"/>
  <c r="F99" i="5"/>
  <c r="K100" i="5"/>
  <c r="F100" i="5"/>
  <c r="K103" i="5"/>
  <c r="F103" i="5"/>
  <c r="K104" i="5"/>
  <c r="F104" i="5"/>
  <c r="K105" i="5"/>
  <c r="F105" i="5"/>
  <c r="K106" i="5"/>
  <c r="F106" i="5"/>
  <c r="K109" i="5"/>
  <c r="F109" i="5"/>
  <c r="K112" i="5"/>
  <c r="F112" i="5"/>
  <c r="K113" i="5"/>
  <c r="F113" i="5"/>
  <c r="K114" i="5"/>
  <c r="F114" i="5"/>
  <c r="K118" i="5"/>
  <c r="F118" i="5"/>
  <c r="K119" i="5"/>
  <c r="F119" i="5"/>
  <c r="K123" i="5"/>
  <c r="F123" i="5"/>
  <c r="K73" i="5"/>
  <c r="F73" i="5"/>
  <c r="K74" i="5"/>
  <c r="F74" i="5"/>
  <c r="K75" i="5"/>
  <c r="F75" i="5"/>
  <c r="K76" i="5"/>
  <c r="F76" i="5"/>
  <c r="K80" i="5"/>
  <c r="F80" i="5"/>
  <c r="K81" i="5"/>
  <c r="F81" i="5"/>
  <c r="K82" i="5"/>
  <c r="F82" i="5"/>
  <c r="K84" i="5"/>
  <c r="F84" i="5"/>
  <c r="K85" i="5"/>
  <c r="F85" i="5"/>
  <c r="K87" i="5"/>
  <c r="F87" i="5"/>
  <c r="K90" i="5"/>
  <c r="F90" i="5"/>
  <c r="K92" i="5"/>
  <c r="F92" i="5"/>
  <c r="K94" i="5"/>
  <c r="F94" i="5"/>
  <c r="K96" i="5"/>
  <c r="F96" i="5"/>
  <c r="K97" i="5"/>
  <c r="F97" i="5"/>
  <c r="K98" i="5"/>
  <c r="F98" i="5"/>
  <c r="K66" i="5"/>
  <c r="F66" i="5"/>
  <c r="K69" i="5"/>
  <c r="F69" i="5"/>
  <c r="K70" i="5"/>
  <c r="F70" i="5"/>
  <c r="K72" i="5"/>
  <c r="F72" i="5"/>
  <c r="K57" i="5"/>
  <c r="F57" i="5"/>
  <c r="K54" i="5"/>
  <c r="F54" i="5"/>
  <c r="K27" i="5"/>
  <c r="F27" i="5"/>
  <c r="K30" i="5"/>
  <c r="F30" i="5"/>
  <c r="K31" i="5"/>
  <c r="F31" i="5"/>
  <c r="K33" i="5"/>
  <c r="F33" i="5"/>
  <c r="K34" i="5"/>
  <c r="F34" i="5"/>
  <c r="K40" i="5"/>
  <c r="F40" i="5"/>
  <c r="K41" i="5"/>
  <c r="F41" i="5"/>
  <c r="K42" i="5"/>
  <c r="F42" i="5"/>
  <c r="K44" i="5"/>
  <c r="F44" i="5"/>
  <c r="K50" i="5"/>
  <c r="F50" i="5"/>
  <c r="K55" i="5"/>
  <c r="F55" i="5"/>
  <c r="K58" i="5"/>
  <c r="F58" i="5"/>
  <c r="K59" i="5"/>
  <c r="F59" i="5"/>
  <c r="K60" i="5"/>
  <c r="F60" i="5"/>
  <c r="K61" i="5"/>
  <c r="F61" i="5"/>
  <c r="K63" i="5"/>
  <c r="F63" i="5"/>
  <c r="K64" i="5"/>
  <c r="F64" i="5"/>
  <c r="K65" i="5"/>
  <c r="F65" i="5"/>
  <c r="K24" i="5"/>
  <c r="F24" i="5"/>
  <c r="K5" i="5"/>
  <c r="F5" i="5"/>
  <c r="K6" i="5"/>
  <c r="F6" i="5"/>
  <c r="K7" i="5"/>
  <c r="F7" i="5"/>
  <c r="K11" i="5"/>
  <c r="F11" i="5"/>
  <c r="K12" i="5"/>
  <c r="F12" i="5"/>
  <c r="K13" i="5"/>
  <c r="F13" i="5"/>
  <c r="K14" i="5"/>
  <c r="F14" i="5"/>
  <c r="K17" i="5"/>
  <c r="F17" i="5"/>
  <c r="K18" i="5"/>
  <c r="F18" i="5"/>
  <c r="K89" i="5"/>
  <c r="F89" i="5"/>
  <c r="K384" i="5"/>
  <c r="F384" i="5"/>
  <c r="K2" i="5"/>
  <c r="F2" i="5"/>
  <c r="K47" i="5"/>
  <c r="F47" i="5"/>
  <c r="K383" i="5"/>
  <c r="F383" i="5"/>
  <c r="K147" i="5"/>
  <c r="F147" i="5"/>
  <c r="K313" i="5"/>
  <c r="F313" i="5"/>
  <c r="K374" i="5"/>
  <c r="F374" i="5"/>
  <c r="K301" i="5"/>
  <c r="F301" i="5"/>
  <c r="K375" i="5"/>
  <c r="F375" i="5"/>
  <c r="K83" i="5"/>
  <c r="F83" i="5"/>
  <c r="K382" i="5"/>
  <c r="F382" i="5"/>
  <c r="K235" i="5"/>
  <c r="F235" i="5"/>
  <c r="K304" i="5"/>
  <c r="F304" i="5"/>
  <c r="K361" i="5"/>
  <c r="F361" i="5"/>
  <c r="K362" i="5"/>
  <c r="F362" i="5"/>
  <c r="K378" i="5"/>
  <c r="F378" i="5"/>
  <c r="K379" i="5"/>
  <c r="F379" i="5"/>
  <c r="K380" i="5"/>
  <c r="F380" i="5"/>
  <c r="K381" i="5"/>
  <c r="F381" i="5"/>
  <c r="K369" i="5"/>
  <c r="F369" i="5"/>
  <c r="K38" i="5"/>
  <c r="F38" i="5"/>
  <c r="K370" i="5"/>
  <c r="F370" i="5"/>
  <c r="K300" i="5"/>
  <c r="F300" i="5"/>
  <c r="K262" i="5"/>
  <c r="F262" i="5"/>
  <c r="K121" i="5"/>
  <c r="F121" i="5"/>
  <c r="K21" i="5"/>
  <c r="F21" i="5"/>
  <c r="K164" i="5"/>
  <c r="F164" i="5"/>
  <c r="K371" i="5"/>
  <c r="F371" i="5"/>
  <c r="K372" i="5"/>
  <c r="F372" i="5"/>
  <c r="K360" i="5"/>
  <c r="F360" i="5"/>
  <c r="K211" i="5"/>
  <c r="F211" i="5"/>
  <c r="K238" i="5"/>
  <c r="F238" i="5"/>
  <c r="K4" i="5"/>
  <c r="K349" i="5"/>
  <c r="F349" i="5"/>
  <c r="K326" i="5"/>
  <c r="F326" i="5"/>
  <c r="K321" i="5"/>
  <c r="F321" i="5"/>
  <c r="K289" i="5"/>
  <c r="F289" i="5"/>
  <c r="K290" i="5"/>
  <c r="F290" i="5"/>
  <c r="K291" i="5"/>
  <c r="F291" i="5"/>
  <c r="K294" i="5"/>
  <c r="F294" i="5"/>
  <c r="K298" i="5"/>
  <c r="F298" i="5"/>
  <c r="K305" i="5"/>
  <c r="F305" i="5"/>
  <c r="K315" i="5"/>
  <c r="F315" i="5"/>
  <c r="K317" i="5"/>
  <c r="F317" i="5"/>
  <c r="K318" i="5"/>
  <c r="F318" i="5"/>
  <c r="K320" i="5"/>
  <c r="F320" i="5"/>
  <c r="K324" i="5"/>
  <c r="F324" i="5"/>
  <c r="K325" i="5"/>
  <c r="F325" i="5"/>
  <c r="K327" i="5"/>
  <c r="F327" i="5"/>
  <c r="K328" i="5"/>
  <c r="F328" i="5"/>
  <c r="K329" i="5"/>
  <c r="F329" i="5"/>
  <c r="K330" i="5"/>
  <c r="F330" i="5"/>
  <c r="K331" i="5"/>
  <c r="F331" i="5"/>
  <c r="K332" i="5"/>
  <c r="F332" i="5"/>
  <c r="K333" i="5"/>
  <c r="F333" i="5"/>
  <c r="K334" i="5"/>
  <c r="F334" i="5"/>
  <c r="K335" i="5"/>
  <c r="F335" i="5"/>
  <c r="K227" i="5"/>
  <c r="F227" i="5"/>
  <c r="K236" i="5"/>
  <c r="F236" i="5"/>
  <c r="K237" i="5"/>
  <c r="F237" i="5"/>
  <c r="K239" i="5"/>
  <c r="F239" i="5"/>
  <c r="K240" i="5"/>
  <c r="F240" i="5"/>
  <c r="K244" i="5"/>
  <c r="F244" i="5"/>
  <c r="K245" i="5"/>
  <c r="F245" i="5"/>
  <c r="K257" i="5"/>
  <c r="F257" i="5"/>
  <c r="K269" i="5"/>
  <c r="F269" i="5"/>
  <c r="K297" i="5"/>
  <c r="F297" i="5"/>
  <c r="K181" i="5"/>
  <c r="F181" i="5"/>
  <c r="K302" i="5"/>
  <c r="F302" i="5"/>
  <c r="K303" i="5"/>
  <c r="F303" i="5"/>
  <c r="K306" i="5"/>
  <c r="F306" i="5"/>
  <c r="K307" i="5"/>
  <c r="F307" i="5"/>
  <c r="K308" i="5"/>
  <c r="F308" i="5"/>
  <c r="K309" i="5"/>
  <c r="F309" i="5"/>
  <c r="K310" i="5"/>
  <c r="F310" i="5"/>
  <c r="K311" i="5"/>
  <c r="F311" i="5"/>
  <c r="K316" i="5"/>
  <c r="F316" i="5"/>
  <c r="K319" i="5"/>
  <c r="F319" i="5"/>
  <c r="K322" i="5"/>
  <c r="F322" i="5"/>
  <c r="K336" i="5"/>
  <c r="F336" i="5"/>
  <c r="K337" i="5"/>
  <c r="F337" i="5"/>
  <c r="K338" i="5"/>
  <c r="F338" i="5"/>
  <c r="K339" i="5"/>
  <c r="F339" i="5"/>
  <c r="K340" i="5"/>
  <c r="F340" i="5"/>
  <c r="K341" i="5"/>
  <c r="F341" i="5"/>
  <c r="K342" i="5"/>
  <c r="F342" i="5"/>
  <c r="K343" i="5"/>
  <c r="F343" i="5"/>
  <c r="K344" i="5"/>
  <c r="F344" i="5"/>
  <c r="K345" i="5"/>
  <c r="F345" i="5"/>
  <c r="K346" i="5"/>
  <c r="F346" i="5"/>
  <c r="K347" i="5"/>
  <c r="F347" i="5"/>
  <c r="K348" i="5"/>
  <c r="F348" i="5"/>
  <c r="K350" i="5"/>
  <c r="F350" i="5"/>
  <c r="K351" i="5"/>
  <c r="F351" i="5"/>
  <c r="K352" i="5"/>
  <c r="F352" i="5"/>
  <c r="K353" i="5"/>
  <c r="F353" i="5"/>
  <c r="K354" i="5"/>
  <c r="K355" i="5"/>
  <c r="F355" i="5"/>
  <c r="K356" i="5"/>
  <c r="F356" i="5"/>
  <c r="K357" i="5"/>
  <c r="F357" i="5"/>
  <c r="K358" i="5"/>
  <c r="F358" i="5"/>
  <c r="K359" i="5"/>
  <c r="F359" i="5"/>
  <c r="K273" i="5"/>
  <c r="F273" i="5"/>
  <c r="K264" i="5"/>
  <c r="F264" i="5"/>
  <c r="K265" i="5"/>
  <c r="F265" i="5"/>
  <c r="K268" i="5"/>
  <c r="F268" i="5"/>
  <c r="K272" i="5"/>
  <c r="F272" i="5"/>
  <c r="K275" i="5"/>
  <c r="F275" i="5"/>
  <c r="K276" i="5"/>
  <c r="F276" i="5"/>
  <c r="K277" i="5"/>
  <c r="F277" i="5"/>
  <c r="K280" i="5"/>
  <c r="F280" i="5"/>
  <c r="K281" i="5"/>
  <c r="F281" i="5"/>
  <c r="K283" i="5"/>
  <c r="F283" i="5"/>
  <c r="K284" i="5"/>
  <c r="F284" i="5"/>
  <c r="K285" i="5"/>
  <c r="F285" i="5"/>
  <c r="K286" i="5"/>
  <c r="F286" i="5"/>
  <c r="K288" i="5"/>
  <c r="F288" i="5"/>
  <c r="K130" i="5"/>
  <c r="F130" i="5"/>
  <c r="K132" i="5"/>
  <c r="F132" i="5"/>
  <c r="K145" i="5"/>
  <c r="F145" i="5"/>
  <c r="K152" i="5"/>
  <c r="F152" i="5"/>
  <c r="K159" i="5"/>
  <c r="F159" i="5"/>
  <c r="K160" i="5"/>
  <c r="F160" i="5"/>
  <c r="K161" i="5"/>
  <c r="F161" i="5"/>
  <c r="K175" i="5"/>
  <c r="F175" i="5"/>
  <c r="K178" i="5"/>
  <c r="F178" i="5"/>
  <c r="K201" i="5"/>
  <c r="F201" i="5"/>
  <c r="K205" i="5"/>
  <c r="F205" i="5"/>
  <c r="K209" i="5"/>
  <c r="F209" i="5"/>
  <c r="K215" i="5"/>
  <c r="F215" i="5"/>
  <c r="K226" i="5"/>
  <c r="F226" i="5"/>
  <c r="K229" i="5"/>
  <c r="F229" i="5"/>
  <c r="K231" i="5"/>
  <c r="F231" i="5"/>
  <c r="K232" i="5"/>
  <c r="F232" i="5"/>
  <c r="K243" i="5"/>
  <c r="F243" i="5"/>
  <c r="K246" i="5"/>
  <c r="F246" i="5"/>
  <c r="K255" i="5"/>
  <c r="F255" i="5"/>
  <c r="K256" i="5"/>
  <c r="F256" i="5"/>
  <c r="K259" i="5"/>
  <c r="F259" i="5"/>
  <c r="K20" i="5"/>
  <c r="F20" i="5"/>
  <c r="K376" i="5"/>
  <c r="F376" i="5"/>
  <c r="K3" i="5"/>
  <c r="F3" i="5"/>
  <c r="K367" i="5"/>
  <c r="F367" i="5"/>
  <c r="K116" i="5"/>
  <c r="F116" i="5" s="1"/>
  <c r="K62" i="5"/>
  <c r="F62" i="5" s="1"/>
  <c r="K39" i="5"/>
  <c r="F39" i="5" s="1"/>
  <c r="K252" i="5"/>
  <c r="F252" i="5" s="1"/>
  <c r="K22" i="5"/>
  <c r="K29" i="5"/>
  <c r="K35" i="5"/>
  <c r="K46" i="5"/>
  <c r="K48" i="5"/>
  <c r="K52" i="5"/>
  <c r="K67" i="5"/>
  <c r="K68" i="5"/>
  <c r="K71" i="5"/>
  <c r="K77" i="5"/>
  <c r="K78" i="5"/>
  <c r="K91" i="5"/>
  <c r="K95" i="5"/>
  <c r="K108" i="5"/>
  <c r="K117" i="5"/>
  <c r="K122" i="5"/>
  <c r="K128" i="5"/>
  <c r="L266" i="5"/>
  <c r="G266" i="5" s="1"/>
  <c r="L253" i="5"/>
  <c r="G253" i="5" s="1"/>
  <c r="L221" i="5"/>
  <c r="G221" i="5" s="1"/>
  <c r="L214" i="5"/>
  <c r="L188" i="5"/>
  <c r="L148" i="5"/>
  <c r="G148" i="5" s="1"/>
  <c r="L143" i="5"/>
  <c r="G143" i="5" s="1"/>
  <c r="L115" i="5"/>
  <c r="G115" i="5" s="1"/>
  <c r="L88" i="5"/>
  <c r="G88" i="5" s="1"/>
  <c r="L79" i="5"/>
  <c r="G79" i="5" s="1"/>
  <c r="L57" i="5"/>
  <c r="L54" i="5"/>
  <c r="L53" i="5"/>
  <c r="G53" i="5" s="1"/>
  <c r="L43" i="5"/>
  <c r="G43" i="5" s="1"/>
  <c r="L23" i="5"/>
  <c r="G23" i="5" s="1"/>
  <c r="L16" i="5"/>
  <c r="G16" i="5" s="1"/>
  <c r="L373" i="5"/>
  <c r="G373" i="5" s="1"/>
  <c r="L382" i="5"/>
  <c r="L235" i="5"/>
  <c r="L377" i="5"/>
  <c r="G377" i="5" s="1"/>
  <c r="L368" i="5"/>
  <c r="G368" i="5" s="1"/>
  <c r="L4" i="5"/>
  <c r="L349" i="5"/>
  <c r="L326" i="5"/>
  <c r="L321" i="5"/>
  <c r="L287" i="5"/>
  <c r="G287" i="5" s="1"/>
  <c r="L273" i="5"/>
  <c r="L260" i="5"/>
  <c r="G260" i="5" s="1"/>
  <c r="L116" i="5"/>
  <c r="G116" i="5" s="1"/>
  <c r="L62" i="5"/>
  <c r="G62" i="5" s="1"/>
  <c r="L39" i="5"/>
  <c r="G39" i="5" s="1"/>
  <c r="L252" i="5"/>
  <c r="G252" i="5" s="1"/>
  <c r="L367" i="5"/>
  <c r="L20" i="5"/>
  <c r="L376" i="5"/>
  <c r="L3" i="5"/>
  <c r="L22" i="5"/>
  <c r="L29" i="5"/>
  <c r="L35" i="5"/>
  <c r="L46" i="5"/>
  <c r="L48" i="5"/>
  <c r="L52" i="5"/>
  <c r="L67" i="5"/>
  <c r="L68" i="5"/>
  <c r="L71" i="5"/>
  <c r="L77" i="5"/>
  <c r="L78" i="5"/>
  <c r="L91" i="5"/>
  <c r="L95" i="5"/>
  <c r="L108" i="5"/>
  <c r="L117" i="5"/>
  <c r="L122" i="5"/>
  <c r="L128" i="5"/>
  <c r="L130" i="5"/>
  <c r="L132" i="5"/>
  <c r="L145" i="5"/>
  <c r="L152" i="5"/>
  <c r="L159" i="5"/>
  <c r="L160" i="5"/>
  <c r="L161" i="5"/>
  <c r="L175" i="5"/>
  <c r="L178" i="5"/>
  <c r="L201" i="5"/>
  <c r="L205" i="5"/>
  <c r="L209" i="5"/>
  <c r="L215" i="5"/>
  <c r="L226" i="5"/>
  <c r="L229" i="5"/>
  <c r="L231" i="5"/>
  <c r="L232" i="5"/>
  <c r="L243" i="5"/>
  <c r="L246" i="5"/>
  <c r="L255" i="5"/>
  <c r="L256" i="5"/>
  <c r="L259" i="5"/>
  <c r="L264" i="5"/>
  <c r="L265" i="5"/>
  <c r="L268" i="5"/>
  <c r="L272" i="5"/>
  <c r="L275" i="5"/>
  <c r="L276" i="5"/>
  <c r="L277" i="5"/>
  <c r="L280" i="5"/>
  <c r="L281" i="5"/>
  <c r="L283" i="5"/>
  <c r="L284" i="5"/>
  <c r="L285" i="5"/>
  <c r="L286" i="5"/>
  <c r="L288" i="5"/>
  <c r="L289" i="5"/>
  <c r="L290" i="5"/>
  <c r="L291" i="5"/>
  <c r="L294" i="5"/>
  <c r="L298" i="5"/>
  <c r="L305" i="5"/>
  <c r="L315" i="5"/>
  <c r="L317" i="5"/>
  <c r="L318" i="5"/>
  <c r="L320" i="5"/>
  <c r="L324" i="5"/>
  <c r="L325" i="5"/>
  <c r="L327" i="5"/>
  <c r="L328" i="5"/>
  <c r="L329" i="5"/>
  <c r="L330" i="5"/>
  <c r="L331" i="5"/>
  <c r="L332" i="5"/>
  <c r="L333" i="5"/>
  <c r="L334" i="5"/>
  <c r="L335" i="5"/>
  <c r="L227" i="5"/>
  <c r="L236" i="5"/>
  <c r="L237" i="5"/>
  <c r="L239" i="5"/>
  <c r="L240" i="5"/>
  <c r="L244" i="5"/>
  <c r="L245" i="5"/>
  <c r="L257" i="5"/>
  <c r="L269" i="5"/>
  <c r="L297" i="5"/>
  <c r="L181" i="5"/>
  <c r="L302" i="5"/>
  <c r="L303" i="5"/>
  <c r="L306" i="5"/>
  <c r="L307" i="5"/>
  <c r="L308" i="5"/>
  <c r="L309" i="5"/>
  <c r="L310" i="5"/>
  <c r="L311" i="5"/>
  <c r="L316" i="5"/>
  <c r="L319" i="5"/>
  <c r="L322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50" i="5"/>
  <c r="L351" i="5"/>
  <c r="L352" i="5"/>
  <c r="L353" i="5"/>
  <c r="L354" i="5"/>
  <c r="L355" i="5"/>
  <c r="L356" i="5"/>
  <c r="L357" i="5"/>
  <c r="L358" i="5"/>
  <c r="L359" i="5"/>
  <c r="L360" i="5"/>
  <c r="L211" i="5"/>
  <c r="L238" i="5"/>
  <c r="L304" i="5"/>
  <c r="L361" i="5"/>
  <c r="L362" i="5"/>
  <c r="L378" i="5"/>
  <c r="L379" i="5"/>
  <c r="L380" i="5"/>
  <c r="L381" i="5"/>
  <c r="L369" i="5"/>
  <c r="L38" i="5"/>
  <c r="L370" i="5"/>
  <c r="L300" i="5"/>
  <c r="L262" i="5"/>
  <c r="L121" i="5"/>
  <c r="L21" i="5"/>
  <c r="L164" i="5"/>
  <c r="L371" i="5"/>
  <c r="L372" i="5"/>
  <c r="L47" i="5"/>
  <c r="L383" i="5"/>
  <c r="L147" i="5"/>
  <c r="L313" i="5"/>
  <c r="L374" i="5"/>
  <c r="L301" i="5"/>
  <c r="L375" i="5"/>
  <c r="L83" i="5"/>
  <c r="L89" i="5"/>
  <c r="L384" i="5"/>
  <c r="L2" i="5"/>
  <c r="L5" i="5"/>
  <c r="L6" i="5"/>
  <c r="L7" i="5"/>
  <c r="L11" i="5"/>
  <c r="L12" i="5"/>
  <c r="L13" i="5"/>
  <c r="L14" i="5"/>
  <c r="L17" i="5"/>
  <c r="L18" i="5"/>
  <c r="L24" i="5"/>
  <c r="L27" i="5"/>
  <c r="L30" i="5"/>
  <c r="L31" i="5"/>
  <c r="L33" i="5"/>
  <c r="L34" i="5"/>
  <c r="L40" i="5"/>
  <c r="L41" i="5"/>
  <c r="L42" i="5"/>
  <c r="L44" i="5"/>
  <c r="L50" i="5"/>
  <c r="L55" i="5"/>
  <c r="L58" i="5"/>
  <c r="L59" i="5"/>
  <c r="L60" i="5"/>
  <c r="L63" i="5"/>
  <c r="L66" i="5"/>
  <c r="L69" i="5"/>
  <c r="L72" i="5"/>
  <c r="L82" i="5"/>
  <c r="L84" i="5"/>
  <c r="L87" i="5"/>
  <c r="L103" i="5"/>
  <c r="L126" i="5"/>
  <c r="L129" i="5"/>
  <c r="L134" i="5"/>
  <c r="L135" i="5"/>
  <c r="L142" i="5"/>
  <c r="L144" i="5"/>
  <c r="L167" i="5"/>
  <c r="L169" i="5"/>
  <c r="L172" i="5"/>
  <c r="L173" i="5"/>
  <c r="L174" i="5"/>
  <c r="L195" i="5"/>
  <c r="L197" i="5"/>
  <c r="L198" i="5"/>
  <c r="L202" i="5"/>
  <c r="L212" i="5"/>
  <c r="L216" i="5"/>
  <c r="L218" i="5"/>
  <c r="L247" i="5"/>
  <c r="L254" i="5"/>
  <c r="L258" i="5"/>
  <c r="L261" i="5"/>
  <c r="L295" i="5"/>
  <c r="L141" i="5"/>
  <c r="L137" i="5"/>
  <c r="L61" i="5"/>
  <c r="L64" i="5"/>
  <c r="L65" i="5"/>
  <c r="L70" i="5"/>
  <c r="L73" i="5"/>
  <c r="L74" i="5"/>
  <c r="L75" i="5"/>
  <c r="L76" i="5"/>
  <c r="L80" i="5"/>
  <c r="L81" i="5"/>
  <c r="L85" i="5"/>
  <c r="L90" i="5"/>
  <c r="L92" i="5"/>
  <c r="L94" i="5"/>
  <c r="L96" i="5"/>
  <c r="L97" i="5"/>
  <c r="L98" i="5"/>
  <c r="L99" i="5"/>
  <c r="L100" i="5"/>
  <c r="L104" i="5"/>
  <c r="L105" i="5"/>
  <c r="L106" i="5"/>
  <c r="L109" i="5"/>
  <c r="L112" i="5"/>
  <c r="L113" i="5"/>
  <c r="L114" i="5"/>
  <c r="L118" i="5"/>
  <c r="L119" i="5"/>
  <c r="L123" i="5"/>
  <c r="L127" i="5"/>
  <c r="L131" i="5"/>
  <c r="L133" i="5"/>
  <c r="L138" i="5"/>
  <c r="L139" i="5"/>
  <c r="L146" i="5"/>
  <c r="L149" i="5"/>
  <c r="L153" i="5"/>
  <c r="L154" i="5"/>
  <c r="L157" i="5"/>
  <c r="L158" i="5"/>
  <c r="L163" i="5"/>
  <c r="L165" i="5"/>
  <c r="L166" i="5"/>
  <c r="L168" i="5"/>
  <c r="L170" i="5"/>
  <c r="L176" i="5"/>
  <c r="L177" i="5"/>
  <c r="L179" i="5"/>
  <c r="L180" i="5"/>
  <c r="L182" i="5"/>
  <c r="L184" i="5"/>
  <c r="L185" i="5"/>
  <c r="L186" i="5"/>
  <c r="L187" i="5"/>
  <c r="L189" i="5"/>
  <c r="L190" i="5"/>
  <c r="L191" i="5"/>
  <c r="L196" i="5"/>
  <c r="L199" i="5"/>
  <c r="L200" i="5"/>
  <c r="L206" i="5"/>
  <c r="L207" i="5"/>
  <c r="L208" i="5"/>
  <c r="L210" i="5"/>
  <c r="L213" i="5"/>
  <c r="L217" i="5"/>
  <c r="L219" i="5"/>
  <c r="L220" i="5"/>
  <c r="L222" i="5"/>
  <c r="L223" i="5"/>
  <c r="L224" i="5"/>
  <c r="L225" i="5"/>
  <c r="L241" i="5"/>
  <c r="L242" i="5"/>
  <c r="L267" i="5"/>
  <c r="L274" i="5"/>
  <c r="L278" i="5"/>
  <c r="L296" i="5"/>
  <c r="L299" i="5"/>
  <c r="L312" i="5"/>
  <c r="S297" i="5"/>
  <c r="BC297" i="5" s="1"/>
  <c r="S257" i="5"/>
  <c r="BC257" i="5" s="1"/>
  <c r="S240" i="5"/>
  <c r="BC240" i="5" s="1"/>
  <c r="S239" i="5"/>
  <c r="BC239" i="5" s="1"/>
  <c r="S237" i="5"/>
  <c r="BC237" i="5" s="1"/>
  <c r="S236" i="5"/>
  <c r="BC236" i="5" s="1"/>
  <c r="S227" i="5"/>
  <c r="BC227" i="5" s="1"/>
  <c r="S334" i="5"/>
  <c r="BC334" i="5" s="1"/>
  <c r="S331" i="5"/>
  <c r="BC331" i="5" s="1"/>
  <c r="S329" i="5"/>
  <c r="BC329" i="5" s="1"/>
  <c r="S327" i="5"/>
  <c r="BC327" i="5" s="1"/>
  <c r="S325" i="5"/>
  <c r="BC325" i="5" s="1"/>
  <c r="S320" i="5"/>
  <c r="BC320" i="5" s="1"/>
  <c r="S321" i="5"/>
  <c r="BC321" i="5" s="1"/>
  <c r="S315" i="5"/>
  <c r="BC315" i="5" s="1"/>
  <c r="S256" i="5"/>
  <c r="BC256" i="5" s="1"/>
  <c r="S108" i="5"/>
  <c r="BC108" i="5" s="1"/>
  <c r="S298" i="5"/>
  <c r="BC298" i="5" s="1"/>
  <c r="S294" i="5"/>
  <c r="BC294" i="5" s="1"/>
  <c r="S291" i="5"/>
  <c r="BC291" i="5" s="1"/>
  <c r="S289" i="5"/>
  <c r="BC289" i="5" s="1"/>
  <c r="S287" i="5"/>
  <c r="BC287" i="5" s="1"/>
  <c r="S286" i="5"/>
  <c r="BC286" i="5" s="1"/>
  <c r="S285" i="5"/>
  <c r="BC285" i="5" s="1"/>
  <c r="S284" i="5"/>
  <c r="BC284" i="5" s="1"/>
  <c r="S283" i="5"/>
  <c r="BC283" i="5" s="1"/>
  <c r="S281" i="5"/>
  <c r="BC281" i="5" s="1"/>
  <c r="S280" i="5"/>
  <c r="BC280" i="5" s="1"/>
  <c r="S277" i="5"/>
  <c r="BC277" i="5" s="1"/>
  <c r="S275" i="5"/>
  <c r="BC275" i="5" s="1"/>
  <c r="S272" i="5"/>
  <c r="BC272" i="5" s="1"/>
  <c r="S268" i="5"/>
  <c r="BC268" i="5" s="1"/>
  <c r="S265" i="5"/>
  <c r="BC265" i="5" s="1"/>
  <c r="S264" i="5"/>
  <c r="BC264" i="5" s="1"/>
  <c r="S259" i="5"/>
  <c r="BC259" i="5" s="1"/>
  <c r="S260" i="5"/>
  <c r="BC260" i="5" s="1"/>
  <c r="S255" i="5"/>
  <c r="BC255" i="5" s="1"/>
  <c r="S246" i="5"/>
  <c r="BC246" i="5" s="1"/>
  <c r="S243" i="5"/>
  <c r="BC243" i="5" s="1"/>
  <c r="S232" i="5"/>
  <c r="BC232" i="5" s="1"/>
  <c r="S231" i="5"/>
  <c r="BC231" i="5" s="1"/>
  <c r="S229" i="5"/>
  <c r="BC229" i="5" s="1"/>
  <c r="S215" i="5"/>
  <c r="BC215" i="5" s="1"/>
  <c r="S209" i="5"/>
  <c r="BC209" i="5" s="1"/>
  <c r="S205" i="5"/>
  <c r="BC205" i="5" s="1"/>
  <c r="S201" i="5"/>
  <c r="BC201" i="5" s="1"/>
  <c r="S178" i="5"/>
  <c r="BC178" i="5" s="1"/>
  <c r="S175" i="5"/>
  <c r="BC175" i="5" s="1"/>
  <c r="S161" i="5"/>
  <c r="BC161" i="5" s="1"/>
  <c r="S160" i="5"/>
  <c r="BC160" i="5" s="1"/>
  <c r="S152" i="5"/>
  <c r="BC152" i="5" s="1"/>
  <c r="S145" i="5"/>
  <c r="BC145" i="5" s="1"/>
  <c r="S132" i="5"/>
  <c r="BC132" i="5" s="1"/>
  <c r="S128" i="5"/>
  <c r="BC128" i="5" s="1"/>
  <c r="S122" i="5"/>
  <c r="BC122" i="5" s="1"/>
  <c r="S116" i="5"/>
  <c r="BC116" i="5" s="1"/>
  <c r="S95" i="5"/>
  <c r="BC95" i="5" s="1"/>
  <c r="S91" i="5"/>
  <c r="BC91" i="5" s="1"/>
  <c r="S78" i="5"/>
  <c r="BC78" i="5" s="1"/>
  <c r="S77" i="5"/>
  <c r="BC77" i="5" s="1"/>
  <c r="S71" i="5"/>
  <c r="BC71" i="5" s="1"/>
  <c r="S67" i="5"/>
  <c r="BC67" i="5" s="1"/>
  <c r="S52" i="5"/>
  <c r="BC52" i="5" s="1"/>
  <c r="S46" i="5"/>
  <c r="BC46" i="5" s="1"/>
  <c r="S39" i="5"/>
  <c r="BC39" i="5" s="1"/>
  <c r="S29" i="5"/>
  <c r="BC29" i="5" s="1"/>
  <c r="S22" i="5"/>
  <c r="BC22" i="5" s="1"/>
  <c r="S3" i="5"/>
  <c r="BC3" i="5" s="1"/>
  <c r="S252" i="5"/>
  <c r="BC252" i="5" s="1"/>
  <c r="S376" i="5"/>
  <c r="BC376" i="5" s="1"/>
  <c r="S20" i="5"/>
  <c r="BC20" i="5" s="1"/>
  <c r="S367" i="5"/>
  <c r="BC367" i="5" s="1"/>
  <c r="S290" i="5"/>
  <c r="BC290" i="5" s="1"/>
  <c r="S276" i="5"/>
  <c r="BC276" i="5" s="1"/>
  <c r="S68" i="5"/>
  <c r="BC68" i="5" s="1"/>
  <c r="S159" i="5"/>
  <c r="BC159" i="5" s="1"/>
  <c r="S117" i="5"/>
  <c r="BC117" i="5" s="1"/>
  <c r="S130" i="5"/>
  <c r="BC130" i="5" s="1"/>
  <c r="S226" i="5"/>
  <c r="BC226" i="5" s="1"/>
  <c r="S48" i="5"/>
  <c r="BC48" i="5" s="1"/>
  <c r="S62" i="5"/>
  <c r="BC62" i="5" s="1"/>
  <c r="S35" i="5"/>
  <c r="BC35" i="5" s="1"/>
  <c r="S273" i="5"/>
  <c r="BC273" i="5" s="1"/>
  <c r="S288" i="5"/>
  <c r="BC288" i="5" s="1"/>
  <c r="S305" i="5"/>
  <c r="BC305" i="5" s="1"/>
  <c r="S317" i="5"/>
  <c r="BC317" i="5" s="1"/>
  <c r="S318" i="5"/>
  <c r="BC318" i="5" s="1"/>
  <c r="S324" i="5"/>
  <c r="BC324" i="5" s="1"/>
  <c r="S328" i="5"/>
  <c r="BC328" i="5" s="1"/>
  <c r="S330" i="5"/>
  <c r="BC330" i="5" s="1"/>
  <c r="S332" i="5"/>
  <c r="BC332" i="5" s="1"/>
  <c r="S333" i="5"/>
  <c r="BC333" i="5" s="1"/>
  <c r="S335" i="5"/>
  <c r="BC335" i="5" s="1"/>
  <c r="S244" i="5"/>
  <c r="BC244" i="5" s="1"/>
  <c r="S245" i="5"/>
  <c r="BC245" i="5" s="1"/>
  <c r="S269" i="5"/>
  <c r="BC269" i="5" s="1"/>
  <c r="U269" i="5" l="1"/>
  <c r="U245" i="5"/>
  <c r="U244" i="5"/>
  <c r="U335" i="5"/>
  <c r="U333" i="5"/>
  <c r="U332" i="5"/>
  <c r="U330" i="5"/>
  <c r="U328" i="5"/>
  <c r="U324" i="5"/>
  <c r="U318" i="5"/>
  <c r="U317" i="5"/>
  <c r="U305" i="5"/>
  <c r="U288" i="5"/>
  <c r="U273" i="5"/>
  <c r="U35" i="5"/>
  <c r="U62" i="5"/>
  <c r="U48" i="5"/>
  <c r="U226" i="5"/>
  <c r="U130" i="5"/>
  <c r="U117" i="5"/>
  <c r="U159" i="5"/>
  <c r="U68" i="5"/>
  <c r="U276" i="5"/>
  <c r="U290" i="5"/>
  <c r="U367" i="5"/>
  <c r="U20" i="5"/>
  <c r="U376" i="5"/>
  <c r="U252" i="5"/>
  <c r="U3" i="5"/>
  <c r="U22" i="5"/>
  <c r="U29" i="5"/>
  <c r="U39" i="5"/>
  <c r="U46" i="5"/>
  <c r="U52" i="5"/>
  <c r="U67" i="5"/>
  <c r="U71" i="5"/>
  <c r="U77" i="5"/>
  <c r="U78" i="5"/>
  <c r="U91" i="5"/>
  <c r="U95" i="5"/>
  <c r="U116" i="5"/>
  <c r="U122" i="5"/>
  <c r="U128" i="5"/>
  <c r="U132" i="5"/>
  <c r="U145" i="5"/>
  <c r="U152" i="5"/>
  <c r="U160" i="5"/>
  <c r="U161" i="5"/>
  <c r="U175" i="5"/>
  <c r="U178" i="5"/>
  <c r="U201" i="5"/>
  <c r="U205" i="5"/>
  <c r="U209" i="5"/>
  <c r="U215" i="5"/>
  <c r="U229" i="5"/>
  <c r="U231" i="5"/>
  <c r="U232" i="5"/>
  <c r="U243" i="5"/>
  <c r="U246" i="5"/>
  <c r="U255" i="5"/>
  <c r="U260" i="5"/>
  <c r="U259" i="5"/>
  <c r="U264" i="5"/>
  <c r="U265" i="5"/>
  <c r="U268" i="5"/>
  <c r="U272" i="5"/>
  <c r="U275" i="5"/>
  <c r="U277" i="5"/>
  <c r="U280" i="5"/>
  <c r="U281" i="5"/>
  <c r="U283" i="5"/>
  <c r="U284" i="5"/>
  <c r="U285" i="5"/>
  <c r="U286" i="5"/>
  <c r="U287" i="5"/>
  <c r="U289" i="5"/>
  <c r="U291" i="5"/>
  <c r="U294" i="5"/>
  <c r="U298" i="5"/>
  <c r="U108" i="5"/>
  <c r="U256" i="5"/>
  <c r="U315" i="5"/>
  <c r="U321" i="5"/>
  <c r="U320" i="5"/>
  <c r="U325" i="5"/>
  <c r="U327" i="5"/>
  <c r="U329" i="5"/>
  <c r="U331" i="5"/>
  <c r="U334" i="5"/>
  <c r="U227" i="5"/>
  <c r="U236" i="5"/>
  <c r="U237" i="5"/>
  <c r="U239" i="5"/>
  <c r="U240" i="5"/>
  <c r="U257" i="5"/>
  <c r="U29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tc={303C438A-58DD-4BD3-BDBA-E84072383CD1}</author>
    <author>tc={EE3A492C-3499-4362-8A88-1F88914D3E6A}</author>
    <author>tc={C505A413-D331-4300-B66A-5A37460D029C}</author>
    <author>tc={72BD0A1C-CBED-4096-A761-EA51D5AB06B3}</author>
    <author>tc={0963381F-5C60-470C-B387-49E61185FC20}</author>
  </authors>
  <commentList>
    <comment ref="A1" authorId="0" shapeId="0" xr:uid="{303C438A-58DD-4BD3-BDBA-E84072383CD1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passar img pra ca</t>
      </text>
    </comment>
    <comment ref="O1" authorId="1" shapeId="0" xr:uid="{EE3A492C-3499-4362-8A88-1F88914D3E6A}">
      <text>
        <t>[Threaded comment]
Your version of Excel allows you to read this threaded comment; however, any edits to it will get removed if the file is opened in a newer version of Excel. Learn more: https://go.microsoft.com/fwlink/?linkid=870924
Comment:
    fazer dps</t>
      </text>
    </comment>
    <comment ref="U1" authorId="2" shapeId="0" xr:uid="{C505A413-D331-4300-B66A-5A37460D02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corrigir libs
Reply:
    precisa completar analise de credito</t>
      </text>
    </comment>
    <comment ref="W1" authorId="3" shapeId="0" xr:uid="{72BD0A1C-CBED-4096-A761-EA51D5AB06B3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corrigir libs
Reply:
    precisa completar analise de credito</t>
      </text>
    </comment>
    <comment ref="BC1" authorId="4" shapeId="0" xr:uid="{0963381F-5C60-470C-B387-49E61185FC2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corrigir libs
Reply:
    precisa completar analise de credito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tc={6CB9907E-B3DC-4428-B7D9-A7C4A0A8C168}</author>
    <author>tc={3FEF933E-9AF0-4F28-B725-EC695A1F702C}</author>
    <author>tc={0EAF9612-CBF8-49D5-9525-F288BEA5A70C}</author>
    <author>tc={EA5A2395-09DF-4C59-B7E9-44C6374B9A30}</author>
    <author>tc={197C47F5-7C74-4BB9-A561-D7B3CCF21652}</author>
  </authors>
  <commentList>
    <comment ref="A1" authorId="0" shapeId="0" xr:uid="{6CB9907E-B3DC-4428-B7D9-A7C4A0A8C168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falta passar img pra ca</t>
      </text>
    </comment>
    <comment ref="O1" authorId="1" shapeId="0" xr:uid="{3FEF933E-9AF0-4F28-B725-EC695A1F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fazer dps</t>
      </text>
    </comment>
    <comment ref="U1" authorId="2" shapeId="0" xr:uid="{0EAF9612-CBF8-49D5-9525-F288BEA5A70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corrigir libs
Reply:
    precisa completar analise de credito</t>
      </text>
    </comment>
    <comment ref="W1" authorId="3" shapeId="0" xr:uid="{EA5A2395-09DF-4C59-B7E9-44C6374B9A3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corrigir libs
Reply:
    precisa completar analise de credito</t>
      </text>
    </comment>
    <comment ref="BC1" authorId="4" shapeId="0" xr:uid="{197C47F5-7C74-4BB9-A561-D7B3CCF21652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corrigir libs
Reply:
    precisa completar analise de credito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tc={5058E6BC-7775-46FD-90DF-0635F77BB3FB}</author>
  </authors>
  <commentList>
    <comment ref="A1" authorId="0" shapeId="0" xr:uid="{5058E6BC-7775-46FD-90DF-0635F77BB3FB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TROCAR POR COL B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<sst xmlns="http://schemas.openxmlformats.org/spreadsheetml/2006/main" count="12373" uniqueCount="1204">
  <si>
    <t>Tabela de Produtos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</si>
  <si>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</si>
  <si>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</si>
  <si>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</si>
  <si>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</si>
  <si>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</si>
  <si>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</si>
  <si>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</si>
  <si>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</si>
  <si>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</si>
  <si>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</si>
  <si>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</si>
  <si>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</si>
  <si>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FUNCIONARIO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</si>
  <si>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</si>
  <si>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</si>
  <si>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</si>
  <si>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</si>
  <si>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</si>
  <si>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</si>
  <si>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</si>
  <si>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</si>
  <si>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</si>
  <si>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</si>
  <si>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</si>
  <si>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</si>
  <si>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</si>
  <si>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</si>
  <si>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</si>
  <si>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</si>
  <si>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</si>
  <si>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de Aluno</t>
  </si>
  <si>
    <t>Nota 1 Trimestre</t>
  </si>
  <si>
    <t>Nota 2 Trimestre</t>
  </si>
  <si>
    <t>Nota 3 Trimestre</t>
  </si>
  <si>
    <t>Média final</t>
  </si>
  <si>
    <t>Resultado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</si>
  <si>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</si>
  <si>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</si>
  <si>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</si>
  <si>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</si>
  <si>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</si>
  <si>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</si>
  <si>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</si>
  <si>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</si>
  <si>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</si>
  <si>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 xml:space="preserve">Curso técnico </t>
  </si>
  <si>
    <t>Anos de experiência na área</t>
  </si>
  <si>
    <t>Situação</t>
  </si>
  <si>
    <t>Alfa Romeu Julia</t>
  </si>
  <si>
    <t>Não</t>
  </si>
  <si>
    <t>Sim</t>
  </si>
  <si>
    <t>Fusclaudia de Oliveira</t>
  </si>
  <si>
    <t>Unotavio do Santos</t>
  </si>
  <si>
    <t>Nissan Silvia</t>
  </si>
  <si>
    <t>Ferrari Enzo</t>
  </si>
  <si>
    <t>Requisitos para ser contratado</t>
  </si>
  <si>
    <t>Ter idade maior ou igual a 18 anos</t>
  </si>
  <si>
    <t>Ter ensino médio completo</t>
  </si>
  <si>
    <t>Ter curso de vendedor</t>
  </si>
  <si>
    <t>Ter no mínimo 3 anos de experiência na área</t>
  </si>
  <si>
    <t>status</t>
  </si>
  <si>
    <t>nome</t>
  </si>
  <si>
    <t>cpf</t>
  </si>
  <si>
    <t>cpfclean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</si>
  <si>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</si>
  <si>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</si>
  <si>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</si>
  <si>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</si>
  <si>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</si>
  <si>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</si>
  <si>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</si>
  <si>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</si>
  <si>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</si>
  <si>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flag_inadimplente2</t>
  </si>
  <si>
    <t>valor_solicitado</t>
  </si>
  <si>
    <t>Ativo</t>
  </si>
  <si>
    <t>Ellaria Baelish</t>
  </si>
  <si>
    <t>000.000.336-00</t>
  </si>
  <si>
    <t>Ninho da Águia</t>
  </si>
  <si>
    <t>Vale</t>
  </si>
  <si>
    <t>Inativo</t>
  </si>
  <si>
    <t>Stannis Lannister</t>
  </si>
  <si>
    <t>Ponta Tempestade</t>
  </si>
  <si>
    <t>Terras da Tempestade</t>
  </si>
  <si>
    <t>11000 moedas</t>
  </si>
  <si>
    <t>=PROCX(TabelaClean[@cpf];'Base_Dirty (2)'!D1:D7</t>
  </si>
  <si>
    <t>Asha Hornwood</t>
  </si>
  <si>
    <t>000.000.363-00</t>
  </si>
  <si>
    <t>Pedra do Dragão</t>
  </si>
  <si>
    <t>Terras da Coroa</t>
  </si>
  <si>
    <t>21500 moedas</t>
  </si>
  <si>
    <t>N/A</t>
  </si>
  <si>
    <t>não</t>
  </si>
  <si>
    <t>Jorah Dondarrion</t>
  </si>
  <si>
    <t>000.000.210-00</t>
  </si>
  <si>
    <t>Pyke | Ilhas de Ferro</t>
  </si>
  <si>
    <t>10400 moedas</t>
  </si>
  <si>
    <t>Jojen Florent</t>
  </si>
  <si>
    <t>000.000.321-00</t>
  </si>
  <si>
    <t>vale</t>
  </si>
  <si>
    <t>Olenna Baelish</t>
  </si>
  <si>
    <t>000.000.191-00</t>
  </si>
  <si>
    <t>Lannisporto</t>
  </si>
  <si>
    <t>3500 moedas</t>
  </si>
  <si>
    <t>ATIVO</t>
  </si>
  <si>
    <t>Brienne Manderly</t>
  </si>
  <si>
    <t>000.000.076-00</t>
  </si>
  <si>
    <t>Oeste</t>
  </si>
  <si>
    <t>8600 moedas</t>
  </si>
  <si>
    <t>yara targaryen</t>
  </si>
  <si>
    <t>000.000.059-00</t>
  </si>
  <si>
    <t>Pyke</t>
  </si>
  <si>
    <t>Ilhas De Ferro</t>
  </si>
  <si>
    <t>18200 moedas</t>
  </si>
  <si>
    <t>31000 moedas</t>
  </si>
  <si>
    <t>Margaery Tarly</t>
  </si>
  <si>
    <t>000.000.274-00</t>
  </si>
  <si>
    <t>ilhas de ferro</t>
  </si>
  <si>
    <t>Viserys Seaworth</t>
  </si>
  <si>
    <t>000.000.024-00</t>
  </si>
  <si>
    <t>Meereen</t>
  </si>
  <si>
    <t>Essos</t>
  </si>
  <si>
    <t>23000 moedas</t>
  </si>
  <si>
    <t>Tormund  Cerwyn</t>
  </si>
  <si>
    <t>000.000.039-00</t>
  </si>
  <si>
    <t>catelyn westerling</t>
  </si>
  <si>
    <t>Braavos</t>
  </si>
  <si>
    <t>19500 moedas</t>
  </si>
  <si>
    <t>Robb Baratheon</t>
  </si>
  <si>
    <t>000.000.365-00</t>
  </si>
  <si>
    <t>Asha Tallhart</t>
  </si>
  <si>
    <t>Ilhas de Ferro</t>
  </si>
  <si>
    <t>17600 moedas</t>
  </si>
  <si>
    <t>Missandei Tarly</t>
  </si>
  <si>
    <t>TERRAS DA TEMPESTADE</t>
  </si>
  <si>
    <t>Jeor Mallister</t>
  </si>
  <si>
    <t>000.000.162-00</t>
  </si>
  <si>
    <t>Correrrio</t>
  </si>
  <si>
    <t>Terras Fluviais</t>
  </si>
  <si>
    <t>Eddard Crakehall</t>
  </si>
  <si>
    <t>Castelo Negro</t>
  </si>
  <si>
    <t>Norte</t>
  </si>
  <si>
    <t>5500 moedas</t>
  </si>
  <si>
    <t>Podrick Swyft</t>
  </si>
  <si>
    <t>000.000.090-00</t>
  </si>
  <si>
    <t>TERRAS FLUVIAIS</t>
  </si>
  <si>
    <t>Podrick Dayne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</si>
  <si>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</si>
  <si>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</si>
  <si>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</si>
  <si>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</si>
  <si>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</si>
  <si>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</si>
  <si>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</si>
  <si>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NORTE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</si>
  <si>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</si>
  <si>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</si>
  <si>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</si>
  <si>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</si>
  <si>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</si>
  <si>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</si>
  <si>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</si>
  <si>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</si>
  <si>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</si>
  <si>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TERRAS DA COROA</t>
  </si>
  <si>
    <t>1 batalhas</t>
  </si>
  <si>
    <t>Loras Clegane</t>
  </si>
  <si>
    <t>000.000.287-00</t>
  </si>
  <si>
    <t>Harrenhal</t>
  </si>
  <si>
    <t>samwell yronwood</t>
  </si>
  <si>
    <t>000.000.124-00</t>
  </si>
  <si>
    <t>Jardim de Cima</t>
  </si>
  <si>
    <t>Ativoo</t>
  </si>
  <si>
    <t>Catelyn Yronwood</t>
  </si>
  <si>
    <t>000.000.226-00</t>
  </si>
  <si>
    <t>norte</t>
  </si>
  <si>
    <t>Brienne Reed</t>
  </si>
  <si>
    <t>000.000.306-00</t>
  </si>
  <si>
    <t>Rhaegar Umber</t>
  </si>
  <si>
    <t>000.000.247-00</t>
  </si>
  <si>
    <t>sim</t>
  </si>
  <si>
    <t>Roose Manderly</t>
  </si>
  <si>
    <t>Dorne</t>
  </si>
  <si>
    <t>sem renda</t>
  </si>
  <si>
    <t>Jeor Florent</t>
  </si>
  <si>
    <t>000.000.249-00</t>
  </si>
  <si>
    <t>terras da tempestade</t>
  </si>
  <si>
    <t>Bran Yronwood</t>
  </si>
  <si>
    <t>000.000.057-00</t>
  </si>
  <si>
    <t>Nao</t>
  </si>
  <si>
    <t>BRONN ARRYN</t>
  </si>
  <si>
    <t>000.000.016-00</t>
  </si>
  <si>
    <t>oeste</t>
  </si>
  <si>
    <t>Shae Clegane</t>
  </si>
  <si>
    <t>000.000.205-00</t>
  </si>
  <si>
    <t>Ramsay Hornwood</t>
  </si>
  <si>
    <t>000.000.005-00</t>
  </si>
  <si>
    <t>23400 moedas</t>
  </si>
  <si>
    <t>MEERA PAYNE</t>
  </si>
  <si>
    <t>000.000.131-00</t>
  </si>
  <si>
    <t>DORNE</t>
  </si>
  <si>
    <t>MELISANDRE BARATHEON</t>
  </si>
  <si>
    <t>000.000.364-00</t>
  </si>
  <si>
    <t>27 batalhas</t>
  </si>
  <si>
    <t>Podrick Targaryen</t>
  </si>
  <si>
    <t>000.000.050-00</t>
  </si>
  <si>
    <t>29900 moedas</t>
  </si>
  <si>
    <t>Margaery Manderly</t>
  </si>
  <si>
    <t>000.000.222-00</t>
  </si>
  <si>
    <t>Winterfell</t>
  </si>
  <si>
    <t>Daenerys Seaworth</t>
  </si>
  <si>
    <t>000.000.341-00</t>
  </si>
  <si>
    <t>CAMPINA</t>
  </si>
  <si>
    <t>Jorah Redwyne</t>
  </si>
  <si>
    <t>Monte Chifre</t>
  </si>
  <si>
    <t>campina</t>
  </si>
  <si>
    <t>Margaery  Hornwood</t>
  </si>
  <si>
    <t>Arya Redwyne</t>
  </si>
  <si>
    <t>000.000.333-00</t>
  </si>
  <si>
    <t>3800 moedas</t>
  </si>
  <si>
    <t>VARYS BRACKEN</t>
  </si>
  <si>
    <t>000.000.215-00</t>
  </si>
  <si>
    <t>Porto Real</t>
  </si>
  <si>
    <t>2000 moedas</t>
  </si>
  <si>
    <t>Brienne Royce</t>
  </si>
  <si>
    <t>23500 moedas</t>
  </si>
  <si>
    <t>Rickon Redwyne</t>
  </si>
  <si>
    <t>Tormund Karstark</t>
  </si>
  <si>
    <t>000.000.284-00</t>
  </si>
  <si>
    <t>Bran Dayne</t>
  </si>
  <si>
    <t>000.000.288-00</t>
  </si>
  <si>
    <t>4500 moedas</t>
  </si>
  <si>
    <t>Aegon Frey</t>
  </si>
  <si>
    <t>000.000.338-00</t>
  </si>
  <si>
    <t>11100 moedas</t>
  </si>
  <si>
    <t>Daenerys Snow</t>
  </si>
  <si>
    <t>Dorne | Dorne</t>
  </si>
  <si>
    <t>Asha Baratheon</t>
  </si>
  <si>
    <t>000.000.195-00</t>
  </si>
  <si>
    <t>Rickon Crakehall</t>
  </si>
  <si>
    <t>000.000.066-00</t>
  </si>
  <si>
    <t>Atalaia da Água Cinzenta</t>
  </si>
  <si>
    <t>gargalo</t>
  </si>
  <si>
    <t>NÃO</t>
  </si>
  <si>
    <t>Eddard Mallister</t>
  </si>
  <si>
    <t>000.000.309-00</t>
  </si>
  <si>
    <t>GARGALO</t>
  </si>
  <si>
    <t>Daario Clegane</t>
  </si>
  <si>
    <t>000.000.270-00</t>
  </si>
  <si>
    <t>38 batalhas</t>
  </si>
  <si>
    <t>Ellaria Mallister</t>
  </si>
  <si>
    <t>000.000.194-00</t>
  </si>
  <si>
    <t>Stannis  Cerwyn</t>
  </si>
  <si>
    <t>ELLARIA TARLY</t>
  </si>
  <si>
    <t>000.000.026-00</t>
  </si>
  <si>
    <t>ESSOS</t>
  </si>
  <si>
    <t>ativo</t>
  </si>
  <si>
    <t>Daario Tyrell</t>
  </si>
  <si>
    <t>000.000.251-00</t>
  </si>
  <si>
    <t>Daario Marbrand</t>
  </si>
  <si>
    <t>000.000.014-00</t>
  </si>
  <si>
    <t>46 anos</t>
  </si>
  <si>
    <t>Thoros Tarth</t>
  </si>
  <si>
    <t>ILHAS DE FERRO</t>
  </si>
  <si>
    <t>Arya Marbrand</t>
  </si>
  <si>
    <t>000.000.133-00</t>
  </si>
  <si>
    <t>Davos Tyrell</t>
  </si>
  <si>
    <t>28 batalhas</t>
  </si>
  <si>
    <t>Lyanna Florent</t>
  </si>
  <si>
    <t>Varys Bolton</t>
  </si>
  <si>
    <t>Shae Seaworth</t>
  </si>
  <si>
    <t>000.000.030-00</t>
  </si>
  <si>
    <t>essos</t>
  </si>
  <si>
    <t>Jojen Reed</t>
  </si>
  <si>
    <t>000.000.136-00</t>
  </si>
  <si>
    <t>20000 moedas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</si>
  <si>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</si>
  <si>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</si>
  <si>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</si>
  <si>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</si>
  <si>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</si>
  <si>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</si>
  <si>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</si>
  <si>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</si>
  <si>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</si>
  <si>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</si>
  <si>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 Reed</t>
  </si>
  <si>
    <t>000.000.311-00</t>
  </si>
  <si>
    <t>Daenerys Tallhart</t>
  </si>
  <si>
    <t>000.000.092-00</t>
  </si>
  <si>
    <t>Lyanna Marbrand</t>
  </si>
  <si>
    <t>000.000.283-00</t>
  </si>
  <si>
    <t>22000 moedas</t>
  </si>
  <si>
    <t>Ramsay Dondarrion</t>
  </si>
  <si>
    <t>000.000.054-00</t>
  </si>
  <si>
    <t>dorne</t>
  </si>
  <si>
    <t>Thoros  Baelish</t>
  </si>
  <si>
    <t>000.000.011-00</t>
  </si>
  <si>
    <t>Melisandre Blackwood</t>
  </si>
  <si>
    <t>000.000.051-00</t>
  </si>
  <si>
    <t>Yara Baelish</t>
  </si>
  <si>
    <t>Solar do Entardecer</t>
  </si>
  <si>
    <t>Terras Da Tempestade</t>
  </si>
  <si>
    <t>Cersei Stark</t>
  </si>
  <si>
    <t>000.000.293-00</t>
  </si>
  <si>
    <t>Jon  Karstark</t>
  </si>
  <si>
    <t>000.000.139-00</t>
  </si>
  <si>
    <t>55 anos</t>
  </si>
  <si>
    <t>70500 moedas</t>
  </si>
  <si>
    <t>Yara Royce</t>
  </si>
  <si>
    <t>Jeor Lannister</t>
  </si>
  <si>
    <t>000.000.091-00</t>
  </si>
  <si>
    <t>10 batalhas</t>
  </si>
  <si>
    <t>bran florent</t>
  </si>
  <si>
    <t>000.000.218-00</t>
  </si>
  <si>
    <t>Jojen Redwyne</t>
  </si>
  <si>
    <t>000.000.334-00</t>
  </si>
  <si>
    <t>24 anos</t>
  </si>
  <si>
    <t>Bronn Mallister</t>
  </si>
  <si>
    <t>000.000.200-00</t>
  </si>
  <si>
    <t>76500 moedas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</si>
  <si>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</si>
  <si>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</si>
  <si>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</si>
  <si>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</si>
  <si>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</si>
  <si>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</si>
  <si>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</si>
  <si>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</si>
  <si>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</si>
  <si>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</si>
  <si>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</si>
  <si>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</si>
  <si>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</si>
  <si>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</si>
  <si>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</si>
  <si>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</si>
  <si>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</si>
  <si>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Fosso Cailin | Norte</t>
  </si>
  <si>
    <t>28800 moedas</t>
  </si>
  <si>
    <t>Stannis Redwyne</t>
  </si>
  <si>
    <t>000.000.216-00</t>
  </si>
  <si>
    <t>Jardim de Cima | Campina</t>
  </si>
  <si>
    <t>3 batalhas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</si>
  <si>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</si>
  <si>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</si>
  <si>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</si>
  <si>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</si>
  <si>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</si>
  <si>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</si>
  <si>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</si>
  <si>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</si>
  <si>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terras fluviais</t>
  </si>
  <si>
    <t>loras payne</t>
  </si>
  <si>
    <t>000.000.027-00</t>
  </si>
  <si>
    <t>Missandei  Tarly</t>
  </si>
  <si>
    <t>000.000.196-00</t>
  </si>
  <si>
    <t>24 batalhas</t>
  </si>
  <si>
    <t>Aegon Baelish</t>
  </si>
  <si>
    <t>Meereen | Essos</t>
  </si>
  <si>
    <t>MELISANDRE TARGARYEN</t>
  </si>
  <si>
    <t>000.000.170-00</t>
  </si>
  <si>
    <t>loqueado</t>
  </si>
  <si>
    <t>Roose Cerwyn</t>
  </si>
  <si>
    <t>000.000.047-00</t>
  </si>
  <si>
    <t>Shae Frey</t>
  </si>
  <si>
    <t>61500 moedas</t>
  </si>
  <si>
    <t>Lyanna Swyft</t>
  </si>
  <si>
    <t>Rhaegar Targaryen</t>
  </si>
  <si>
    <t>000.000.342-00</t>
  </si>
  <si>
    <t>31 batalhas</t>
  </si>
  <si>
    <t>Varys Targaryen</t>
  </si>
  <si>
    <t>000.000.234-00</t>
  </si>
  <si>
    <t>Robb Stark</t>
  </si>
  <si>
    <t>000.000.228-00</t>
  </si>
  <si>
    <t>Gendry Hightower</t>
  </si>
  <si>
    <t>000.000.167-00</t>
  </si>
  <si>
    <t>Harrenhal | Terras Fluviais</t>
  </si>
  <si>
    <t>tormund glover</t>
  </si>
  <si>
    <t>000.000.087-00</t>
  </si>
  <si>
    <t>Tyrion Snow</t>
  </si>
  <si>
    <t>Beric  Umber</t>
  </si>
  <si>
    <t>Varys Florent</t>
  </si>
  <si>
    <t>Catelyn Umber</t>
  </si>
  <si>
    <t>Samwell Glover</t>
  </si>
  <si>
    <t>Thoros Clegane</t>
  </si>
  <si>
    <t>000.000.141-00</t>
  </si>
  <si>
    <t>THEON BARATHEON</t>
  </si>
  <si>
    <t>000.000.375-00</t>
  </si>
  <si>
    <t>22900 moedas</t>
  </si>
  <si>
    <t>SIM</t>
  </si>
  <si>
    <t>Melisandre  Baelish</t>
  </si>
  <si>
    <t>000.000.152-00</t>
  </si>
  <si>
    <t>25100 moedas</t>
  </si>
  <si>
    <t>Robert Yronwood</t>
  </si>
  <si>
    <t>000.000.075-00</t>
  </si>
  <si>
    <t>Meera Reed</t>
  </si>
  <si>
    <t>000.000.314-00</t>
  </si>
  <si>
    <t>tormund royce</t>
  </si>
  <si>
    <t>000.000.297-00</t>
  </si>
  <si>
    <t>Tyrion Karstark</t>
  </si>
  <si>
    <t>OESTE</t>
  </si>
  <si>
    <t>Missandei Florent</t>
  </si>
  <si>
    <t>000.000.282-00</t>
  </si>
  <si>
    <t>Varys  Stark</t>
  </si>
  <si>
    <t>Jeor Karstark</t>
  </si>
  <si>
    <t>000.000.310-00</t>
  </si>
  <si>
    <t>RENLY MORMONT</t>
  </si>
  <si>
    <t>000.000.376-00</t>
  </si>
  <si>
    <t>19 batalhas</t>
  </si>
  <si>
    <t>Eddard Royce</t>
  </si>
  <si>
    <t>000.000.181-00</t>
  </si>
  <si>
    <t>Terras Da Coroa</t>
  </si>
  <si>
    <t>16000 moedas</t>
  </si>
  <si>
    <t>Rhaegar Lannister</t>
  </si>
  <si>
    <t>Varys Blackwood</t>
  </si>
  <si>
    <t>000.000.373-00</t>
  </si>
  <si>
    <t>EDDARD WESTERLING</t>
  </si>
  <si>
    <t>000.000.094-00</t>
  </si>
  <si>
    <t>Varys  Blackwood</t>
  </si>
  <si>
    <t>41 batalhas</t>
  </si>
  <si>
    <t>Olenna Bracken</t>
  </si>
  <si>
    <t>000.000.225-00</t>
  </si>
  <si>
    <t>Aegon Marbrand</t>
  </si>
  <si>
    <t>Beric Tyrell</t>
  </si>
  <si>
    <t>000.000.242-00</t>
  </si>
  <si>
    <t>Asha Manderly</t>
  </si>
  <si>
    <t>000.000.357-00</t>
  </si>
  <si>
    <t>Ellaria Mormont</t>
  </si>
  <si>
    <t>000.000.157-00</t>
  </si>
  <si>
    <t>29 batalhas</t>
  </si>
  <si>
    <t>Grey Worm Baratheon</t>
  </si>
  <si>
    <t>000.000.221-00</t>
  </si>
  <si>
    <t>Ellaria Swyft</t>
  </si>
  <si>
    <t>000.000.115-00</t>
  </si>
  <si>
    <t>VALE</t>
  </si>
  <si>
    <t>Grey  Worm  Greyjoy</t>
  </si>
  <si>
    <t>000.000.182-00</t>
  </si>
  <si>
    <t>Jeor  Payne</t>
  </si>
  <si>
    <t>Bronn Royce</t>
  </si>
  <si>
    <t>Robert Hornwood</t>
  </si>
  <si>
    <t>000.000.259-00</t>
  </si>
  <si>
    <t>inativo</t>
  </si>
  <si>
    <t>Asha Bolton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</si>
  <si>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</si>
  <si>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</si>
  <si>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</si>
  <si>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</si>
  <si>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</si>
  <si>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</si>
  <si>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</si>
  <si>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Ramsay Stark</t>
  </si>
  <si>
    <t>000.000.169-00</t>
  </si>
  <si>
    <t>Thoros Karstark</t>
  </si>
  <si>
    <t>000.000.012-00</t>
  </si>
  <si>
    <t>Gargalo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</si>
  <si>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</si>
  <si>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</si>
  <si>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</si>
  <si>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</si>
  <si>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</si>
  <si>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</si>
  <si>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</si>
  <si>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42000 moedas</t>
  </si>
  <si>
    <t>SANDOR WESTERLING</t>
  </si>
  <si>
    <t>30 batalhas</t>
  </si>
  <si>
    <t>Gilly Frey</t>
  </si>
  <si>
    <t>000.000.258-00</t>
  </si>
  <si>
    <t>Loras Bracken</t>
  </si>
  <si>
    <t>000.000.254-00</t>
  </si>
  <si>
    <t>Atalaia da Água Cinzenta | Gargalo</t>
  </si>
  <si>
    <t>17500 moedas</t>
  </si>
  <si>
    <t>Roose Bracken</t>
  </si>
  <si>
    <t>Varys Arryn</t>
  </si>
  <si>
    <t>000.000.097-00</t>
  </si>
  <si>
    <t>Asha Redwyne</t>
  </si>
  <si>
    <t>Beric Tallhart</t>
  </si>
  <si>
    <t>000.000.291-00</t>
  </si>
  <si>
    <t>Margaery Cerwyn</t>
  </si>
  <si>
    <t>000.000.211-00</t>
  </si>
  <si>
    <t>5 batalhas</t>
  </si>
  <si>
    <t>Loras Frey</t>
  </si>
  <si>
    <t>000.000.017-00</t>
  </si>
  <si>
    <t>Bran Karstark</t>
  </si>
  <si>
    <t>000.000.241-00</t>
  </si>
  <si>
    <t>ROBERT CERWYN</t>
  </si>
  <si>
    <t>17800 moedas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</si>
  <si>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</si>
  <si>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</si>
  <si>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</si>
  <si>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</si>
  <si>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</si>
  <si>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</si>
  <si>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</si>
  <si>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</si>
  <si>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26800 moedas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</si>
  <si>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</si>
  <si>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</si>
  <si>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</si>
  <si>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</si>
  <si>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</si>
  <si>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</si>
  <si>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</si>
  <si>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</si>
  <si>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20100 moedas</t>
  </si>
  <si>
    <t>Lyanna Stark</t>
  </si>
  <si>
    <t>000.000.023-00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</si>
  <si>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</si>
  <si>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</si>
  <si>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</si>
  <si>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</si>
  <si>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</si>
  <si>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</si>
  <si>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</si>
  <si>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</si>
  <si>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</si>
  <si>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INATIVO</t>
  </si>
  <si>
    <t>Daario Cerwyn</t>
  </si>
  <si>
    <t>Catelyn Tarly</t>
  </si>
  <si>
    <t>27 anos</t>
  </si>
  <si>
    <t>Rickon Lannister</t>
  </si>
  <si>
    <t>000.000.197-00</t>
  </si>
  <si>
    <t>40 batalhas</t>
  </si>
  <si>
    <t>Jorah Marbrand</t>
  </si>
  <si>
    <t>000.000.168-00</t>
  </si>
  <si>
    <t>Pedra do Dragão | Terras da Coroa</t>
  </si>
  <si>
    <t>Renly Seaworth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</si>
  <si>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</si>
  <si>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</si>
  <si>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</si>
  <si>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</si>
  <si>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</si>
  <si>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</si>
  <si>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</si>
  <si>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</si>
  <si>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Thoros Payne</t>
  </si>
  <si>
    <t>theon tarth</t>
  </si>
  <si>
    <t>000.000.289-00</t>
  </si>
  <si>
    <t>Stannis Seaworth</t>
  </si>
  <si>
    <t>000.000.316-00</t>
  </si>
  <si>
    <t>Grey Worm Dondarrion</t>
  </si>
  <si>
    <t>Olenna Arryn</t>
  </si>
  <si>
    <t>Tyrion Tyrell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</si>
  <si>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</si>
  <si>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</si>
  <si>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</si>
  <si>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</si>
  <si>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</si>
  <si>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</si>
  <si>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</si>
  <si>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Jaime Dondarrion</t>
  </si>
  <si>
    <t>000.000.056-00</t>
  </si>
  <si>
    <t>20900 moedas</t>
  </si>
  <si>
    <t>Loras Manderly</t>
  </si>
  <si>
    <t>Monte Chifre | Campina</t>
  </si>
  <si>
    <t>18 batalhas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</si>
  <si>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</si>
  <si>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</si>
  <si>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</si>
  <si>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</si>
  <si>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</si>
  <si>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</si>
  <si>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</si>
  <si>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</si>
  <si>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</si>
  <si>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Shae Mormont</t>
  </si>
  <si>
    <t>000.000.114-00</t>
  </si>
  <si>
    <t>renly bolton</t>
  </si>
  <si>
    <t>000.000.303-00</t>
  </si>
  <si>
    <t>Grey Worm Hornwood</t>
  </si>
  <si>
    <t>000.000.322-00</t>
  </si>
  <si>
    <t>52000 moedas</t>
  </si>
  <si>
    <t>Rhaegar Dayne</t>
  </si>
  <si>
    <t>000.000.335-00</t>
  </si>
  <si>
    <t>BRAN BOLTON</t>
  </si>
  <si>
    <t>000.000.003-00</t>
  </si>
  <si>
    <t>Shae Tarly</t>
  </si>
  <si>
    <t>000.000.235-00</t>
  </si>
  <si>
    <t>Melisandre Crakehall</t>
  </si>
  <si>
    <t>000.000.260-00</t>
  </si>
  <si>
    <t>45500 moedas</t>
  </si>
  <si>
    <t>Petyr Snow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</si>
  <si>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</si>
  <si>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</si>
  <si>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</si>
  <si>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</si>
  <si>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</si>
  <si>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</si>
  <si>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</si>
  <si>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</si>
  <si>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Yara Tallhart</t>
  </si>
  <si>
    <t>Gilly Mormont</t>
  </si>
  <si>
    <t>000.000.220-00</t>
  </si>
  <si>
    <t>Brienne Dondarrion</t>
  </si>
  <si>
    <t>000.000.256-00</t>
  </si>
  <si>
    <t>Missandei Glover</t>
  </si>
  <si>
    <t>Bronn Manderly</t>
  </si>
  <si>
    <t>000.000.074-00</t>
  </si>
  <si>
    <t>Aegon Florent</t>
  </si>
  <si>
    <t>Daario  Dayne</t>
  </si>
  <si>
    <t>000.000.144-00</t>
  </si>
  <si>
    <t>Roose Dondarrion</t>
  </si>
  <si>
    <t>000.000.126-00</t>
  </si>
  <si>
    <t>Stannis Greyjoy</t>
  </si>
  <si>
    <t>000.000.236-00</t>
  </si>
  <si>
    <t>Thoros Greyjoy</t>
  </si>
  <si>
    <t>000.000.043-00</t>
  </si>
  <si>
    <t>60000 moedas</t>
  </si>
  <si>
    <t>Thoros Crakehall</t>
  </si>
  <si>
    <t>Viserys  Umber</t>
  </si>
  <si>
    <t>000.000.155-00</t>
  </si>
  <si>
    <t>18000 moedas</t>
  </si>
  <si>
    <t>Cersei Greyjoy</t>
  </si>
  <si>
    <t>000.000.265-00</t>
  </si>
  <si>
    <t>21300 moedas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</si>
  <si>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</si>
  <si>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</si>
  <si>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</si>
  <si>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</si>
  <si>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</si>
  <si>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</si>
  <si>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</si>
  <si>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</si>
  <si>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</si>
  <si>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</si>
  <si>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</si>
  <si>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</si>
  <si>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</si>
  <si>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</si>
  <si>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</si>
  <si>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</si>
  <si>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</si>
  <si>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</si>
  <si>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Eddard Payne</t>
  </si>
  <si>
    <t>9200 moedas</t>
  </si>
  <si>
    <t>CERSEI GLOVER</t>
  </si>
  <si>
    <t>000.000.324-00</t>
  </si>
  <si>
    <t>4 batalhas</t>
  </si>
  <si>
    <t>Theon Karstark</t>
  </si>
  <si>
    <t>000.000.296-00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</si>
  <si>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</si>
  <si>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</si>
  <si>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</si>
  <si>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</si>
  <si>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</si>
  <si>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</si>
  <si>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</si>
  <si>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</si>
  <si>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</si>
  <si>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</si>
  <si>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</si>
  <si>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</si>
  <si>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</si>
  <si>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</si>
  <si>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</si>
  <si>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</si>
  <si>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</si>
  <si>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</si>
  <si>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</si>
  <si>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</si>
  <si>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Davos  Baratheon</t>
  </si>
  <si>
    <t>000.000.055-00</t>
  </si>
  <si>
    <t>Bronn Crakehall</t>
  </si>
  <si>
    <t>3600 moedas</t>
  </si>
  <si>
    <t>Cersei Umber</t>
  </si>
  <si>
    <t>000.000.058-00</t>
  </si>
  <si>
    <t>petyr yronwood</t>
  </si>
  <si>
    <t>000.000.095-00</t>
  </si>
  <si>
    <t>Robert Westerling</t>
  </si>
  <si>
    <t>000.000.105-00</t>
  </si>
  <si>
    <t>27300 moedas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</si>
  <si>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</si>
  <si>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</si>
  <si>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</si>
  <si>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</si>
  <si>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</si>
  <si>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</si>
  <si>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</si>
  <si>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</si>
  <si>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29700 moedas</t>
  </si>
  <si>
    <t>Lyanna Tarly</t>
  </si>
  <si>
    <t>000.000.232-00</t>
  </si>
  <si>
    <t>Cersei Tarth</t>
  </si>
  <si>
    <t>000.000.147-00</t>
  </si>
  <si>
    <t>74000 moedas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</si>
  <si>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</si>
  <si>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</si>
  <si>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</si>
  <si>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</si>
  <si>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</si>
  <si>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</si>
  <si>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</si>
  <si>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</si>
  <si>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</si>
  <si>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</si>
  <si>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</si>
  <si>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</si>
  <si>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</si>
  <si>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Davos Umber</t>
  </si>
  <si>
    <t>000.000.353-00</t>
  </si>
  <si>
    <t>6 batalhas</t>
  </si>
  <si>
    <t>Aegon Redwyne</t>
  </si>
  <si>
    <t>000.000.347-00</t>
  </si>
  <si>
    <t>MARGAERY DONDARRION</t>
  </si>
  <si>
    <t>Correrrio | Terras Fluviais</t>
  </si>
  <si>
    <t>Roose Bolton</t>
  </si>
  <si>
    <t>Jon Hornwood</t>
  </si>
  <si>
    <t>Shae  Dayne</t>
  </si>
  <si>
    <t>000.000.312-00</t>
  </si>
  <si>
    <t>Petyr Swyft</t>
  </si>
  <si>
    <t>000.000.275-00</t>
  </si>
  <si>
    <t>Jaime Bracken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</si>
  <si>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</si>
  <si>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</si>
  <si>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</si>
  <si>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</si>
  <si>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</si>
  <si>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</si>
  <si>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</si>
  <si>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</si>
  <si>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</si>
  <si>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</si>
  <si>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</si>
  <si>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</si>
  <si>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4000 moedas</t>
  </si>
  <si>
    <t>Lyanna Westerling</t>
  </si>
  <si>
    <t>RENLY STARK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</si>
  <si>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</si>
  <si>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</si>
  <si>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</si>
  <si>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</si>
  <si>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</si>
  <si>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</si>
  <si>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</si>
  <si>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51 anos</t>
  </si>
  <si>
    <t>7 batalhas</t>
  </si>
  <si>
    <t>Loras Lannister</t>
  </si>
  <si>
    <t>000.000.302-00</t>
  </si>
  <si>
    <t>Catelyn  Dayne</t>
  </si>
  <si>
    <t>000.000.213-00</t>
  </si>
  <si>
    <t>LYANNA TARTH</t>
  </si>
  <si>
    <t>000.000.345-00</t>
  </si>
  <si>
    <t>19900 moedas</t>
  </si>
  <si>
    <t>Varys Lannister</t>
  </si>
  <si>
    <t>000.000.367-00</t>
  </si>
  <si>
    <t>21600 moedas</t>
  </si>
  <si>
    <t>Ellaria Targaryen</t>
  </si>
  <si>
    <t>000.000.149-00</t>
  </si>
  <si>
    <t>Bronn Baratheon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</si>
  <si>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</si>
  <si>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</si>
  <si>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</si>
  <si>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</si>
  <si>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</si>
  <si>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</si>
  <si>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</si>
  <si>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Melisandre Cerwyn</t>
  </si>
  <si>
    <t>000.000.120-00</t>
  </si>
  <si>
    <t>6400 moedas</t>
  </si>
  <si>
    <t>Thoros  Frey</t>
  </si>
  <si>
    <t>000.000.113-00</t>
  </si>
  <si>
    <t>Gilly Glover</t>
  </si>
  <si>
    <t>Robb Reed</t>
  </si>
  <si>
    <t>000.000.246-00</t>
  </si>
  <si>
    <t>Petyr Mallister</t>
  </si>
  <si>
    <t>Rickon Frey</t>
  </si>
  <si>
    <t>000.000.013-00</t>
  </si>
  <si>
    <t>Loras  Tarth</t>
  </si>
  <si>
    <t>000.000.286-00</t>
  </si>
  <si>
    <t>Theon Frey</t>
  </si>
  <si>
    <t>000.000.123-00</t>
  </si>
  <si>
    <t>Renly Tallhart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</si>
  <si>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</si>
  <si>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</si>
  <si>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</si>
  <si>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</si>
  <si>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</si>
  <si>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</si>
  <si>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Margaery Tyrell</t>
  </si>
  <si>
    <t>000.000.107-00</t>
  </si>
  <si>
    <t>DAARIO TARLY</t>
  </si>
  <si>
    <t>000.000.046-00</t>
  </si>
  <si>
    <t>Tyrion Clegane</t>
  </si>
  <si>
    <t>000.000.281-00</t>
  </si>
  <si>
    <t>11400 moedas</t>
  </si>
  <si>
    <t>Viserys Hightower</t>
  </si>
  <si>
    <t>000.000.080-00</t>
  </si>
  <si>
    <t>20800 moedas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</si>
  <si>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</si>
  <si>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</si>
  <si>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</si>
  <si>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</si>
  <si>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</si>
  <si>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</si>
  <si>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</si>
  <si>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Eddard Dayne</t>
  </si>
  <si>
    <t>Rhaegar Payne</t>
  </si>
  <si>
    <t>000.000.253-00</t>
  </si>
  <si>
    <t>Bronn Dondarrion</t>
  </si>
  <si>
    <t>000.000.036-00</t>
  </si>
  <si>
    <t>CidadeCPF</t>
  </si>
  <si>
    <t>Coluna1</t>
  </si>
  <si>
    <t>RegiaoCPF</t>
  </si>
  <si>
    <t>CidadeClean</t>
  </si>
  <si>
    <t>RegiaoClean</t>
  </si>
  <si>
    <t>analise_credito</t>
  </si>
  <si>
    <t>analise_risco</t>
  </si>
  <si>
    <t>liberacao_credito</t>
  </si>
  <si>
    <t>null</t>
  </si>
  <si>
    <t>000.000.267-00</t>
  </si>
  <si>
    <t>000.000.161-00</t>
  </si>
  <si>
    <t>Null</t>
  </si>
  <si>
    <t>000.000.180-00</t>
  </si>
  <si>
    <t>000.000.032-00</t>
  </si>
  <si>
    <t>000.000.280-00</t>
  </si>
  <si>
    <t>000.000.028-00</t>
  </si>
  <si>
    <t>000.000.257-00</t>
  </si>
  <si>
    <t>Thoros Hornwood</t>
  </si>
  <si>
    <t>000.000.108-00</t>
  </si>
  <si>
    <t>000.000.240-00</t>
  </si>
  <si>
    <t>000.000.344-00</t>
  </si>
  <si>
    <t>Varys Tallhart</t>
  </si>
  <si>
    <t>000.000.361-00</t>
  </si>
  <si>
    <t>Terras da cCoroa</t>
  </si>
  <si>
    <t>000.000.099-00</t>
  </si>
  <si>
    <t>Seaworth</t>
  </si>
  <si>
    <t>000.000.371-00</t>
  </si>
  <si>
    <t>Castelo</t>
  </si>
  <si>
    <t>000.000.230-00</t>
  </si>
  <si>
    <t>Missandei Redwyne</t>
  </si>
  <si>
    <t>000.000.300-00</t>
  </si>
  <si>
    <t>Rhaegar Stark</t>
  </si>
  <si>
    <t>Robert Payne</t>
  </si>
  <si>
    <t>000.000.068-00</t>
  </si>
  <si>
    <t>Monte</t>
  </si>
  <si>
    <t>000.000.369-00</t>
  </si>
  <si>
    <t>Samwell Yronwood</t>
  </si>
  <si>
    <t>000.000.049-00</t>
  </si>
  <si>
    <t>000.000.209-00</t>
  </si>
  <si>
    <t>000.000.151-00</t>
  </si>
  <si>
    <t>000.000.117-00</t>
  </si>
  <si>
    <t>Arya Bolton</t>
  </si>
  <si>
    <t>000.000.072-00</t>
  </si>
  <si>
    <t>55</t>
  </si>
  <si>
    <t>Missandei Arryn</t>
  </si>
  <si>
    <t>000.000.368-00</t>
  </si>
  <si>
    <t>000.000.179-00</t>
  </si>
  <si>
    <t>Ramsay Karstark</t>
  </si>
  <si>
    <t>000.000.185-00</t>
  </si>
  <si>
    <t>000.000.069-00</t>
  </si>
  <si>
    <t>Cersei Glover</t>
  </si>
  <si>
    <t>000.000.159-00</t>
  </si>
  <si>
    <t>000.000.272-00</t>
  </si>
  <si>
    <t>000.000.038-00</t>
  </si>
  <si>
    <t>Loras Baelish</t>
  </si>
  <si>
    <t>Renly Stark</t>
  </si>
  <si>
    <t>000.000.252-00</t>
  </si>
  <si>
    <t>000.000.166-00</t>
  </si>
  <si>
    <t>Theon Baratheon</t>
  </si>
  <si>
    <t>000.000.295-00</t>
  </si>
  <si>
    <t>Renly Mormont</t>
  </si>
  <si>
    <t>000.000.305-00</t>
  </si>
  <si>
    <t>000.000.163-00</t>
  </si>
  <si>
    <t>27</t>
  </si>
  <si>
    <t>000.000.102-00</t>
  </si>
  <si>
    <t>Catelyn Westerling</t>
  </si>
  <si>
    <t>000.000.358-00</t>
  </si>
  <si>
    <t>000.000.243-00</t>
  </si>
  <si>
    <t>Theon Tarth</t>
  </si>
  <si>
    <t>000.000.127-00</t>
  </si>
  <si>
    <t>000.000.318-00</t>
  </si>
  <si>
    <t>000.000.268-00</t>
  </si>
  <si>
    <t>Olenna Hornwood</t>
  </si>
  <si>
    <t>000.000.299-00</t>
  </si>
  <si>
    <t>46</t>
  </si>
  <si>
    <t>000.000.278-00</t>
  </si>
  <si>
    <t>000.000.273-00</t>
  </si>
  <si>
    <t>000.000.165-00</t>
  </si>
  <si>
    <t>000.000.190-00</t>
  </si>
  <si>
    <t>Stark</t>
  </si>
  <si>
    <t>000.000.021-00</t>
  </si>
  <si>
    <t>20/22/1980</t>
  </si>
  <si>
    <t>000.000.160-00</t>
  </si>
  <si>
    <t>000.000.239-00</t>
  </si>
  <si>
    <t>000.000.132-00</t>
  </si>
  <si>
    <t>000.000.206-00</t>
  </si>
  <si>
    <t>000.000.175-00</t>
  </si>
  <si>
    <t>000.000.156-00</t>
  </si>
  <si>
    <t>Tyrion Westerling</t>
  </si>
  <si>
    <t>000.000.290-00</t>
  </si>
  <si>
    <t>000.000.331-00</t>
  </si>
  <si>
    <t>000.000.325-00</t>
  </si>
  <si>
    <t>000.000.223-00</t>
  </si>
  <si>
    <t>Varys Bracken</t>
  </si>
  <si>
    <t>000.000.348-00</t>
  </si>
  <si>
    <t>000.000.352-00</t>
  </si>
  <si>
    <t>000.000.262-00</t>
  </si>
  <si>
    <t>Podrick Stark</t>
  </si>
  <si>
    <t>000.000.029-00</t>
  </si>
  <si>
    <t>Melisandre Targaryen</t>
  </si>
  <si>
    <t>Lyanna Tarth</t>
  </si>
  <si>
    <t>000.000.203-00</t>
  </si>
  <si>
    <t>000.000.214-00</t>
  </si>
  <si>
    <t>000.000.096-00</t>
  </si>
  <si>
    <t>000.000.034-00</t>
  </si>
  <si>
    <t>Sansa Clegane</t>
  </si>
  <si>
    <t>000.000.174-00</t>
  </si>
  <si>
    <t>000.000.370-00</t>
  </si>
  <si>
    <t>Beric Crakehall</t>
  </si>
  <si>
    <t>51</t>
  </si>
  <si>
    <t>Robert Mallister</t>
  </si>
  <si>
    <t>Jaime Yronwood</t>
  </si>
  <si>
    <t>000.000.150-00</t>
  </si>
  <si>
    <t>000.000.022-00</t>
  </si>
  <si>
    <t>000.000.188-00</t>
  </si>
  <si>
    <t>000.000.048-00</t>
  </si>
  <si>
    <t>Eddard Westerling</t>
  </si>
  <si>
    <t>Theon Baelish</t>
  </si>
  <si>
    <t>000.000.337-00</t>
  </si>
  <si>
    <t>000.000.116-00</t>
  </si>
  <si>
    <t>000.000.171-00</t>
  </si>
  <si>
    <t>000.000.233-00</t>
  </si>
  <si>
    <t>000.000.154-00</t>
  </si>
  <si>
    <t>000.000.319-00</t>
  </si>
  <si>
    <t>000.000.271-00</t>
  </si>
  <si>
    <t>000.000.063-00</t>
  </si>
  <si>
    <t>000.000.002-00</t>
  </si>
  <si>
    <t>000.000.098-00</t>
  </si>
  <si>
    <t>Renly Bolton</t>
  </si>
  <si>
    <t>Yara Targaryen</t>
  </si>
  <si>
    <t>Tormund Glover</t>
  </si>
  <si>
    <t>Bran Bolton</t>
  </si>
  <si>
    <t>Sandor Westerling</t>
  </si>
  <si>
    <t>Margaery Dondarrion</t>
  </si>
  <si>
    <t>000.000.192-00</t>
  </si>
  <si>
    <t>Aegon Clegane</t>
  </si>
  <si>
    <t>000.000.330-00</t>
  </si>
  <si>
    <t>Roose Baelish</t>
  </si>
  <si>
    <t>000.000.366-00</t>
  </si>
  <si>
    <t>000.000.350-00</t>
  </si>
  <si>
    <t>24</t>
  </si>
  <si>
    <t>000.000.193-00</t>
  </si>
  <si>
    <t>000.000.320-00</t>
  </si>
  <si>
    <t>Davos Royce</t>
  </si>
  <si>
    <t>000.000.033-00</t>
  </si>
  <si>
    <t>Terra da coroa</t>
  </si>
  <si>
    <t>000.000.207-00</t>
  </si>
  <si>
    <t>Roose Frey</t>
  </si>
  <si>
    <t>000.000.292-00</t>
  </si>
  <si>
    <t>Jardim</t>
  </si>
  <si>
    <t>Brienne Karstark</t>
  </si>
  <si>
    <t>Loras Payne</t>
  </si>
  <si>
    <t>Tormund Royce</t>
  </si>
  <si>
    <t>Bronn Don Arrion</t>
  </si>
  <si>
    <t>Jardim de cima</t>
  </si>
  <si>
    <t>000.000.084-00</t>
  </si>
  <si>
    <t>27/07/1988</t>
  </si>
  <si>
    <t>Robert Cerwyn</t>
  </si>
  <si>
    <t>000.000.219-00</t>
  </si>
  <si>
    <t>Ellaria Tarly</t>
  </si>
  <si>
    <t>Bronn Arryn</t>
  </si>
  <si>
    <t>000.000.237-00</t>
  </si>
  <si>
    <t>000.000.042-00</t>
  </si>
  <si>
    <t>Petyr Yronwood</t>
  </si>
  <si>
    <t>000.000.162.-00</t>
  </si>
  <si>
    <t>000.000.086-00</t>
  </si>
  <si>
    <t>Meera Payne</t>
  </si>
  <si>
    <t>000.000.082-00</t>
  </si>
  <si>
    <t>000.000.377-00</t>
  </si>
  <si>
    <t>Daario Tarly</t>
  </si>
  <si>
    <t>Melisandre Baratheon</t>
  </si>
  <si>
    <t>000.000.064-00</t>
  </si>
  <si>
    <t>Renly Dayne</t>
  </si>
  <si>
    <t>000.000.137-00</t>
  </si>
  <si>
    <t>000.000.349-00</t>
  </si>
  <si>
    <t>32</t>
  </si>
  <si>
    <t>000.000.077-00</t>
  </si>
  <si>
    <t>000.000.279-00</t>
  </si>
  <si>
    <t>Margaery Redwyne</t>
  </si>
  <si>
    <t>000.000.018-00</t>
  </si>
  <si>
    <t>Daario Yronwood</t>
  </si>
  <si>
    <t>000.000.183-00</t>
  </si>
  <si>
    <t>000.000.264-00</t>
  </si>
  <si>
    <t>Grey Worm Greyjoy</t>
  </si>
  <si>
    <t>000.000.142-00</t>
  </si>
  <si>
    <t>Bran Florent</t>
  </si>
  <si>
    <t>Daario Tarth</t>
  </si>
  <si>
    <t>000.000.255-00</t>
  </si>
  <si>
    <t>Shae Blackwood</t>
  </si>
  <si>
    <t>000.000.145-00</t>
  </si>
  <si>
    <t>Ellaria Yronwood</t>
  </si>
  <si>
    <t>000.000.176-00</t>
  </si>
  <si>
    <t>Olenna Lannister</t>
  </si>
  <si>
    <t>000.000.212-00</t>
  </si>
  <si>
    <t>Meera Lannister</t>
  </si>
  <si>
    <t>000.000.121-00</t>
  </si>
  <si>
    <t>Podrick Umber</t>
  </si>
  <si>
    <t>000.000.053-00</t>
  </si>
  <si>
    <t>Rickon Hornwood</t>
  </si>
  <si>
    <t>000.000.078-00</t>
  </si>
  <si>
    <t>Ramsay Blackwood</t>
  </si>
  <si>
    <t>000.000.035-00</t>
  </si>
  <si>
    <t>data nascimento</t>
  </si>
  <si>
    <t>renda mensal</t>
  </si>
  <si>
    <t>credito tomado</t>
  </si>
  <si>
    <t>flag inadimplencia</t>
  </si>
  <si>
    <t>qtde batalhas</t>
  </si>
  <si>
    <t>nivel risco</t>
  </si>
  <si>
    <t>valor solicitado</t>
  </si>
  <si>
    <t>38000</t>
  </si>
  <si>
    <t>Pedra do Dragio</t>
  </si>
  <si>
    <t>=PROCV(TabelaClean[@cpf];Tabela912[[cpf]:[idade]]</t>
  </si>
  <si>
    <t>Coluna2</t>
  </si>
  <si>
    <t>Coluna3</t>
  </si>
  <si>
    <t>Coluna4</t>
  </si>
  <si>
    <t>Coluna5</t>
  </si>
  <si>
    <t>re lao</t>
  </si>
  <si>
    <t>fla</t>
  </si>
  <si>
    <t>inadim</t>
  </si>
  <si>
    <t>Coluna6</t>
  </si>
  <si>
    <t>tde batalhas nivel risco fla</t>
  </si>
  <si>
    <t>Coluna7</t>
  </si>
  <si>
    <t>Coluna8</t>
  </si>
  <si>
    <t>tde batalhas nivel risco</t>
  </si>
  <si>
    <t>Coluna10</t>
  </si>
  <si>
    <t>Coluna11</t>
  </si>
  <si>
    <t>Bronn Don arrion</t>
  </si>
  <si>
    <t>ooo.ooo.036-oo</t>
  </si>
  <si>
    <t>/01/1977</t>
  </si>
  <si>
    <t>im</t>
  </si>
  <si>
    <t>e Cima</t>
  </si>
  <si>
    <t>12.000 Sim</t>
  </si>
  <si>
    <t>03081995 Py</t>
  </si>
  <si>
    <t>as e Ferro</t>
  </si>
  <si>
    <t>17.500 Nao</t>
  </si>
  <si>
    <t>05/01/1953 Monte Chifre</t>
  </si>
  <si>
    <t>R$ 54.000,00 Nao</t>
  </si>
  <si>
    <t>14/08/1956 Braavos</t>
  </si>
  <si>
    <t>R$ 15.800,00 17500 moedas</t>
  </si>
  <si>
    <t>19/09/1999 Pedra do Dragão</t>
  </si>
  <si>
    <t>05/11/1968 Monte Chifre</t>
  </si>
  <si>
    <t>75500 Sim</t>
  </si>
  <si>
    <t>ooo.ooo.042-oo</t>
  </si>
  <si>
    <t>33892 Braavos</t>
  </si>
  <si>
    <t>3000 Sim</t>
  </si>
  <si>
    <t>35948 Harrenhal</t>
  </si>
  <si>
    <t>67 anos</t>
  </si>
  <si>
    <t>21671 Ponta Tempestade</t>
  </si>
  <si>
    <t>oterras da tempestade</t>
  </si>
  <si>
    <t>42500 Sim</t>
  </si>
  <si>
    <t>3.</t>
  </si>
  <si>
    <t>27729 Pedra do Dragão</t>
  </si>
  <si>
    <t>Pedra</t>
  </si>
  <si>
    <t>70.000 Sim</t>
  </si>
  <si>
    <t>19801 Porto Real</t>
  </si>
  <si>
    <t>0 Nao</t>
  </si>
  <si>
    <t>05/01/1958 Castelo Negro</t>
  </si>
  <si>
    <t>76000 Nao</t>
  </si>
  <si>
    <t>44 batalhas</t>
  </si>
  <si>
    <t>12/05/1991 Pedra do Dragão</t>
  </si>
  <si>
    <t>69500 Nao</t>
  </si>
  <si>
    <t>15/02/1986 Ilha dos Ursos</t>
  </si>
  <si>
    <t>Ilha</t>
  </si>
  <si>
    <t>R$ 48.500,00 Nao</t>
  </si>
  <si>
    <t>ooo.ooo.048-oo</t>
  </si>
  <si>
    <t>34084 Ilha dos Ursos</t>
  </si>
  <si>
    <t>38000 Sim</t>
  </si>
  <si>
    <t>23834 Monte Chifre</t>
  </si>
  <si>
    <t>9.100 49000 moedas</t>
  </si>
  <si>
    <t>01/11/1967 Ninho da Águia</t>
  </si>
  <si>
    <t>22200 moedas</t>
  </si>
  <si>
    <t>20/22/1980 Braavos</t>
  </si>
  <si>
    <t>59000 Nao</t>
  </si>
  <si>
    <t>ooo.ooo.245-oo</t>
  </si>
  <si>
    <t>22205 Castelo Negro</t>
  </si>
  <si>
    <t>78.500 Não</t>
  </si>
  <si>
    <t>23358 Jardim de Cima</t>
  </si>
  <si>
    <t>27/07/1988 Pedra do Dragio</t>
  </si>
  <si>
    <t>O NAO</t>
  </si>
  <si>
    <t>10/07/1987 Ilha dos Ursos</t>
  </si>
  <si>
    <t>69.000 Nao</t>
  </si>
  <si>
    <t>ooo.ooo.268-oo</t>
  </si>
  <si>
    <t>24100 Correrrio</t>
  </si>
  <si>
    <t>61.000 Sim</t>
  </si>
  <si>
    <t>R$ 55.000,00 Nao</t>
  </si>
  <si>
    <t>podrick umber</t>
  </si>
  <si>
    <t>25578 Pyke</t>
  </si>
  <si>
    <t>33417 Jardim de Cima</t>
  </si>
  <si>
    <t>36000 Nao</t>
  </si>
  <si>
    <t>ooo.ooo.078-oo</t>
  </si>
  <si>
    <t>33.306 Ponta Tempestade</t>
  </si>
  <si>
    <t>18/07/1962 Atalaia da Água Cinzenta</t>
  </si>
  <si>
    <t>Atalaia</t>
  </si>
  <si>
    <t>R$ 9.400,00 N/A</t>
  </si>
  <si>
    <t>08/05/1954 Solar do Entardecer</t>
  </si>
  <si>
    <t>71000 Nao</t>
  </si>
  <si>
    <t>32908 Meereen</t>
  </si>
  <si>
    <t>16600 moedas</t>
  </si>
  <si>
    <t>2.3500 Não</t>
  </si>
  <si>
    <t>ooo.ooo.035-oo</t>
  </si>
  <si>
    <t>04/07/1974 Jardim de Cima</t>
  </si>
  <si>
    <t>36757 Monte Chifre</t>
  </si>
  <si>
    <t>0 Sim</t>
  </si>
  <si>
    <t>03/08/1995 Pyke</t>
  </si>
  <si>
    <t>29064 Correrrio</t>
  </si>
  <si>
    <t>1000 Sim</t>
  </si>
  <si>
    <t>Coluna</t>
  </si>
  <si>
    <t xml:space="preserve">Problema encontrado </t>
  </si>
  <si>
    <t xml:space="preserve"> O que foi feito </t>
  </si>
  <si>
    <t xml:space="preserve"> Por quê</t>
  </si>
  <si>
    <t>Todas</t>
  </si>
  <si>
    <t>Não formatado como planilha</t>
  </si>
  <si>
    <t>Formatar como planilha</t>
  </si>
  <si>
    <t>Possibilitar limpeza e filtragem de dados mais eficiente</t>
  </si>
  <si>
    <t>Uppercase aleatório em palavras</t>
  </si>
  <si>
    <t xml:space="preserve">Pri. Maiuscula na coluna </t>
  </si>
  <si>
    <t>Leitura mais limpa</t>
  </si>
  <si>
    <t>Registros incorretos "inativoo"</t>
  </si>
  <si>
    <t>criei validação de dados</t>
  </si>
  <si>
    <t>evita problema de inserção de dados incorretos</t>
  </si>
  <si>
    <t>exclusão de linha com loqueado</t>
  </si>
  <si>
    <t>exclusao deste outlier</t>
  </si>
  <si>
    <t>Não representa dados da maioria</t>
  </si>
  <si>
    <t>Status inexistente</t>
  </si>
  <si>
    <t>definir como null</t>
  </si>
  <si>
    <t>Não é possível inferir</t>
  </si>
  <si>
    <t>nomes</t>
  </si>
  <si>
    <t>Nomes duplicados</t>
  </si>
  <si>
    <t>remoção de duplicatas</t>
  </si>
  <si>
    <t>evita dados inconsistentes</t>
  </si>
  <si>
    <t>datatype incorreto</t>
  </si>
  <si>
    <t>definir como texto</t>
  </si>
  <si>
    <t>evita erros com inserção e manipulação do dado</t>
  </si>
  <si>
    <t>CPF inconsistente</t>
  </si>
  <si>
    <t>formatação através da fórmula TEXTO(cél;"000\.000\.000\-00")</t>
  </si>
  <si>
    <t>conserta leitura dos cpfs</t>
  </si>
  <si>
    <t>CPF inexistente</t>
  </si>
  <si>
    <t>idade formatada incorreto</t>
  </si>
  <si>
    <t>extração de caracteres através de fórmula esquerdo (dado que todos os casos eram só com 2 chars)</t>
  </si>
  <si>
    <t>definir como data abreviada</t>
  </si>
  <si>
    <t>corrige formatação ocasionado pelo typecast</t>
  </si>
  <si>
    <t>data de nascimento inexistente</t>
  </si>
  <si>
    <t>cidades e regioes separadas por pipe</t>
  </si>
  <si>
    <t>dividir texto via formula, delimitador pipe, inserir output da regiao na coluna correta</t>
  </si>
  <si>
    <t>cidade inexistente</t>
  </si>
  <si>
    <t>regiao inexistente</t>
  </si>
  <si>
    <t>renda mensal e credito tomado</t>
  </si>
  <si>
    <t>formatação de contabil, através de definição como número, e preenchimento relampago com inputs apenas numericos</t>
  </si>
  <si>
    <t xml:space="preserve">formatação correta dos numeros </t>
  </si>
  <si>
    <t>valores inexistentes</t>
  </si>
  <si>
    <t>qtde batalha</t>
  </si>
  <si>
    <t>preenchimento relampago para apenas dados numericos</t>
  </si>
  <si>
    <t>dado incorreto</t>
  </si>
  <si>
    <t>tornar null</t>
  </si>
  <si>
    <t>para posterior correção do detentor do dado</t>
  </si>
  <si>
    <t>nivel de risco</t>
  </si>
  <si>
    <t>sem informação de nivel de risco</t>
  </si>
  <si>
    <t>aplicacao regra de negocio pro risco</t>
  </si>
  <si>
    <t>formula</t>
  </si>
  <si>
    <t>formatacao de barra de dados</t>
  </si>
  <si>
    <t xml:space="preserve">visualização </t>
  </si>
  <si>
    <t>cria um limiar para os niveis de risco</t>
  </si>
  <si>
    <t>sem visualização nivel de risco</t>
  </si>
  <si>
    <t>formatação com barra para nível de risco</t>
  </si>
  <si>
    <t>melhor visualização</t>
  </si>
  <si>
    <t>correção na formatação para tipo contábil</t>
  </si>
  <si>
    <t>datatype correto</t>
  </si>
  <si>
    <t>todas</t>
  </si>
  <si>
    <t>s/ centralização</t>
  </si>
  <si>
    <t>centralizar e formatar adequadamente considerando tipo de dado</t>
  </si>
  <si>
    <t>visualização lenta do dado</t>
  </si>
  <si>
    <t>formatação gradiente</t>
  </si>
  <si>
    <t>visualização para um dos dados mais cruciais da planilha</t>
  </si>
  <si>
    <t>inadimplencia,cpf, nome</t>
  </si>
  <si>
    <t>varios dados relevantes faltando pós duplicatas erroneamente removidas</t>
  </si>
  <si>
    <t>desfiz tudo que fiz e reapliquei toda a limpeza de dados através de planilhas agora ocultas</t>
  </si>
  <si>
    <t>update de 320 para aprox. 330 dados</t>
  </si>
  <si>
    <t>acrescentei dados das imagens</t>
  </si>
  <si>
    <t>limpeza e etl completo dos dados de imgs</t>
  </si>
  <si>
    <t>mais 60 linhas de dados</t>
  </si>
  <si>
    <t>liberacao de credito</t>
  </si>
  <si>
    <t>má visualização</t>
  </si>
  <si>
    <t>coloquei formatação que representa reprovação na analise final de liberação de crédito</t>
  </si>
  <si>
    <t>000.000.140-00</t>
  </si>
  <si>
    <t>000.000.294-00</t>
  </si>
  <si>
    <t>000.000.277-00</t>
  </si>
  <si>
    <t>000.000.006-00</t>
  </si>
  <si>
    <t>000.000.307-00</t>
  </si>
  <si>
    <t>000.000.008-00</t>
  </si>
  <si>
    <t>000.000.020-00</t>
  </si>
  <si>
    <t>32 anos</t>
  </si>
  <si>
    <t>000.000.007-00</t>
  </si>
  <si>
    <t>000.000.374-00</t>
  </si>
  <si>
    <t>000.000.339-00</t>
  </si>
  <si>
    <t>000.000.104-00</t>
  </si>
  <si>
    <t>41 anos</t>
  </si>
  <si>
    <t>000.000.004-00</t>
  </si>
  <si>
    <t>000.000.103-00</t>
  </si>
  <si>
    <t>000.000.010-00</t>
  </si>
  <si>
    <t>80000 moedas</t>
  </si>
  <si>
    <t>48500 moedas</t>
  </si>
  <si>
    <t>000.000.079-00</t>
  </si>
  <si>
    <t>29500 moedas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</si>
</sst>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$-409]* #,##0.00_ ;_-[$$-409]* \-#,##0.00\ ;_-[$$-409]* &quot;-&quot;??_ ;_-@_ "/>
    <numFmt numFmtId="166" formatCode="_-[$$-409]* #,##0_ ;_-[$$-409]* \-#,##0\ ;_-[$$-409]* &quot;-&quot;_ ;_-@_ "/>
    <numFmt numFmtId="167" formatCode="0.0"/>
    <numFmt numFmtId="168" formatCode="_-[$$-409]* #,##0_ ;_-[$$-409]* \-#,##0\ ;_-[$$-409]* &quot;-&quot;??_ ;_-@_ "/>
  </numFmts>
  <fonts count="11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rgb="FF242424"/>
      <name val="Arial"/>
    </font>
    <font>
      <b/>
      <sz val="11"/>
      <color theme="0"/>
      <name val="Calibri"/>
      <family val="2"/>
      <scheme val="minor"/>
    </font>
    <font>
      <b/>
      <sz val="11"/>
      <color theme="0"/>
      <name val="Arial"/>
    </font>
    <font>
      <sz val="11"/>
      <color theme="0"/>
      <name val="Arial"/>
    </font>
    <font>
      <i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5" borderId="0" xfId="0" applyFont="1" applyFill="1"/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0" fontId="0" fillId="8" borderId="1" xfId="0" applyFont="1" applyFill="1" applyBorder="1"/>
    <xf numFmtId="0" fontId="0" fillId="0" borderId="1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/>
    <xf numFmtId="2" fontId="3" fillId="9" borderId="1" xfId="0" applyNumberFormat="1" applyFont="1" applyFill="1" applyBorder="1"/>
    <xf numFmtId="2" fontId="0" fillId="0" borderId="1" xfId="0" applyNumberFormat="1" applyFont="1" applyBorder="1"/>
    <xf numFmtId="2" fontId="0" fillId="8" borderId="1" xfId="0" applyNumberFormat="1" applyFont="1" applyFill="1" applyBorder="1"/>
    <xf numFmtId="2" fontId="0" fillId="0" borderId="0" xfId="0" applyNumberFormat="1"/>
    <xf numFmtId="165" fontId="0" fillId="0" borderId="0" xfId="0" applyNumberFormat="1"/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167" fontId="1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left"/>
    </xf>
    <xf numFmtId="0" fontId="8" fillId="0" borderId="0" xfId="0" applyFont="1" applyFill="1" applyAlignment="1">
      <alignment horizontal="center"/>
    </xf>
    <xf numFmtId="49" fontId="0" fillId="10" borderId="2" xfId="0" applyNumberFormat="1" applyFont="1" applyFill="1" applyBorder="1" applyAlignment="1">
      <alignment horizontal="left"/>
    </xf>
    <xf numFmtId="49" fontId="0" fillId="0" borderId="2" xfId="0" applyNumberFormat="1" applyFont="1" applyBorder="1" applyAlignment="1">
      <alignment horizontal="left"/>
    </xf>
    <xf numFmtId="8" fontId="0" fillId="0" borderId="0" xfId="0" applyNumberFormat="1" applyAlignment="1"/>
    <xf numFmtId="166" fontId="0" fillId="0" borderId="0" xfId="0" applyNumberFormat="1" applyAlignment="1">
      <alignment horizontal="center" wrapText="1"/>
    </xf>
    <xf numFmtId="168" fontId="8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/>
    <xf numFmtId="14" fontId="9" fillId="0" borderId="0" xfId="0" applyNumberFormat="1" applyFont="1" applyAlignment="1">
      <alignment horizontal="center"/>
    </xf>
    <xf numFmtId="44" fontId="0" fillId="0" borderId="0" xfId="0" applyNumberFormat="1" applyAlignment="1"/>
    <xf numFmtId="165" fontId="0" fillId="0" borderId="0" xfId="0" applyNumberFormat="1" applyAlignment="1"/>
    <xf numFmtId="0" fontId="9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vertical="center"/>
    </xf>
    <xf numFmtId="44" fontId="0" fillId="0" borderId="0" xfId="0" applyNumberFormat="1"/>
    <xf numFmtId="44" fontId="9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Font="1"/>
    <xf numFmtId="165" fontId="0" fillId="0" borderId="0" xfId="0" applyNumberFormat="1" applyAlignment="1">
      <alignment horizontal="center"/>
    </xf>
    <xf numFmtId="165" fontId="9" fillId="0" borderId="0" xfId="0" applyNumberFormat="1" applyFont="1"/>
    <xf numFmtId="165" fontId="0" fillId="0" borderId="0" xfId="0" applyNumberFormat="1" applyAlignment="1">
      <alignment horizontal="right"/>
    </xf>
    <xf numFmtId="165" fontId="9" fillId="0" borderId="0" xfId="0" applyNumberFormat="1" applyFont="1" applyAlignment="1"/>
    <xf numFmtId="0" fontId="0" fillId="8" borderId="1" xfId="0" applyFont="1" applyFill="1" applyBorder="1" applyAlignment="1">
      <alignment horizontal="center"/>
    </xf>
    <xf numFmtId="14" fontId="0" fillId="8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/>
    <xf numFmtId="165" fontId="0" fillId="8" borderId="1" xfId="0" applyNumberFormat="1" applyFont="1" applyFill="1" applyBorder="1"/>
    <xf numFmtId="0" fontId="0" fillId="8" borderId="1" xfId="0" applyFont="1" applyFill="1" applyBorder="1" applyAlignment="1">
      <alignment horizontal="center" vertical="center"/>
    </xf>
    <xf numFmtId="165" fontId="0" fillId="8" borderId="3" xfId="0" applyNumberFormat="1" applyFont="1" applyFill="1" applyBorder="1" applyAlignment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/>
    <xf numFmtId="165" fontId="0" fillId="0" borderId="1" xfId="0" applyNumberFormat="1" applyFont="1" applyBorder="1"/>
    <xf numFmtId="165" fontId="0" fillId="0" borderId="1" xfId="0" applyNumberFormat="1" applyFont="1" applyBorder="1" applyAlignment="1"/>
    <xf numFmtId="0" fontId="0" fillId="0" borderId="1" xfId="0" applyFont="1" applyBorder="1" applyAlignment="1">
      <alignment horizontal="center" vertical="center"/>
    </xf>
    <xf numFmtId="0" fontId="9" fillId="0" borderId="1" xfId="0" applyFont="1" applyBorder="1"/>
    <xf numFmtId="165" fontId="0" fillId="0" borderId="3" xfId="0" applyNumberFormat="1" applyFont="1" applyBorder="1" applyAlignment="1"/>
    <xf numFmtId="165" fontId="0" fillId="8" borderId="1" xfId="0" applyNumberFormat="1" applyFont="1" applyFill="1" applyBorder="1" applyAlignment="1"/>
    <xf numFmtId="16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6" fontId="8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168" fontId="0" fillId="0" borderId="0" xfId="0" applyNumberFormat="1" applyAlignment="1">
      <alignment horizontal="left"/>
    </xf>
    <xf numFmtId="14" fontId="10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Alignment="1"/>
    <xf numFmtId="0" fontId="5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71">
    <dxf>
      <numFmt numFmtId="12" formatCode="&quot;R$&quot;\ #,##0.00;[Red]\-&quot;R$&quot;\ #,##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165" formatCode="_-[$$-409]* #,##0.00_ ;_-[$$-409]* \-#,##0.00\ ;_-[$$-409]* &quot;-&quot;??_ ;_-@_ "/>
    </dxf>
    <dxf>
      <alignment horizontal="center"/>
    </dxf>
    <dxf>
      <numFmt numFmtId="165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168" formatCode="_-[$$-409]* #,##0_ ;_-[$$-409]* \-#,##0\ ;_-[$$-409]* &quot;-&quot;??_ ;_-@_ "/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166" formatCode="_-[$$-409]* #,##0_ ;_-[$$-409]* \-#,##0\ ;_-[$$-409]* &quot;-&quot;_ ;_-@_ "/>
      <alignment horizontal="left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font>
        <b val="0"/>
      </font>
      <fill>
        <patternFill patternType="none"/>
      </fill>
      <alignment horizontal="center"/>
    </dxf>
    <dxf>
      <numFmt numFmtId="166" formatCode="_-[$$-409]* #,##0_ ;_-[$$-409]* \-#,##0\ ;_-[$$-409]* &quot;-&quot;_ ;_-@_ "/>
      <alignment horizontal="center" vertical="bottom" textRotation="0" wrapText="0" indent="0" justifyLastLine="0" shrinkToFit="0" readingOrder="0"/>
    </dxf>
    <dxf>
      <alignment horizontal="center"/>
    </dxf>
    <dxf>
      <numFmt numFmtId="166" formatCode="_-[$$-409]* #,##0_ ;_-[$$-409]* \-#,##0\ ;_-[$$-409]* &quot;-&quot;_ ;_-@_ "/>
      <alignment horizontal="right"/>
    </dxf>
    <dxf>
      <numFmt numFmtId="166" formatCode="_-[$$-409]* #,##0_ ;_-[$$-409]* \-#,##0\ ;_-[$$-409]* &quot;-&quot;_ ;_-@_ "/>
      <alignment horizontal="left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/>
    </dxf>
    <dxf>
      <alignment horizontal="left"/>
    </dxf>
    <dxf>
      <numFmt numFmtId="19" formatCode="dd/mm/yyyy"/>
      <alignment horizontal="center"/>
    </dxf>
    <dxf>
      <alignment horizontal="center" vertical="center"/>
    </dxf>
    <dxf>
      <numFmt numFmtId="30" formatCode="@"/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font>
        <b val="0"/>
        <color rgb="FF000000"/>
      </font>
      <alignment horizontal="center"/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numFmt numFmtId="168" formatCode="_-[$$-409]* #,##0_ ;_-[$$-409]* \-#,##0\ ;_-[$$-409]* &quot;-&quot;??_ ;_-@_ "/>
      <alignment horizontal="left" vertical="bottom" textRotation="0" wrapText="0" indent="0" justifyLastLine="0" shrinkToFit="0" readingOrder="0"/>
    </dxf>
    <dxf>
      <numFmt numFmtId="166" formatCode="_-[$$-409]* #,##0_ ;_-[$$-409]* \-#,##0\ ;_-[$$-409]* &quot;-&quot;_ ;_-@_ 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166" formatCode="_-[$$-409]* #,##0_ ;_-[$$-409]* \-#,##0\ ;_-[$$-409]* &quot;-&quot;_ ;_-@_ "/>
      <alignment horizontal="left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font>
        <b val="0"/>
      </font>
      <fill>
        <patternFill patternType="none"/>
      </fill>
      <alignment horizontal="center"/>
    </dxf>
    <dxf>
      <numFmt numFmtId="166" formatCode="_-[$$-409]* #,##0_ ;_-[$$-409]* \-#,##0\ ;_-[$$-409]* &quot;-&quot;_ ;_-@_ "/>
      <alignment horizontal="center" vertical="bottom" textRotation="0" wrapText="0" indent="0" justifyLastLine="0" shrinkToFit="0" readingOrder="0"/>
    </dxf>
    <dxf>
      <alignment horizontal="center"/>
    </dxf>
    <dxf>
      <numFmt numFmtId="166" formatCode="_-[$$-409]* #,##0_ ;_-[$$-409]* \-#,##0\ ;_-[$$-409]* &quot;-&quot;_ ;_-@_ "/>
      <alignment horizontal="right"/>
    </dxf>
    <dxf>
      <numFmt numFmtId="166" formatCode="_-[$$-409]* #,##0_ ;_-[$$-409]* \-#,##0\ ;_-[$$-409]* &quot;-&quot;_ ;_-@_ "/>
      <alignment horizontal="left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/>
    </dxf>
    <dxf>
      <alignment horizontal="left"/>
    </dxf>
    <dxf>
      <numFmt numFmtId="19" formatCode="dd/mm/yyyy"/>
      <alignment horizontal="center"/>
    </dxf>
    <dxf>
      <alignment horizontal="center" vertical="center"/>
    </dxf>
    <dxf>
      <numFmt numFmtId="30" formatCode="@"/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font>
        <b val="0"/>
        <color rgb="FF000000"/>
      </font>
      <alignment horizontal="center"/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numFmt numFmtId="12" formatCode="&quot;R$&quot;\ #,##0.00;[Red]\-&quot;R$&quot;\ 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rgb="FF9C0006"/>
      </font>
    </dxf>
    <dxf>
      <font>
        <color theme="9"/>
      </font>
    </dxf>
    <dxf>
      <font>
        <name val="Arial"/>
      </font>
      <numFmt numFmtId="0" formatCode="General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color theme="9" tint="-0.249977111117893"/>
      </font>
    </dxf>
    <dxf>
      <font>
        <color rgb="FF9C0006"/>
      </font>
    </dxf>
    <dxf>
      <font>
        <color rgb="FF9C0006"/>
      </font>
    </dxf>
    <dxf>
      <font>
        <color theme="9" tint="-0.249977111117893"/>
      </font>
    </dxf>
    <dxf>
      <font>
        <name val="Arial"/>
      </font>
      <numFmt numFmtId="0" formatCode="General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numFmt numFmtId="164" formatCode="_-[$R$-416]\ * #,##0.00_-;\-[$R$-416]\ * #,##0.00_-;_-[$R$-416]\ * &quot;-&quot;??_-;_-@_-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Relação Renda x Liberação de Crédito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Base_Limpa!U2:U392</c:f>
              <c:numCache>
                <c:formatCode>_-[$$-409]* #,##0_ ;_-[$$-409]* \-#,##0\ ;_-[$$-409]* "-"??_ ;_-@_ </c:formatCode>
                <c:ptCount val="391"/>
                <c:pt idx="0">
                  <c:v>0</c:v>
                </c:pt>
                <c:pt idx="1">
                  <c:v>0</c:v>
                </c:pt>
                <c:pt idx="2">
                  <c:v>42120</c:v>
                </c:pt>
                <c:pt idx="3">
                  <c:v>0</c:v>
                </c:pt>
                <c:pt idx="4">
                  <c:v>61560.000000000007</c:v>
                </c:pt>
                <c:pt idx="5">
                  <c:v>20520</c:v>
                </c:pt>
                <c:pt idx="6">
                  <c:v>42120</c:v>
                </c:pt>
                <c:pt idx="7">
                  <c:v>61560.000000000007</c:v>
                </c:pt>
                <c:pt idx="8">
                  <c:v>61560.000000000007</c:v>
                </c:pt>
                <c:pt idx="9">
                  <c:v>0</c:v>
                </c:pt>
                <c:pt idx="10">
                  <c:v>57240.000000000007</c:v>
                </c:pt>
                <c:pt idx="11">
                  <c:v>45360</c:v>
                </c:pt>
                <c:pt idx="12">
                  <c:v>0</c:v>
                </c:pt>
                <c:pt idx="13">
                  <c:v>0</c:v>
                </c:pt>
                <c:pt idx="14">
                  <c:v>106920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19980</c:v>
                </c:pt>
                <c:pt idx="22">
                  <c:v>34560</c:v>
                </c:pt>
                <c:pt idx="23">
                  <c:v>19980</c:v>
                </c:pt>
                <c:pt idx="24">
                  <c:v>19980</c:v>
                </c:pt>
                <c:pt idx="25">
                  <c:v>78300</c:v>
                </c:pt>
                <c:pt idx="26">
                  <c:v>0</c:v>
                </c:pt>
                <c:pt idx="27">
                  <c:v>96660</c:v>
                </c:pt>
                <c:pt idx="28">
                  <c:v>0</c:v>
                </c:pt>
                <c:pt idx="29">
                  <c:v>56160.000000000007</c:v>
                </c:pt>
                <c:pt idx="30">
                  <c:v>0</c:v>
                </c:pt>
                <c:pt idx="31">
                  <c:v>0</c:v>
                </c:pt>
                <c:pt idx="32">
                  <c:v>68580</c:v>
                </c:pt>
                <c:pt idx="33">
                  <c:v>49140</c:v>
                </c:pt>
                <c:pt idx="34">
                  <c:v>0</c:v>
                </c:pt>
                <c:pt idx="35">
                  <c:v>0</c:v>
                </c:pt>
                <c:pt idx="36">
                  <c:v>37260</c:v>
                </c:pt>
                <c:pt idx="37">
                  <c:v>26460</c:v>
                </c:pt>
                <c:pt idx="38">
                  <c:v>102600</c:v>
                </c:pt>
                <c:pt idx="39">
                  <c:v>35640</c:v>
                </c:pt>
                <c:pt idx="40">
                  <c:v>104760</c:v>
                </c:pt>
                <c:pt idx="41">
                  <c:v>98820</c:v>
                </c:pt>
                <c:pt idx="42">
                  <c:v>39420</c:v>
                </c:pt>
                <c:pt idx="43">
                  <c:v>31860.000000000004</c:v>
                </c:pt>
                <c:pt idx="44">
                  <c:v>50760</c:v>
                </c:pt>
                <c:pt idx="45">
                  <c:v>84240</c:v>
                </c:pt>
                <c:pt idx="46">
                  <c:v>0</c:v>
                </c:pt>
                <c:pt idx="47">
                  <c:v>27540</c:v>
                </c:pt>
                <c:pt idx="48">
                  <c:v>19440</c:v>
                </c:pt>
                <c:pt idx="49">
                  <c:v>46980</c:v>
                </c:pt>
                <c:pt idx="50">
                  <c:v>4860</c:v>
                </c:pt>
                <c:pt idx="51">
                  <c:v>42660</c:v>
                </c:pt>
                <c:pt idx="52">
                  <c:v>74520</c:v>
                </c:pt>
                <c:pt idx="53">
                  <c:v>0</c:v>
                </c:pt>
                <c:pt idx="54">
                  <c:v>7020.0000000000009</c:v>
                </c:pt>
                <c:pt idx="55">
                  <c:v>7560.0000000000009</c:v>
                </c:pt>
                <c:pt idx="56">
                  <c:v>53460</c:v>
                </c:pt>
                <c:pt idx="57">
                  <c:v>19440</c:v>
                </c:pt>
                <c:pt idx="58">
                  <c:v>0</c:v>
                </c:pt>
                <c:pt idx="59">
                  <c:v>23760</c:v>
                </c:pt>
                <c:pt idx="60">
                  <c:v>0</c:v>
                </c:pt>
                <c:pt idx="61">
                  <c:v>0</c:v>
                </c:pt>
                <c:pt idx="62">
                  <c:v>4860</c:v>
                </c:pt>
                <c:pt idx="63">
                  <c:v>5400</c:v>
                </c:pt>
                <c:pt idx="64">
                  <c:v>77760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58860.000000000007</c:v>
                </c:pt>
                <c:pt idx="69">
                  <c:v>20520</c:v>
                </c:pt>
                <c:pt idx="70">
                  <c:v>93960</c:v>
                </c:pt>
                <c:pt idx="71">
                  <c:v>3240</c:v>
                </c:pt>
                <c:pt idx="72">
                  <c:v>60480.000000000007</c:v>
                </c:pt>
                <c:pt idx="73">
                  <c:v>57240.000000000007</c:v>
                </c:pt>
                <c:pt idx="74">
                  <c:v>90180</c:v>
                </c:pt>
                <c:pt idx="75">
                  <c:v>0</c:v>
                </c:pt>
                <c:pt idx="76">
                  <c:v>0</c:v>
                </c:pt>
                <c:pt idx="77">
                  <c:v>65340.000000000007</c:v>
                </c:pt>
                <c:pt idx="78">
                  <c:v>33480</c:v>
                </c:pt>
                <c:pt idx="79">
                  <c:v>66960</c:v>
                </c:pt>
                <c:pt idx="80">
                  <c:v>0</c:v>
                </c:pt>
                <c:pt idx="81">
                  <c:v>19980</c:v>
                </c:pt>
                <c:pt idx="82">
                  <c:v>7020.0000000000009</c:v>
                </c:pt>
                <c:pt idx="83">
                  <c:v>104220</c:v>
                </c:pt>
                <c:pt idx="84">
                  <c:v>95040</c:v>
                </c:pt>
                <c:pt idx="85">
                  <c:v>80460</c:v>
                </c:pt>
                <c:pt idx="86">
                  <c:v>58320.000000000007</c:v>
                </c:pt>
                <c:pt idx="87">
                  <c:v>51840</c:v>
                </c:pt>
                <c:pt idx="88">
                  <c:v>0</c:v>
                </c:pt>
                <c:pt idx="89">
                  <c:v>0</c:v>
                </c:pt>
                <c:pt idx="90">
                  <c:v>17820</c:v>
                </c:pt>
                <c:pt idx="91">
                  <c:v>79380</c:v>
                </c:pt>
                <c:pt idx="92">
                  <c:v>51840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41040</c:v>
                </c:pt>
                <c:pt idx="97">
                  <c:v>22140</c:v>
                </c:pt>
                <c:pt idx="98">
                  <c:v>83160</c:v>
                </c:pt>
                <c:pt idx="99">
                  <c:v>83160</c:v>
                </c:pt>
                <c:pt idx="100">
                  <c:v>83160</c:v>
                </c:pt>
                <c:pt idx="101">
                  <c:v>98820</c:v>
                </c:pt>
                <c:pt idx="102">
                  <c:v>0</c:v>
                </c:pt>
                <c:pt idx="103">
                  <c:v>73980</c:v>
                </c:pt>
                <c:pt idx="104">
                  <c:v>10800</c:v>
                </c:pt>
                <c:pt idx="105">
                  <c:v>18360</c:v>
                </c:pt>
                <c:pt idx="106">
                  <c:v>0</c:v>
                </c:pt>
                <c:pt idx="107">
                  <c:v>77760</c:v>
                </c:pt>
                <c:pt idx="108">
                  <c:v>0</c:v>
                </c:pt>
                <c:pt idx="109">
                  <c:v>0</c:v>
                </c:pt>
                <c:pt idx="110">
                  <c:v>19440</c:v>
                </c:pt>
                <c:pt idx="111">
                  <c:v>79380</c:v>
                </c:pt>
                <c:pt idx="112">
                  <c:v>106920</c:v>
                </c:pt>
                <c:pt idx="113">
                  <c:v>91800</c:v>
                </c:pt>
                <c:pt idx="114">
                  <c:v>56700.000000000007</c:v>
                </c:pt>
                <c:pt idx="115">
                  <c:v>0</c:v>
                </c:pt>
                <c:pt idx="116">
                  <c:v>104760</c:v>
                </c:pt>
                <c:pt idx="117">
                  <c:v>100980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31860.000000000004</c:v>
                </c:pt>
                <c:pt idx="123">
                  <c:v>31860.000000000004</c:v>
                </c:pt>
                <c:pt idx="124">
                  <c:v>97740</c:v>
                </c:pt>
                <c:pt idx="125">
                  <c:v>78300</c:v>
                </c:pt>
                <c:pt idx="126">
                  <c:v>28080.000000000004</c:v>
                </c:pt>
                <c:pt idx="127">
                  <c:v>44820</c:v>
                </c:pt>
                <c:pt idx="128">
                  <c:v>27000</c:v>
                </c:pt>
                <c:pt idx="129">
                  <c:v>50220</c:v>
                </c:pt>
                <c:pt idx="130">
                  <c:v>24840</c:v>
                </c:pt>
                <c:pt idx="131">
                  <c:v>16740</c:v>
                </c:pt>
                <c:pt idx="132">
                  <c:v>37260</c:v>
                </c:pt>
                <c:pt idx="133">
                  <c:v>50220</c:v>
                </c:pt>
                <c:pt idx="134">
                  <c:v>0</c:v>
                </c:pt>
                <c:pt idx="135">
                  <c:v>86940</c:v>
                </c:pt>
                <c:pt idx="136">
                  <c:v>0</c:v>
                </c:pt>
                <c:pt idx="137">
                  <c:v>101520</c:v>
                </c:pt>
                <c:pt idx="138">
                  <c:v>67500</c:v>
                </c:pt>
                <c:pt idx="139">
                  <c:v>37800</c:v>
                </c:pt>
                <c:pt idx="140">
                  <c:v>0</c:v>
                </c:pt>
                <c:pt idx="141">
                  <c:v>19980</c:v>
                </c:pt>
                <c:pt idx="142">
                  <c:v>0</c:v>
                </c:pt>
                <c:pt idx="143">
                  <c:v>29700.000000000004</c:v>
                </c:pt>
                <c:pt idx="144">
                  <c:v>18900</c:v>
                </c:pt>
                <c:pt idx="145">
                  <c:v>0</c:v>
                </c:pt>
                <c:pt idx="146">
                  <c:v>0</c:v>
                </c:pt>
                <c:pt idx="147">
                  <c:v>25380</c:v>
                </c:pt>
                <c:pt idx="148">
                  <c:v>25380</c:v>
                </c:pt>
                <c:pt idx="149">
                  <c:v>25380</c:v>
                </c:pt>
                <c:pt idx="150">
                  <c:v>0</c:v>
                </c:pt>
                <c:pt idx="151">
                  <c:v>3240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72900</c:v>
                </c:pt>
                <c:pt idx="157">
                  <c:v>71280</c:v>
                </c:pt>
                <c:pt idx="158">
                  <c:v>92880</c:v>
                </c:pt>
                <c:pt idx="159">
                  <c:v>13500</c:v>
                </c:pt>
                <c:pt idx="160">
                  <c:v>8640</c:v>
                </c:pt>
                <c:pt idx="161">
                  <c:v>7560.0000000000009</c:v>
                </c:pt>
                <c:pt idx="162">
                  <c:v>0</c:v>
                </c:pt>
                <c:pt idx="163">
                  <c:v>0</c:v>
                </c:pt>
                <c:pt idx="164">
                  <c:v>70200</c:v>
                </c:pt>
                <c:pt idx="165">
                  <c:v>72360</c:v>
                </c:pt>
                <c:pt idx="166">
                  <c:v>80460</c:v>
                </c:pt>
                <c:pt idx="167">
                  <c:v>27000</c:v>
                </c:pt>
                <c:pt idx="168">
                  <c:v>35100</c:v>
                </c:pt>
                <c:pt idx="169">
                  <c:v>35640</c:v>
                </c:pt>
                <c:pt idx="170">
                  <c:v>26460</c:v>
                </c:pt>
                <c:pt idx="171">
                  <c:v>2700</c:v>
                </c:pt>
                <c:pt idx="172">
                  <c:v>57240.000000000007</c:v>
                </c:pt>
                <c:pt idx="173">
                  <c:v>0</c:v>
                </c:pt>
                <c:pt idx="174">
                  <c:v>0</c:v>
                </c:pt>
                <c:pt idx="175">
                  <c:v>24300</c:v>
                </c:pt>
                <c:pt idx="176">
                  <c:v>45360</c:v>
                </c:pt>
                <c:pt idx="177">
                  <c:v>34560</c:v>
                </c:pt>
                <c:pt idx="178">
                  <c:v>95580</c:v>
                </c:pt>
                <c:pt idx="179">
                  <c:v>11880</c:v>
                </c:pt>
                <c:pt idx="180">
                  <c:v>55080</c:v>
                </c:pt>
                <c:pt idx="181">
                  <c:v>90180</c:v>
                </c:pt>
                <c:pt idx="182">
                  <c:v>0</c:v>
                </c:pt>
                <c:pt idx="183">
                  <c:v>93960</c:v>
                </c:pt>
                <c:pt idx="184">
                  <c:v>0</c:v>
                </c:pt>
                <c:pt idx="185">
                  <c:v>105300</c:v>
                </c:pt>
                <c:pt idx="186">
                  <c:v>0</c:v>
                </c:pt>
                <c:pt idx="187">
                  <c:v>3240</c:v>
                </c:pt>
                <c:pt idx="188">
                  <c:v>0</c:v>
                </c:pt>
                <c:pt idx="189">
                  <c:v>64800.000000000007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9720</c:v>
                </c:pt>
                <c:pt idx="195">
                  <c:v>11340</c:v>
                </c:pt>
                <c:pt idx="196">
                  <c:v>64260.000000000007</c:v>
                </c:pt>
                <c:pt idx="197">
                  <c:v>0</c:v>
                </c:pt>
                <c:pt idx="198">
                  <c:v>0</c:v>
                </c:pt>
                <c:pt idx="199">
                  <c:v>8640</c:v>
                </c:pt>
                <c:pt idx="200">
                  <c:v>0</c:v>
                </c:pt>
                <c:pt idx="202">
                  <c:v>0</c:v>
                </c:pt>
                <c:pt idx="203">
                  <c:v>63720.000000000007</c:v>
                </c:pt>
                <c:pt idx="204">
                  <c:v>49140</c:v>
                </c:pt>
                <c:pt idx="205">
                  <c:v>0</c:v>
                </c:pt>
                <c:pt idx="206">
                  <c:v>51840</c:v>
                </c:pt>
                <c:pt idx="207">
                  <c:v>5400</c:v>
                </c:pt>
                <c:pt idx="208">
                  <c:v>0</c:v>
                </c:pt>
                <c:pt idx="209">
                  <c:v>62100.000000000007</c:v>
                </c:pt>
                <c:pt idx="210">
                  <c:v>56700.000000000007</c:v>
                </c:pt>
                <c:pt idx="211">
                  <c:v>79920</c:v>
                </c:pt>
                <c:pt idx="212">
                  <c:v>78300</c:v>
                </c:pt>
                <c:pt idx="213">
                  <c:v>30780.000000000004</c:v>
                </c:pt>
                <c:pt idx="214">
                  <c:v>2160</c:v>
                </c:pt>
                <c:pt idx="215">
                  <c:v>87480</c:v>
                </c:pt>
                <c:pt idx="216">
                  <c:v>0</c:v>
                </c:pt>
                <c:pt idx="217">
                  <c:v>69120</c:v>
                </c:pt>
                <c:pt idx="218">
                  <c:v>71280</c:v>
                </c:pt>
                <c:pt idx="219">
                  <c:v>0</c:v>
                </c:pt>
                <c:pt idx="220">
                  <c:v>0</c:v>
                </c:pt>
                <c:pt idx="221">
                  <c:v>18900</c:v>
                </c:pt>
                <c:pt idx="222">
                  <c:v>59940.000000000007</c:v>
                </c:pt>
                <c:pt idx="223">
                  <c:v>0</c:v>
                </c:pt>
                <c:pt idx="224">
                  <c:v>61560.000000000007</c:v>
                </c:pt>
                <c:pt idx="225">
                  <c:v>0</c:v>
                </c:pt>
                <c:pt idx="226">
                  <c:v>23220</c:v>
                </c:pt>
                <c:pt idx="227">
                  <c:v>40500</c:v>
                </c:pt>
                <c:pt idx="228">
                  <c:v>106920</c:v>
                </c:pt>
                <c:pt idx="229">
                  <c:v>87480</c:v>
                </c:pt>
                <c:pt idx="230">
                  <c:v>97200</c:v>
                </c:pt>
                <c:pt idx="231">
                  <c:v>30780.000000000004</c:v>
                </c:pt>
                <c:pt idx="232">
                  <c:v>30780.000000000004</c:v>
                </c:pt>
                <c:pt idx="233">
                  <c:v>30780.000000000004</c:v>
                </c:pt>
                <c:pt idx="234">
                  <c:v>3780.0000000000005</c:v>
                </c:pt>
                <c:pt idx="235">
                  <c:v>86400</c:v>
                </c:pt>
                <c:pt idx="236">
                  <c:v>8100.0000000000009</c:v>
                </c:pt>
                <c:pt idx="237">
                  <c:v>47520</c:v>
                </c:pt>
                <c:pt idx="238">
                  <c:v>104220</c:v>
                </c:pt>
                <c:pt idx="239">
                  <c:v>55080</c:v>
                </c:pt>
                <c:pt idx="240">
                  <c:v>96660</c:v>
                </c:pt>
                <c:pt idx="241">
                  <c:v>18360</c:v>
                </c:pt>
                <c:pt idx="242">
                  <c:v>35100</c:v>
                </c:pt>
                <c:pt idx="243">
                  <c:v>17820</c:v>
                </c:pt>
                <c:pt idx="244">
                  <c:v>70200</c:v>
                </c:pt>
                <c:pt idx="245">
                  <c:v>28080.000000000004</c:v>
                </c:pt>
                <c:pt idx="246">
                  <c:v>62640.000000000007</c:v>
                </c:pt>
                <c:pt idx="247">
                  <c:v>62640.000000000007</c:v>
                </c:pt>
                <c:pt idx="248">
                  <c:v>70200</c:v>
                </c:pt>
                <c:pt idx="249">
                  <c:v>70200</c:v>
                </c:pt>
                <c:pt idx="250">
                  <c:v>5940</c:v>
                </c:pt>
                <c:pt idx="251">
                  <c:v>4860</c:v>
                </c:pt>
                <c:pt idx="252">
                  <c:v>31860.000000000004</c:v>
                </c:pt>
                <c:pt idx="253">
                  <c:v>37260</c:v>
                </c:pt>
                <c:pt idx="254">
                  <c:v>61560.000000000007</c:v>
                </c:pt>
                <c:pt idx="255">
                  <c:v>16740</c:v>
                </c:pt>
                <c:pt idx="256">
                  <c:v>70740</c:v>
                </c:pt>
                <c:pt idx="257">
                  <c:v>0</c:v>
                </c:pt>
                <c:pt idx="258">
                  <c:v>63720.000000000007</c:v>
                </c:pt>
                <c:pt idx="259">
                  <c:v>56160.000000000007</c:v>
                </c:pt>
                <c:pt idx="260">
                  <c:v>26460</c:v>
                </c:pt>
                <c:pt idx="261">
                  <c:v>0</c:v>
                </c:pt>
                <c:pt idx="262">
                  <c:v>96660</c:v>
                </c:pt>
                <c:pt idx="263">
                  <c:v>74520</c:v>
                </c:pt>
                <c:pt idx="264">
                  <c:v>88020</c:v>
                </c:pt>
                <c:pt idx="265">
                  <c:v>0</c:v>
                </c:pt>
                <c:pt idx="266">
                  <c:v>0</c:v>
                </c:pt>
                <c:pt idx="267">
                  <c:v>18900</c:v>
                </c:pt>
                <c:pt idx="268">
                  <c:v>0</c:v>
                </c:pt>
                <c:pt idx="269">
                  <c:v>0</c:v>
                </c:pt>
                <c:pt idx="270">
                  <c:v>12420</c:v>
                </c:pt>
                <c:pt idx="271">
                  <c:v>15660.000000000002</c:v>
                </c:pt>
                <c:pt idx="272">
                  <c:v>0</c:v>
                </c:pt>
                <c:pt idx="273">
                  <c:v>107460</c:v>
                </c:pt>
                <c:pt idx="274">
                  <c:v>72900</c:v>
                </c:pt>
                <c:pt idx="275">
                  <c:v>52920</c:v>
                </c:pt>
                <c:pt idx="276">
                  <c:v>0</c:v>
                </c:pt>
                <c:pt idx="277">
                  <c:v>72900</c:v>
                </c:pt>
                <c:pt idx="278">
                  <c:v>19440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57240.000000000007</c:v>
                </c:pt>
                <c:pt idx="283">
                  <c:v>86400</c:v>
                </c:pt>
                <c:pt idx="284">
                  <c:v>25380</c:v>
                </c:pt>
                <c:pt idx="285">
                  <c:v>39420</c:v>
                </c:pt>
                <c:pt idx="286">
                  <c:v>29160.000000000004</c:v>
                </c:pt>
                <c:pt idx="287">
                  <c:v>38880</c:v>
                </c:pt>
                <c:pt idx="288">
                  <c:v>78840</c:v>
                </c:pt>
                <c:pt idx="289">
                  <c:v>102600</c:v>
                </c:pt>
                <c:pt idx="290">
                  <c:v>78840</c:v>
                </c:pt>
                <c:pt idx="291">
                  <c:v>78840</c:v>
                </c:pt>
                <c:pt idx="292">
                  <c:v>106380</c:v>
                </c:pt>
                <c:pt idx="293">
                  <c:v>0</c:v>
                </c:pt>
                <c:pt idx="294">
                  <c:v>0</c:v>
                </c:pt>
                <c:pt idx="295">
                  <c:v>4860</c:v>
                </c:pt>
                <c:pt idx="296">
                  <c:v>22680</c:v>
                </c:pt>
                <c:pt idx="297">
                  <c:v>76680</c:v>
                </c:pt>
                <c:pt idx="298">
                  <c:v>0</c:v>
                </c:pt>
                <c:pt idx="299">
                  <c:v>60480.000000000007</c:v>
                </c:pt>
                <c:pt idx="300">
                  <c:v>68580</c:v>
                </c:pt>
                <c:pt idx="301">
                  <c:v>0</c:v>
                </c:pt>
                <c:pt idx="302">
                  <c:v>0</c:v>
                </c:pt>
                <c:pt idx="303">
                  <c:v>46980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9180</c:v>
                </c:pt>
                <c:pt idx="308">
                  <c:v>37800</c:v>
                </c:pt>
                <c:pt idx="309">
                  <c:v>25380</c:v>
                </c:pt>
                <c:pt idx="310">
                  <c:v>66960</c:v>
                </c:pt>
                <c:pt idx="311">
                  <c:v>35100</c:v>
                </c:pt>
                <c:pt idx="312">
                  <c:v>28080.000000000004</c:v>
                </c:pt>
                <c:pt idx="313">
                  <c:v>78300</c:v>
                </c:pt>
                <c:pt idx="314">
                  <c:v>4320</c:v>
                </c:pt>
                <c:pt idx="315">
                  <c:v>57240.000000000007</c:v>
                </c:pt>
                <c:pt idx="316">
                  <c:v>15120.000000000002</c:v>
                </c:pt>
                <c:pt idx="317">
                  <c:v>38880</c:v>
                </c:pt>
                <c:pt idx="318">
                  <c:v>17820</c:v>
                </c:pt>
                <c:pt idx="319">
                  <c:v>0</c:v>
                </c:pt>
                <c:pt idx="320">
                  <c:v>54540</c:v>
                </c:pt>
                <c:pt idx="321">
                  <c:v>0</c:v>
                </c:pt>
                <c:pt idx="322">
                  <c:v>51300</c:v>
                </c:pt>
                <c:pt idx="323">
                  <c:v>17280</c:v>
                </c:pt>
                <c:pt idx="324">
                  <c:v>54000</c:v>
                </c:pt>
                <c:pt idx="325">
                  <c:v>55620.000000000007</c:v>
                </c:pt>
                <c:pt idx="326">
                  <c:v>85320</c:v>
                </c:pt>
                <c:pt idx="327">
                  <c:v>61020.000000000007</c:v>
                </c:pt>
                <c:pt idx="328">
                  <c:v>0</c:v>
                </c:pt>
                <c:pt idx="329">
                  <c:v>0</c:v>
                </c:pt>
                <c:pt idx="330">
                  <c:v>58860.000000000007</c:v>
                </c:pt>
                <c:pt idx="331">
                  <c:v>53460</c:v>
                </c:pt>
                <c:pt idx="332">
                  <c:v>11880</c:v>
                </c:pt>
                <c:pt idx="333">
                  <c:v>0</c:v>
                </c:pt>
                <c:pt idx="334">
                  <c:v>52380</c:v>
                </c:pt>
                <c:pt idx="335">
                  <c:v>75060</c:v>
                </c:pt>
                <c:pt idx="336">
                  <c:v>99900</c:v>
                </c:pt>
                <c:pt idx="337">
                  <c:v>73440</c:v>
                </c:pt>
                <c:pt idx="338">
                  <c:v>0</c:v>
                </c:pt>
                <c:pt idx="339">
                  <c:v>41580</c:v>
                </c:pt>
                <c:pt idx="340">
                  <c:v>0</c:v>
                </c:pt>
                <c:pt idx="341">
                  <c:v>17280</c:v>
                </c:pt>
                <c:pt idx="342">
                  <c:v>0</c:v>
                </c:pt>
                <c:pt idx="343">
                  <c:v>0</c:v>
                </c:pt>
                <c:pt idx="344">
                  <c:v>2700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54540</c:v>
                </c:pt>
                <c:pt idx="350">
                  <c:v>56700.000000000007</c:v>
                </c:pt>
                <c:pt idx="351">
                  <c:v>96120</c:v>
                </c:pt>
                <c:pt idx="352">
                  <c:v>0</c:v>
                </c:pt>
                <c:pt idx="353">
                  <c:v>75600</c:v>
                </c:pt>
                <c:pt idx="354">
                  <c:v>88560</c:v>
                </c:pt>
                <c:pt idx="355">
                  <c:v>87480</c:v>
                </c:pt>
                <c:pt idx="356">
                  <c:v>0</c:v>
                </c:pt>
                <c:pt idx="357">
                  <c:v>93960</c:v>
                </c:pt>
                <c:pt idx="358">
                  <c:v>66420</c:v>
                </c:pt>
                <c:pt idx="359">
                  <c:v>0</c:v>
                </c:pt>
                <c:pt idx="360">
                  <c:v>45360</c:v>
                </c:pt>
                <c:pt idx="361">
                  <c:v>96660</c:v>
                </c:pt>
                <c:pt idx="362">
                  <c:v>107460</c:v>
                </c:pt>
                <c:pt idx="363">
                  <c:v>0</c:v>
                </c:pt>
                <c:pt idx="364">
                  <c:v>0</c:v>
                </c:pt>
                <c:pt idx="365">
                  <c:v>14040.000000000002</c:v>
                </c:pt>
                <c:pt idx="366">
                  <c:v>90180</c:v>
                </c:pt>
                <c:pt idx="367">
                  <c:v>50220</c:v>
                </c:pt>
                <c:pt idx="368">
                  <c:v>35640</c:v>
                </c:pt>
                <c:pt idx="369">
                  <c:v>70200</c:v>
                </c:pt>
                <c:pt idx="370">
                  <c:v>97200</c:v>
                </c:pt>
                <c:pt idx="371">
                  <c:v>69120</c:v>
                </c:pt>
                <c:pt idx="372">
                  <c:v>33480</c:v>
                </c:pt>
                <c:pt idx="373">
                  <c:v>72360</c:v>
                </c:pt>
                <c:pt idx="374">
                  <c:v>105300</c:v>
                </c:pt>
                <c:pt idx="375">
                  <c:v>75060</c:v>
                </c:pt>
                <c:pt idx="376">
                  <c:v>96120</c:v>
                </c:pt>
                <c:pt idx="377">
                  <c:v>55620.000000000007</c:v>
                </c:pt>
                <c:pt idx="378">
                  <c:v>0</c:v>
                </c:pt>
                <c:pt idx="379">
                  <c:v>77760</c:v>
                </c:pt>
                <c:pt idx="380">
                  <c:v>100980</c:v>
                </c:pt>
                <c:pt idx="381">
                  <c:v>17820</c:v>
                </c:pt>
                <c:pt idx="382">
                  <c:v>38880</c:v>
                </c:pt>
                <c:pt idx="383">
                  <c:v>98280</c:v>
                </c:pt>
                <c:pt idx="384">
                  <c:v>0</c:v>
                </c:pt>
                <c:pt idx="385">
                  <c:v>36180</c:v>
                </c:pt>
                <c:pt idx="386">
                  <c:v>11880</c:v>
                </c:pt>
                <c:pt idx="387">
                  <c:v>35640</c:v>
                </c:pt>
                <c:pt idx="388">
                  <c:v>76680</c:v>
                </c:pt>
                <c:pt idx="389">
                  <c:v>33480</c:v>
                </c:pt>
                <c:pt idx="390">
                  <c:v>45900</c:v>
                </c:pt>
              </c:numCache>
            </c:numRef>
          </c:xVal>
          <c:yVal>
            <c:numRef>
              <c:f>Base_Limpa!M2:M392</c:f>
              <c:numCache>
                <c:formatCode>_-[$$-409]* #,##0_ ;_-[$$-409]* \-#,##0\ ;_-[$$-409]* "-"_ ;_-@_ </c:formatCode>
                <c:ptCount val="391"/>
                <c:pt idx="0">
                  <c:v>3900</c:v>
                </c:pt>
                <c:pt idx="1">
                  <c:v>2100</c:v>
                </c:pt>
                <c:pt idx="2">
                  <c:v>12700</c:v>
                </c:pt>
                <c:pt idx="3">
                  <c:v>16800</c:v>
                </c:pt>
                <c:pt idx="4">
                  <c:v>12200</c:v>
                </c:pt>
                <c:pt idx="5">
                  <c:v>21300</c:v>
                </c:pt>
                <c:pt idx="6" formatCode="_-[$$-409]* #,##0.00_ ;_-[$$-409]* \-#,##0.00\ ;_-[$$-409]* &quot;-&quot;??_ ;_-@_ ">
                  <c:v>12700</c:v>
                </c:pt>
                <c:pt idx="7" formatCode="_-[$$-409]* #,##0.00_ ;_-[$$-409]* \-#,##0.00\ ;_-[$$-409]* &quot;-&quot;??_ ;_-@_ ">
                  <c:v>12200</c:v>
                </c:pt>
                <c:pt idx="8" formatCode="_-[$$-409]* #,##0.00_ ;_-[$$-409]* \-#,##0.00\ ;_-[$$-409]* &quot;-&quot;??_ ;_-@_ ">
                  <c:v>12200</c:v>
                </c:pt>
                <c:pt idx="9">
                  <c:v>18200</c:v>
                </c:pt>
                <c:pt idx="10">
                  <c:v>28800</c:v>
                </c:pt>
                <c:pt idx="11">
                  <c:v>11600</c:v>
                </c:pt>
                <c:pt idx="12">
                  <c:v>19800</c:v>
                </c:pt>
                <c:pt idx="13">
                  <c:v>84000</c:v>
                </c:pt>
                <c:pt idx="14">
                  <c:v>28400</c:v>
                </c:pt>
                <c:pt idx="15">
                  <c:v>2400</c:v>
                </c:pt>
                <c:pt idx="16">
                  <c:v>3400</c:v>
                </c:pt>
                <c:pt idx="17" formatCode="_-[$$-409]* #,##0.00_ ;_-[$$-409]* \-#,##0.00\ ;_-[$$-409]* &quot;-&quot;??_ ;_-@_ ">
                  <c:v>4100</c:v>
                </c:pt>
                <c:pt idx="18">
                  <c:v>29700</c:v>
                </c:pt>
                <c:pt idx="19">
                  <c:v>14300</c:v>
                </c:pt>
                <c:pt idx="20">
                  <c:v>11000</c:v>
                </c:pt>
                <c:pt idx="21">
                  <c:v>12800</c:v>
                </c:pt>
                <c:pt idx="22">
                  <c:v>28000</c:v>
                </c:pt>
                <c:pt idx="23" formatCode="_-[$$-409]* #,##0.00_ ;_-[$$-409]* \-#,##0.00\ ;_-[$$-409]* &quot;-&quot;??_ ;_-@_ ">
                  <c:v>12800</c:v>
                </c:pt>
                <c:pt idx="24" formatCode="_-[$$-409]* #,##0.00_ ;_-[$$-409]* \-#,##0.00\ ;_-[$$-409]* &quot;-&quot;??_ ;_-@_ ">
                  <c:v>12800</c:v>
                </c:pt>
                <c:pt idx="25">
                  <c:v>2900</c:v>
                </c:pt>
                <c:pt idx="26">
                  <c:v>27000</c:v>
                </c:pt>
                <c:pt idx="27">
                  <c:v>5000</c:v>
                </c:pt>
                <c:pt idx="28">
                  <c:v>23600</c:v>
                </c:pt>
                <c:pt idx="29">
                  <c:v>17400</c:v>
                </c:pt>
                <c:pt idx="30">
                  <c:v>44000</c:v>
                </c:pt>
                <c:pt idx="31">
                  <c:v>15500</c:v>
                </c:pt>
                <c:pt idx="32">
                  <c:v>21200</c:v>
                </c:pt>
                <c:pt idx="33">
                  <c:v>18500</c:v>
                </c:pt>
                <c:pt idx="34" formatCode="_-[$$-409]* #,##0.00_ ;_-[$$-409]* \-#,##0.00\ ;_-[$$-409]* &quot;-&quot;??_ ;_-@_ ">
                  <c:v>7300</c:v>
                </c:pt>
                <c:pt idx="35" formatCode="_-[$$-409]* #,##0.00_ ;_-[$$-409]* \-#,##0.00\ ;_-[$$-409]* &quot;-&quot;??_ ;_-@_ ">
                  <c:v>7300</c:v>
                </c:pt>
                <c:pt idx="36">
                  <c:v>7300</c:v>
                </c:pt>
                <c:pt idx="37">
                  <c:v>21600</c:v>
                </c:pt>
                <c:pt idx="39">
                  <c:v>29200</c:v>
                </c:pt>
                <c:pt idx="40">
                  <c:v>2500</c:v>
                </c:pt>
                <c:pt idx="41">
                  <c:v>14200</c:v>
                </c:pt>
                <c:pt idx="42">
                  <c:v>28900</c:v>
                </c:pt>
                <c:pt idx="43">
                  <c:v>29500</c:v>
                </c:pt>
                <c:pt idx="44">
                  <c:v>25400</c:v>
                </c:pt>
                <c:pt idx="45">
                  <c:v>12200</c:v>
                </c:pt>
                <c:pt idx="46">
                  <c:v>3800</c:v>
                </c:pt>
                <c:pt idx="47">
                  <c:v>25500</c:v>
                </c:pt>
                <c:pt idx="48">
                  <c:v>18500</c:v>
                </c:pt>
                <c:pt idx="49">
                  <c:v>43500</c:v>
                </c:pt>
                <c:pt idx="50">
                  <c:v>29300</c:v>
                </c:pt>
                <c:pt idx="51">
                  <c:v>8000</c:v>
                </c:pt>
                <c:pt idx="53">
                  <c:v>21900</c:v>
                </c:pt>
                <c:pt idx="54">
                  <c:v>6500</c:v>
                </c:pt>
                <c:pt idx="55">
                  <c:v>9200</c:v>
                </c:pt>
                <c:pt idx="56">
                  <c:v>27100</c:v>
                </c:pt>
                <c:pt idx="57">
                  <c:v>29000</c:v>
                </c:pt>
                <c:pt idx="58">
                  <c:v>15200</c:v>
                </c:pt>
                <c:pt idx="59">
                  <c:v>28600</c:v>
                </c:pt>
                <c:pt idx="60">
                  <c:v>9500</c:v>
                </c:pt>
                <c:pt idx="61">
                  <c:v>8200</c:v>
                </c:pt>
                <c:pt idx="62">
                  <c:v>9600</c:v>
                </c:pt>
                <c:pt idx="63">
                  <c:v>8800</c:v>
                </c:pt>
                <c:pt idx="64">
                  <c:v>9000</c:v>
                </c:pt>
                <c:pt idx="65">
                  <c:v>22900</c:v>
                </c:pt>
                <c:pt idx="66">
                  <c:v>3600</c:v>
                </c:pt>
                <c:pt idx="67">
                  <c:v>29900</c:v>
                </c:pt>
                <c:pt idx="68">
                  <c:v>20700</c:v>
                </c:pt>
                <c:pt idx="69">
                  <c:v>17000</c:v>
                </c:pt>
                <c:pt idx="70">
                  <c:v>14000</c:v>
                </c:pt>
                <c:pt idx="71">
                  <c:v>11600</c:v>
                </c:pt>
                <c:pt idx="72">
                  <c:v>11100</c:v>
                </c:pt>
                <c:pt idx="73">
                  <c:v>22600</c:v>
                </c:pt>
                <c:pt idx="74">
                  <c:v>8400</c:v>
                </c:pt>
                <c:pt idx="75">
                  <c:v>19500</c:v>
                </c:pt>
                <c:pt idx="76">
                  <c:v>21300</c:v>
                </c:pt>
                <c:pt idx="77">
                  <c:v>13800</c:v>
                </c:pt>
                <c:pt idx="78">
                  <c:v>18400</c:v>
                </c:pt>
                <c:pt idx="79">
                  <c:v>2600</c:v>
                </c:pt>
                <c:pt idx="80">
                  <c:v>7100</c:v>
                </c:pt>
                <c:pt idx="81">
                  <c:v>5000</c:v>
                </c:pt>
                <c:pt idx="82">
                  <c:v>20200</c:v>
                </c:pt>
                <c:pt idx="83">
                  <c:v>5400</c:v>
                </c:pt>
                <c:pt idx="84">
                  <c:v>88000</c:v>
                </c:pt>
                <c:pt idx="85">
                  <c:v>21300</c:v>
                </c:pt>
                <c:pt idx="86">
                  <c:v>2000</c:v>
                </c:pt>
                <c:pt idx="87">
                  <c:v>10700</c:v>
                </c:pt>
                <c:pt idx="88">
                  <c:v>25200</c:v>
                </c:pt>
                <c:pt idx="89">
                  <c:v>23400</c:v>
                </c:pt>
                <c:pt idx="90">
                  <c:v>18500</c:v>
                </c:pt>
                <c:pt idx="91">
                  <c:v>73500</c:v>
                </c:pt>
                <c:pt idx="92">
                  <c:v>11900</c:v>
                </c:pt>
                <c:pt idx="93">
                  <c:v>7100</c:v>
                </c:pt>
                <c:pt idx="94">
                  <c:v>9500</c:v>
                </c:pt>
                <c:pt idx="95">
                  <c:v>22600</c:v>
                </c:pt>
                <c:pt idx="96">
                  <c:v>23900</c:v>
                </c:pt>
                <c:pt idx="97">
                  <c:v>19500</c:v>
                </c:pt>
                <c:pt idx="98">
                  <c:v>28300</c:v>
                </c:pt>
                <c:pt idx="99" formatCode="_-[$$-409]* #,##0.00_ ;_-[$$-409]* \-#,##0.00\ ;_-[$$-409]* &quot;-&quot;??_ ;_-@_ ">
                  <c:v>28300</c:v>
                </c:pt>
                <c:pt idx="100" formatCode="_-[$$-409]* #,##0.00_ ;_-[$$-409]* \-#,##0.00\ ;_-[$$-409]* &quot;-&quot;??_ ;_-@_ ">
                  <c:v>28300</c:v>
                </c:pt>
                <c:pt idx="101">
                  <c:v>22500</c:v>
                </c:pt>
                <c:pt idx="102">
                  <c:v>10100</c:v>
                </c:pt>
                <c:pt idx="103">
                  <c:v>11300</c:v>
                </c:pt>
                <c:pt idx="104">
                  <c:v>6000</c:v>
                </c:pt>
                <c:pt idx="105">
                  <c:v>17000</c:v>
                </c:pt>
                <c:pt idx="106">
                  <c:v>23200</c:v>
                </c:pt>
                <c:pt idx="107">
                  <c:v>29800</c:v>
                </c:pt>
                <c:pt idx="108" formatCode="_-[$$-409]* #,##0.00_ ;_-[$$-409]* \-#,##0.00\ ;_-[$$-409]* &quot;-&quot;??_ ;_-@_ ">
                  <c:v>23200</c:v>
                </c:pt>
                <c:pt idx="109" formatCode="_-[$$-409]* #,##0.00_ ;_-[$$-409]* \-#,##0.00\ ;_-[$$-409]* &quot;-&quot;??_ ;_-@_ ">
                  <c:v>23200</c:v>
                </c:pt>
                <c:pt idx="110">
                  <c:v>20900</c:v>
                </c:pt>
                <c:pt idx="111">
                  <c:v>20800</c:v>
                </c:pt>
                <c:pt idx="112">
                  <c:v>13400</c:v>
                </c:pt>
                <c:pt idx="113">
                  <c:v>13900</c:v>
                </c:pt>
                <c:pt idx="114">
                  <c:v>17400</c:v>
                </c:pt>
                <c:pt idx="115">
                  <c:v>6900</c:v>
                </c:pt>
                <c:pt idx="116">
                  <c:v>20600</c:v>
                </c:pt>
                <c:pt idx="117">
                  <c:v>27800</c:v>
                </c:pt>
                <c:pt idx="118" formatCode="_-[$$-409]* #,##0.00_ ;_-[$$-409]* \-#,##0.00\ ;_-[$$-409]* &quot;-&quot;??_ ;_-@_ ">
                  <c:v>24000</c:v>
                </c:pt>
                <c:pt idx="119">
                  <c:v>24000</c:v>
                </c:pt>
                <c:pt idx="120">
                  <c:v>12500</c:v>
                </c:pt>
                <c:pt idx="121">
                  <c:v>9400</c:v>
                </c:pt>
                <c:pt idx="122" formatCode="_-[$$-409]* #,##0.00_ ;_-[$$-409]* \-#,##0.00\ ;_-[$$-409]* &quot;-&quot;??_ ;_-@_ ">
                  <c:v>9400</c:v>
                </c:pt>
                <c:pt idx="123" formatCode="_-[$$-409]* #,##0.00_ ;_-[$$-409]* \-#,##0.00\ ;_-[$$-409]* &quot;-&quot;??_ ;_-@_ ">
                  <c:v>9400</c:v>
                </c:pt>
                <c:pt idx="124">
                  <c:v>14200</c:v>
                </c:pt>
                <c:pt idx="125">
                  <c:v>2000</c:v>
                </c:pt>
                <c:pt idx="126">
                  <c:v>18000</c:v>
                </c:pt>
                <c:pt idx="127">
                  <c:v>10500</c:v>
                </c:pt>
                <c:pt idx="128">
                  <c:v>6600</c:v>
                </c:pt>
                <c:pt idx="129">
                  <c:v>3500</c:v>
                </c:pt>
                <c:pt idx="130">
                  <c:v>19900</c:v>
                </c:pt>
                <c:pt idx="131">
                  <c:v>3800</c:v>
                </c:pt>
                <c:pt idx="132">
                  <c:v>11300</c:v>
                </c:pt>
                <c:pt idx="133">
                  <c:v>18000</c:v>
                </c:pt>
                <c:pt idx="134">
                  <c:v>48000</c:v>
                </c:pt>
                <c:pt idx="135">
                  <c:v>28500</c:v>
                </c:pt>
                <c:pt idx="136">
                  <c:v>9300</c:v>
                </c:pt>
                <c:pt idx="137">
                  <c:v>27300</c:v>
                </c:pt>
                <c:pt idx="138">
                  <c:v>62500</c:v>
                </c:pt>
                <c:pt idx="139">
                  <c:v>21300</c:v>
                </c:pt>
                <c:pt idx="140">
                  <c:v>16000</c:v>
                </c:pt>
                <c:pt idx="141">
                  <c:v>20500</c:v>
                </c:pt>
                <c:pt idx="142">
                  <c:v>19900</c:v>
                </c:pt>
                <c:pt idx="143">
                  <c:v>18700</c:v>
                </c:pt>
                <c:pt idx="144">
                  <c:v>13800</c:v>
                </c:pt>
                <c:pt idx="145">
                  <c:v>16400</c:v>
                </c:pt>
                <c:pt idx="146">
                  <c:v>3900</c:v>
                </c:pt>
                <c:pt idx="147">
                  <c:v>29200</c:v>
                </c:pt>
                <c:pt idx="148" formatCode="_-[$$-409]* #,##0.00_ ;_-[$$-409]* \-#,##0.00\ ;_-[$$-409]* &quot;-&quot;??_ ;_-@_ ">
                  <c:v>29200</c:v>
                </c:pt>
                <c:pt idx="149" formatCode="_-[$$-409]* #,##0.00_ ;_-[$$-409]* \-#,##0.00\ ;_-[$$-409]* &quot;-&quot;??_ ;_-@_ ">
                  <c:v>29200</c:v>
                </c:pt>
                <c:pt idx="150">
                  <c:v>23000</c:v>
                </c:pt>
                <c:pt idx="151">
                  <c:v>11500</c:v>
                </c:pt>
                <c:pt idx="152">
                  <c:v>12500</c:v>
                </c:pt>
                <c:pt idx="153" formatCode="_-[$$-409]* #,##0.00_ ;_-[$$-409]* \-#,##0.00\ ;_-[$$-409]* &quot;-&quot;??_ ;_-@_ ">
                  <c:v>12500</c:v>
                </c:pt>
                <c:pt idx="154" formatCode="_-[$$-409]* #,##0.00_ ;_-[$$-409]* \-#,##0.00\ ;_-[$$-409]* &quot;-&quot;??_ ;_-@_ ">
                  <c:v>12500</c:v>
                </c:pt>
                <c:pt idx="155">
                  <c:v>17600</c:v>
                </c:pt>
                <c:pt idx="156">
                  <c:v>9600</c:v>
                </c:pt>
                <c:pt idx="157">
                  <c:v>26800</c:v>
                </c:pt>
                <c:pt idx="158">
                  <c:v>22700</c:v>
                </c:pt>
                <c:pt idx="159">
                  <c:v>16900</c:v>
                </c:pt>
                <c:pt idx="160">
                  <c:v>8000</c:v>
                </c:pt>
                <c:pt idx="161">
                  <c:v>13800</c:v>
                </c:pt>
                <c:pt idx="162">
                  <c:v>9900</c:v>
                </c:pt>
                <c:pt idx="163">
                  <c:v>13800</c:v>
                </c:pt>
                <c:pt idx="164">
                  <c:v>22100</c:v>
                </c:pt>
                <c:pt idx="165">
                  <c:v>11600</c:v>
                </c:pt>
                <c:pt idx="166">
                  <c:v>6400</c:v>
                </c:pt>
                <c:pt idx="167">
                  <c:v>9600</c:v>
                </c:pt>
                <c:pt idx="168">
                  <c:v>18300</c:v>
                </c:pt>
                <c:pt idx="169" formatCode="_-[$$-409]* #,##0.00_ ;_-[$$-409]* \-#,##0.00\ ;_-[$$-409]* &quot;-&quot;??_ ;_-@_ ">
                  <c:v>17000</c:v>
                </c:pt>
                <c:pt idx="170">
                  <c:v>25100</c:v>
                </c:pt>
                <c:pt idx="171">
                  <c:v>28600</c:v>
                </c:pt>
                <c:pt idx="172">
                  <c:v>9100</c:v>
                </c:pt>
                <c:pt idx="173">
                  <c:v>26300</c:v>
                </c:pt>
                <c:pt idx="174">
                  <c:v>20100</c:v>
                </c:pt>
                <c:pt idx="175">
                  <c:v>6100</c:v>
                </c:pt>
                <c:pt idx="176">
                  <c:v>8500</c:v>
                </c:pt>
                <c:pt idx="177">
                  <c:v>14500</c:v>
                </c:pt>
                <c:pt idx="178">
                  <c:v>19500</c:v>
                </c:pt>
                <c:pt idx="179">
                  <c:v>14100</c:v>
                </c:pt>
                <c:pt idx="180">
                  <c:v>28400</c:v>
                </c:pt>
                <c:pt idx="181">
                  <c:v>83500</c:v>
                </c:pt>
                <c:pt idx="182">
                  <c:v>6400</c:v>
                </c:pt>
                <c:pt idx="183">
                  <c:v>22100</c:v>
                </c:pt>
                <c:pt idx="184">
                  <c:v>27600</c:v>
                </c:pt>
                <c:pt idx="185">
                  <c:v>28900</c:v>
                </c:pt>
                <c:pt idx="186">
                  <c:v>28100</c:v>
                </c:pt>
                <c:pt idx="187">
                  <c:v>9300</c:v>
                </c:pt>
                <c:pt idx="188">
                  <c:v>29000</c:v>
                </c:pt>
                <c:pt idx="189">
                  <c:v>28000</c:v>
                </c:pt>
                <c:pt idx="190" formatCode="_-[$$-409]* #,##0.00_ ;_-[$$-409]* \-#,##0.00\ ;_-[$$-409]* &quot;-&quot;??_ ;_-@_ ">
                  <c:v>29000</c:v>
                </c:pt>
                <c:pt idx="191" formatCode="_-[$$-409]* #,##0.00_ ;_-[$$-409]* \-#,##0.00\ ;_-[$$-409]* &quot;-&quot;??_ ;_-@_ ">
                  <c:v>29000</c:v>
                </c:pt>
                <c:pt idx="192">
                  <c:v>71500</c:v>
                </c:pt>
                <c:pt idx="193">
                  <c:v>24000</c:v>
                </c:pt>
                <c:pt idx="194">
                  <c:v>2800</c:v>
                </c:pt>
                <c:pt idx="195">
                  <c:v>9300</c:v>
                </c:pt>
                <c:pt idx="196">
                  <c:v>19900</c:v>
                </c:pt>
                <c:pt idx="197">
                  <c:v>25700</c:v>
                </c:pt>
                <c:pt idx="198">
                  <c:v>29700</c:v>
                </c:pt>
                <c:pt idx="199">
                  <c:v>14300</c:v>
                </c:pt>
                <c:pt idx="200">
                  <c:v>15000</c:v>
                </c:pt>
                <c:pt idx="201" formatCode="_-[$$-409]* #,##0.00_ ;_-[$$-409]* \-#,##0.00\ ;_-[$$-409]* &quot;-&quot;??_ ;_-@_ ">
                  <c:v>15000</c:v>
                </c:pt>
                <c:pt idx="202" formatCode="_-[$$-409]* #,##0.00_ ;_-[$$-409]* \-#,##0.00\ ;_-[$$-409]* &quot;-&quot;??_ ;_-@_ ">
                  <c:v>15000</c:v>
                </c:pt>
                <c:pt idx="203">
                  <c:v>29300</c:v>
                </c:pt>
                <c:pt idx="204">
                  <c:v>21700</c:v>
                </c:pt>
                <c:pt idx="205">
                  <c:v>18200</c:v>
                </c:pt>
                <c:pt idx="206">
                  <c:v>22100</c:v>
                </c:pt>
                <c:pt idx="207">
                  <c:v>4000</c:v>
                </c:pt>
                <c:pt idx="208">
                  <c:v>20000</c:v>
                </c:pt>
                <c:pt idx="209">
                  <c:v>29000</c:v>
                </c:pt>
                <c:pt idx="210">
                  <c:v>17900</c:v>
                </c:pt>
                <c:pt idx="211">
                  <c:v>23400</c:v>
                </c:pt>
                <c:pt idx="212">
                  <c:v>8100</c:v>
                </c:pt>
                <c:pt idx="213">
                  <c:v>30000</c:v>
                </c:pt>
                <c:pt idx="214">
                  <c:v>3900</c:v>
                </c:pt>
                <c:pt idx="215">
                  <c:v>2300</c:v>
                </c:pt>
                <c:pt idx="216">
                  <c:v>12900</c:v>
                </c:pt>
                <c:pt idx="217">
                  <c:v>5500</c:v>
                </c:pt>
                <c:pt idx="218">
                  <c:v>10000</c:v>
                </c:pt>
                <c:pt idx="219">
                  <c:v>16200</c:v>
                </c:pt>
                <c:pt idx="220">
                  <c:v>5100</c:v>
                </c:pt>
                <c:pt idx="221">
                  <c:v>21600</c:v>
                </c:pt>
                <c:pt idx="222">
                  <c:v>9700</c:v>
                </c:pt>
                <c:pt idx="223">
                  <c:v>13500</c:v>
                </c:pt>
                <c:pt idx="224">
                  <c:v>24700</c:v>
                </c:pt>
                <c:pt idx="225">
                  <c:v>4400</c:v>
                </c:pt>
                <c:pt idx="226">
                  <c:v>21500</c:v>
                </c:pt>
                <c:pt idx="227">
                  <c:v>24700</c:v>
                </c:pt>
                <c:pt idx="228">
                  <c:v>99000</c:v>
                </c:pt>
                <c:pt idx="229">
                  <c:v>29700</c:v>
                </c:pt>
                <c:pt idx="230">
                  <c:v>28900</c:v>
                </c:pt>
                <c:pt idx="231" formatCode="_-[$$-409]* #,##0.00_ ;_-[$$-409]* \-#,##0.00\ ;_-[$$-409]* &quot;-&quot;??_ ;_-@_ ">
                  <c:v>5300</c:v>
                </c:pt>
                <c:pt idx="232" formatCode="_-[$$-409]* #,##0.00_ ;_-[$$-409]* \-#,##0.00\ ;_-[$$-409]* &quot;-&quot;??_ ;_-@_ ">
                  <c:v>5300</c:v>
                </c:pt>
                <c:pt idx="233">
                  <c:v>5300</c:v>
                </c:pt>
                <c:pt idx="234">
                  <c:v>0</c:v>
                </c:pt>
                <c:pt idx="235">
                  <c:v>12400</c:v>
                </c:pt>
                <c:pt idx="237">
                  <c:v>20000</c:v>
                </c:pt>
                <c:pt idx="238">
                  <c:v>8900</c:v>
                </c:pt>
                <c:pt idx="239">
                  <c:v>6400</c:v>
                </c:pt>
                <c:pt idx="240">
                  <c:v>0</c:v>
                </c:pt>
                <c:pt idx="241">
                  <c:v>23000</c:v>
                </c:pt>
                <c:pt idx="242">
                  <c:v>8600</c:v>
                </c:pt>
                <c:pt idx="243">
                  <c:v>14600</c:v>
                </c:pt>
                <c:pt idx="244">
                  <c:v>20700</c:v>
                </c:pt>
                <c:pt idx="245">
                  <c:v>11500</c:v>
                </c:pt>
                <c:pt idx="246">
                  <c:v>58000</c:v>
                </c:pt>
                <c:pt idx="247">
                  <c:v>58000</c:v>
                </c:pt>
                <c:pt idx="248" formatCode="_-[$$-409]* #,##0.00_ ;_-[$$-409]* \-#,##0.00\ ;_-[$$-409]* &quot;-&quot;??_ ;_-@_ ">
                  <c:v>20700</c:v>
                </c:pt>
                <c:pt idx="249" formatCode="_-[$$-409]* #,##0.00_ ;_-[$$-409]* \-#,##0.00\ ;_-[$$-409]* &quot;-&quot;??_ ;_-@_ ">
                  <c:v>20700</c:v>
                </c:pt>
                <c:pt idx="250">
                  <c:v>7200</c:v>
                </c:pt>
                <c:pt idx="251">
                  <c:v>5100</c:v>
                </c:pt>
                <c:pt idx="252">
                  <c:v>14900</c:v>
                </c:pt>
                <c:pt idx="253">
                  <c:v>24500</c:v>
                </c:pt>
                <c:pt idx="254">
                  <c:v>24300</c:v>
                </c:pt>
                <c:pt idx="255">
                  <c:v>6700</c:v>
                </c:pt>
                <c:pt idx="256">
                  <c:v>16300</c:v>
                </c:pt>
                <c:pt idx="257">
                  <c:v>20800</c:v>
                </c:pt>
                <c:pt idx="258">
                  <c:v>28800</c:v>
                </c:pt>
                <c:pt idx="259">
                  <c:v>7200</c:v>
                </c:pt>
                <c:pt idx="260">
                  <c:v>6100</c:v>
                </c:pt>
                <c:pt idx="261">
                  <c:v>2500</c:v>
                </c:pt>
                <c:pt idx="262">
                  <c:v>18700</c:v>
                </c:pt>
                <c:pt idx="263">
                  <c:v>17300</c:v>
                </c:pt>
                <c:pt idx="264">
                  <c:v>10700</c:v>
                </c:pt>
                <c:pt idx="265">
                  <c:v>6300</c:v>
                </c:pt>
                <c:pt idx="266">
                  <c:v>26500</c:v>
                </c:pt>
                <c:pt idx="267">
                  <c:v>8000</c:v>
                </c:pt>
                <c:pt idx="268" formatCode="_-[$$-409]* #,##0.00_ ;_-[$$-409]* \-#,##0.00\ ;_-[$$-409]* &quot;-&quot;??_ ;_-@_ ">
                  <c:v>26500</c:v>
                </c:pt>
                <c:pt idx="269" formatCode="_-[$$-409]* #,##0.00_ ;_-[$$-409]* \-#,##0.00\ ;_-[$$-409]* &quot;-&quot;??_ ;_-@_ ">
                  <c:v>26500</c:v>
                </c:pt>
                <c:pt idx="270">
                  <c:v>27500</c:v>
                </c:pt>
                <c:pt idx="271">
                  <c:v>24300</c:v>
                </c:pt>
                <c:pt idx="272">
                  <c:v>11100</c:v>
                </c:pt>
                <c:pt idx="273">
                  <c:v>28700</c:v>
                </c:pt>
                <c:pt idx="274">
                  <c:v>20300</c:v>
                </c:pt>
                <c:pt idx="275">
                  <c:v>29700</c:v>
                </c:pt>
                <c:pt idx="276">
                  <c:v>6800</c:v>
                </c:pt>
                <c:pt idx="277">
                  <c:v>67500</c:v>
                </c:pt>
                <c:pt idx="278">
                  <c:v>18700</c:v>
                </c:pt>
                <c:pt idx="279">
                  <c:v>15200</c:v>
                </c:pt>
                <c:pt idx="280">
                  <c:v>28500</c:v>
                </c:pt>
                <c:pt idx="281">
                  <c:v>26400</c:v>
                </c:pt>
                <c:pt idx="282">
                  <c:v>10700</c:v>
                </c:pt>
                <c:pt idx="283">
                  <c:v>17800</c:v>
                </c:pt>
                <c:pt idx="284">
                  <c:v>22700</c:v>
                </c:pt>
                <c:pt idx="285">
                  <c:v>10400</c:v>
                </c:pt>
                <c:pt idx="286">
                  <c:v>16100</c:v>
                </c:pt>
                <c:pt idx="287">
                  <c:v>20600</c:v>
                </c:pt>
                <c:pt idx="288">
                  <c:v>22900</c:v>
                </c:pt>
                <c:pt idx="289">
                  <c:v>24400</c:v>
                </c:pt>
                <c:pt idx="290" formatCode="_-[$$-409]* #,##0.00_ ;_-[$$-409]* \-#,##0.00\ ;_-[$$-409]* &quot;-&quot;??_ ;_-@_ ">
                  <c:v>22900</c:v>
                </c:pt>
                <c:pt idx="291" formatCode="_-[$$-409]* #,##0.00_ ;_-[$$-409]* \-#,##0.00\ ;_-[$$-409]* &quot;-&quot;??_ ;_-@_ ">
                  <c:v>22900</c:v>
                </c:pt>
                <c:pt idx="292">
                  <c:v>20200</c:v>
                </c:pt>
                <c:pt idx="293">
                  <c:v>3200</c:v>
                </c:pt>
                <c:pt idx="294">
                  <c:v>5300</c:v>
                </c:pt>
                <c:pt idx="295">
                  <c:v>5300</c:v>
                </c:pt>
                <c:pt idx="296">
                  <c:v>12600</c:v>
                </c:pt>
                <c:pt idx="297">
                  <c:v>2000</c:v>
                </c:pt>
                <c:pt idx="298">
                  <c:v>7100</c:v>
                </c:pt>
                <c:pt idx="299">
                  <c:v>29100</c:v>
                </c:pt>
                <c:pt idx="300">
                  <c:v>9200</c:v>
                </c:pt>
                <c:pt idx="301">
                  <c:v>29500</c:v>
                </c:pt>
                <c:pt idx="303">
                  <c:v>22900</c:v>
                </c:pt>
                <c:pt idx="304">
                  <c:v>19400</c:v>
                </c:pt>
                <c:pt idx="305">
                  <c:v>16500</c:v>
                </c:pt>
                <c:pt idx="306">
                  <c:v>8900</c:v>
                </c:pt>
                <c:pt idx="307">
                  <c:v>25400</c:v>
                </c:pt>
                <c:pt idx="308">
                  <c:v>17500</c:v>
                </c:pt>
                <c:pt idx="309">
                  <c:v>9900</c:v>
                </c:pt>
                <c:pt idx="310">
                  <c:v>1900</c:v>
                </c:pt>
                <c:pt idx="311">
                  <c:v>13200</c:v>
                </c:pt>
                <c:pt idx="312">
                  <c:v>26000</c:v>
                </c:pt>
                <c:pt idx="313">
                  <c:v>11800</c:v>
                </c:pt>
                <c:pt idx="314">
                  <c:v>4100</c:v>
                </c:pt>
                <c:pt idx="315">
                  <c:v>7000</c:v>
                </c:pt>
                <c:pt idx="316">
                  <c:v>27300</c:v>
                </c:pt>
                <c:pt idx="317">
                  <c:v>14100</c:v>
                </c:pt>
                <c:pt idx="318">
                  <c:v>18900</c:v>
                </c:pt>
                <c:pt idx="319">
                  <c:v>13300</c:v>
                </c:pt>
                <c:pt idx="320">
                  <c:v>7300</c:v>
                </c:pt>
                <c:pt idx="321">
                  <c:v>39500</c:v>
                </c:pt>
                <c:pt idx="322">
                  <c:v>17600</c:v>
                </c:pt>
                <c:pt idx="323">
                  <c:v>15600</c:v>
                </c:pt>
                <c:pt idx="324">
                  <c:v>3800</c:v>
                </c:pt>
                <c:pt idx="325">
                  <c:v>2300</c:v>
                </c:pt>
                <c:pt idx="326">
                  <c:v>11400</c:v>
                </c:pt>
                <c:pt idx="327">
                  <c:v>4500</c:v>
                </c:pt>
                <c:pt idx="328">
                  <c:v>14700</c:v>
                </c:pt>
                <c:pt idx="329">
                  <c:v>25900</c:v>
                </c:pt>
                <c:pt idx="330">
                  <c:v>10500</c:v>
                </c:pt>
                <c:pt idx="331">
                  <c:v>24900</c:v>
                </c:pt>
                <c:pt idx="332">
                  <c:v>2600</c:v>
                </c:pt>
                <c:pt idx="334">
                  <c:v>4500</c:v>
                </c:pt>
                <c:pt idx="335">
                  <c:v>25200</c:v>
                </c:pt>
                <c:pt idx="336">
                  <c:v>28200</c:v>
                </c:pt>
                <c:pt idx="337">
                  <c:v>9800</c:v>
                </c:pt>
                <c:pt idx="338">
                  <c:v>2500</c:v>
                </c:pt>
                <c:pt idx="339">
                  <c:v>18000</c:v>
                </c:pt>
                <c:pt idx="340">
                  <c:v>12400</c:v>
                </c:pt>
                <c:pt idx="341">
                  <c:v>24900</c:v>
                </c:pt>
                <c:pt idx="342">
                  <c:v>12400</c:v>
                </c:pt>
                <c:pt idx="343">
                  <c:v>16800</c:v>
                </c:pt>
                <c:pt idx="344">
                  <c:v>25000</c:v>
                </c:pt>
                <c:pt idx="345">
                  <c:v>14400</c:v>
                </c:pt>
                <c:pt idx="346">
                  <c:v>29900</c:v>
                </c:pt>
                <c:pt idx="347">
                  <c:v>3400</c:v>
                </c:pt>
                <c:pt idx="348">
                  <c:v>21000</c:v>
                </c:pt>
                <c:pt idx="349">
                  <c:v>12700</c:v>
                </c:pt>
                <c:pt idx="350">
                  <c:v>5500</c:v>
                </c:pt>
                <c:pt idx="351">
                  <c:v>18100</c:v>
                </c:pt>
                <c:pt idx="352">
                  <c:v>20500</c:v>
                </c:pt>
                <c:pt idx="353">
                  <c:v>3400</c:v>
                </c:pt>
                <c:pt idx="354">
                  <c:v>14000</c:v>
                </c:pt>
                <c:pt idx="355">
                  <c:v>20400</c:v>
                </c:pt>
                <c:pt idx="356">
                  <c:v>11400</c:v>
                </c:pt>
                <c:pt idx="357">
                  <c:v>24100</c:v>
                </c:pt>
                <c:pt idx="358">
                  <c:v>3200</c:v>
                </c:pt>
                <c:pt idx="361">
                  <c:v>89500</c:v>
                </c:pt>
                <c:pt idx="362">
                  <c:v>99500</c:v>
                </c:pt>
                <c:pt idx="363" formatCode="_-[$$-409]* #,##0.00_ ;_-[$$-409]* \-#,##0.00\ ;_-[$$-409]* &quot;-&quot;??_ ;_-@_ ">
                  <c:v>3400</c:v>
                </c:pt>
                <c:pt idx="364" formatCode="_-[$$-409]* #,##0.00_ ;_-[$$-409]* \-#,##0.00\ ;_-[$$-409]* &quot;-&quot;??_ ;_-@_ ">
                  <c:v>3400</c:v>
                </c:pt>
                <c:pt idx="365">
                  <c:v>0</c:v>
                </c:pt>
                <c:pt idx="366">
                  <c:v>11200</c:v>
                </c:pt>
                <c:pt idx="367">
                  <c:v>28800</c:v>
                </c:pt>
                <c:pt idx="368">
                  <c:v>16300</c:v>
                </c:pt>
                <c:pt idx="369">
                  <c:v>30000</c:v>
                </c:pt>
                <c:pt idx="370">
                  <c:v>28600</c:v>
                </c:pt>
                <c:pt idx="371">
                  <c:v>3200</c:v>
                </c:pt>
                <c:pt idx="372">
                  <c:v>22800</c:v>
                </c:pt>
                <c:pt idx="373">
                  <c:v>6100</c:v>
                </c:pt>
                <c:pt idx="374">
                  <c:v>4500</c:v>
                </c:pt>
                <c:pt idx="375">
                  <c:v>15800</c:v>
                </c:pt>
                <c:pt idx="376">
                  <c:v>23800</c:v>
                </c:pt>
                <c:pt idx="377">
                  <c:v>21500</c:v>
                </c:pt>
                <c:pt idx="378">
                  <c:v>24500</c:v>
                </c:pt>
                <c:pt idx="379">
                  <c:v>0</c:v>
                </c:pt>
                <c:pt idx="380">
                  <c:v>8700</c:v>
                </c:pt>
                <c:pt idx="381">
                  <c:v>2600</c:v>
                </c:pt>
                <c:pt idx="382">
                  <c:v>13200</c:v>
                </c:pt>
                <c:pt idx="383">
                  <c:v>91000</c:v>
                </c:pt>
                <c:pt idx="384">
                  <c:v>14500</c:v>
                </c:pt>
                <c:pt idx="385">
                  <c:v>33500</c:v>
                </c:pt>
                <c:pt idx="386">
                  <c:v>11000</c:v>
                </c:pt>
                <c:pt idx="387">
                  <c:v>33000</c:v>
                </c:pt>
                <c:pt idx="388">
                  <c:v>71000</c:v>
                </c:pt>
                <c:pt idx="389">
                  <c:v>31000</c:v>
                </c:pt>
                <c:pt idx="390">
                  <c:v>42500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3-431B-A4A1-F98C5C15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755720"/>
        <c:axId val="2144757768"/>
      </c:scatterChart>
      <c:valAx>
        <c:axId val="2144755720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liberação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757768"/>
        <c:crosses val="autoZero"/>
        <c:crossBetween val="midCat"/>
      </c:valAx>
      <c:valAx>
        <c:axId val="2144757768"/>
        <c:scaling>
          <c:orientation val="minMax"/>
          <c:max val="1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755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76200</xdr:colOff>
      <xdr:row>2</xdr:row>
      <xdr:rowOff>9525</xdr:rowOff>
    </xdr:from>
    <xdr:to>
      <xdr:col>66</xdr:col>
      <xdr:colOff>361950</xdr:colOff>
      <xdr:row>22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FE0158-3027-5798-3A1E-11C36064C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briel Bruno Oliveira" id="{88C1102A-B8CE-4D04-BF21-20E935C8F8F1}" userId="80d5d064528c7da3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62C1B-64FF-4E27-BBBB-C648501FAA0C}" name="Tabela1" displayName="Tabela1" ref="A2:E6" totalsRowShown="0" headerRowDxfId="170" dataDxfId="169">
  <autoFilter ref="A2:E6" xr:uid="{2D662C1B-64FF-4E27-BBBB-C648501FAA0C}"/>
  <tableColumns count="5">
    <tableColumn id="1" xr3:uid="{35584A83-8E04-44C1-A545-D24F4E553A14}" name="ID_Produto" dataDxfId="168"/>
    <tableColumn id="2" xr3:uid="{E7ABCE77-6B67-4C57-95CC-AB367A7C42B8}" name="Tipo_de_Cafe" dataDxfId="167"/>
    <tableColumn id="3" xr3:uid="{95D6ED72-396A-4DC3-BE41-4BAC66F3975E}" name="Tamanho" dataDxfId="166"/>
    <tableColumn id="4" xr3:uid="{D5F75709-0390-41E5-88E8-2177FC7C3CFB}" name="Valor_Unitario" dataDxfId="165"/>
    <tableColumn id="5" xr3:uid="{75C1E3EE-BA34-4814-A88A-F36458E8242E}" name="Quantidade" dataDxfId="1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9F1B6-AA40-49BE-B9BB-4682AFA72717}" name="Tabela2" displayName="Tabela2" ref="A2:D8" totalsRowShown="0" headerRowDxfId="163" dataDxfId="162">
  <autoFilter ref="A2:D8" xr:uid="{57E9F1B6-AA40-49BE-B9BB-4682AFA72717}"/>
  <tableColumns count="4">
    <tableColumn id="1" xr3:uid="{E432FC92-E064-483E-8957-AEC800429DCF}" name="FUNCIONARIO" dataDxfId="161"/>
    <tableColumn id="2" xr3:uid="{6F81C100-E7FB-4660-B5BA-FB07F1BD843B}" name="PRODUTO" dataDxfId="160"/>
    <tableColumn id="3" xr3:uid="{F28552F8-3492-40C4-8F96-A0EFF3897FCC}" name="VENDAS" dataDxfId="159"/>
    <tableColumn id="4" xr3:uid="{119D4DD9-2BF5-4599-824B-37C345794466}" name="RESULTADO" dataDxfId="158">
      <calculatedColumnFormula array="1">_xlfn.IFS(Tabela2[[#This Row],[VENDAS]]&gt;5,"Ótimo",Tabela2[[#This Row],[VENDAS]]&lt;5,"Péssimo",Tabela2[[#This Row],[VENDAS]]=5,"Regular")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3404AD-0A46-4381-AF16-B18153A44859}" name="Tabela3" displayName="Tabela3" ref="A2:G7" totalsRowShown="0" headerRowDxfId="153" dataDxfId="152">
  <autoFilter ref="A2:G7" xr:uid="{D33404AD-0A46-4381-AF16-B18153A44859}"/>
  <tableColumns count="7">
    <tableColumn id="1" xr3:uid="{22B0647C-177B-4865-9F2F-69E2298CF70C}" name="RA" dataDxfId="151"/>
    <tableColumn id="2" xr3:uid="{81561E03-3B16-4338-9C26-4551F7F0CDA4}" name="Nome de Aluno" dataDxfId="150"/>
    <tableColumn id="3" xr3:uid="{29963808-9C70-44E0-8D3A-9A9D1C275FB6}" name="Nota 1 Trimestre" dataDxfId="149"/>
    <tableColumn id="4" xr3:uid="{05CF8DF4-17F4-4EA3-B562-42532ED3FBB3}" name="Nota 2 Trimestre" dataDxfId="148"/>
    <tableColumn id="5" xr3:uid="{1BB3A783-E23E-4007-B28B-1A8A7D69CBE9}" name="Nota 3 Trimestre" dataDxfId="147"/>
    <tableColumn id="6" xr3:uid="{8E998410-CA9A-4DA8-B222-C3D649480DE1}" name="Média final" dataDxfId="146">
      <calculatedColumnFormula>AVERAGE(Tabela3[[#This Row],[Nota 1 Trimestre]:[Nota 3 Trimestre]])</calculatedColumnFormula>
    </tableColumn>
    <tableColumn id="7" xr3:uid="{F98F6DF8-C048-444C-B795-632D73226DBB}" name="Resultado" dataDxfId="145">
      <calculatedColumnFormula>IF(Tabela3[[#This Row],[Média final]]&gt;6,"Aprovado","Reprovado")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64D950-8239-4351-85DF-296DB3116249}" name="Tabela4" displayName="Tabela4" ref="A2:F7" totalsRowShown="0" dataDxfId="142">
  <autoFilter ref="A2:F7" xr:uid="{B264D950-8239-4351-85DF-296DB3116249}"/>
  <tableColumns count="6">
    <tableColumn id="1" xr3:uid="{26F47033-A3C7-4B4A-B5C7-90CE9054DEF7}" name="Nome" dataDxfId="141"/>
    <tableColumn id="2" xr3:uid="{ED211B0B-B3AB-48F8-A8DA-F40942C4CBD3}" name="Idade" dataDxfId="140"/>
    <tableColumn id="3" xr3:uid="{4019D164-839C-46B7-B634-806344453B22}" name="Ensino Médio" dataDxfId="139"/>
    <tableColumn id="4" xr3:uid="{65017E95-F7BC-4536-BBB4-0D6AEFE2AC86}" name="Curso técnico " dataDxfId="138"/>
    <tableColumn id="5" xr3:uid="{59802A8F-2997-4819-9449-C5DB2C60C2E5}" name="Anos de experiência na área" dataDxfId="137"/>
    <tableColumn id="6" xr3:uid="{33E361C0-0EE8-43CA-BB1B-BB4F940A00F7}" name="Situação" dataDxfId="136">
      <calculatedColumnFormula>IF(AND(Tabela4[[#This Row],[Idade]]&gt;=18,Tabela4[[#This Row],[Ensino Médio]]="Sim",Tabela4[[#This Row],[Curso técnico ]]="Sim",Tabela4[[#This Row],[Anos de experiência na área]]&gt;=3)=TRUE,"Apto","Não Apto")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61700C-41BD-4D3D-985A-7EE9C622E90E}" name="TabelaDirty" displayName="TabelaDirty" ref="A1:O324" totalsRowShown="0">
  <autoFilter ref="A1:O324" xr:uid="{5928AF17-FB2D-4CB2-960C-C196C566D479}">
    <filterColumn colId="6">
      <filters>
        <filter val="Lannisporto"/>
      </filters>
    </filterColumn>
  </autoFilter>
  <tableColumns count="15">
    <tableColumn id="1" xr3:uid="{EE50BF66-9FDE-4CDC-8670-121E04967618}" name="status"/>
    <tableColumn id="2" xr3:uid="{A8019C3D-E77E-4593-804C-50D3C6CF631B}" name="nome"/>
    <tableColumn id="3" xr3:uid="{459C4516-A495-4D2F-AA9C-6DDA767AF4F9}" name="cpf"/>
    <tableColumn id="15" xr3:uid="{001C356A-DBD9-487B-BF70-8640F133AC5F}" name="cpfclean" dataDxfId="135">
      <calculatedColumnFormula>TEXT(TabelaDirty[[#This Row],[cpf]],"000\.000\.000\-00")</calculatedColumnFormula>
    </tableColumn>
    <tableColumn id="4" xr3:uid="{B40F3150-03BC-484F-905E-4BB4CCDABC6B}" name="idade"/>
    <tableColumn id="5" xr3:uid="{63A21FCD-ED44-44C2-954E-2A6C67ADA916}" name="data_nascimento"/>
    <tableColumn id="6" xr3:uid="{99A514F9-D46C-4F76-9250-96275C95F9F4}" name="cidade"/>
    <tableColumn id="7" xr3:uid="{9A2CA0CA-BCEE-4674-BEFF-1A65C07372E0}" name="regiao"/>
    <tableColumn id="8" xr3:uid="{97B5B4D1-A720-45F7-B10A-2B705A1F1538}" name="renda_mensal" dataDxfId="134"/>
    <tableColumn id="9" xr3:uid="{73217A4D-D722-4AF4-875D-8655D6D06EB5}" name="credito_tomado"/>
    <tableColumn id="10" xr3:uid="{4F09657F-3E7A-442D-8291-23E37A2C2460}" name="flag_inadimplente"/>
    <tableColumn id="11" xr3:uid="{46F1032B-C08E-4252-B82C-753F7C63925A}" name="qtde_batalhas"/>
    <tableColumn id="12" xr3:uid="{7EE98342-527B-42A0-9301-CB57E722CC90}" name="nivel_risco"/>
    <tableColumn id="13" xr3:uid="{913EA2DE-5D87-499C-ABC5-0F53FF55E01E}" name="flag_inadimplente2"/>
    <tableColumn id="14" xr3:uid="{37D8CD93-EE07-4E6F-99E1-0118CE84EB2A}" name="valor_solici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2B49B0-75F5-4DF0-8908-0A5EDA29033A}" name="TabelaClean14" displayName="TabelaClean14" ref="A1:U392" totalsRowShown="0" headerRowDxfId="110" dataDxfId="109">
  <autoFilter ref="A1:U392" xr:uid="{CC6907AB-6471-476B-A402-E9825DF06F63}"/>
  <sortState xmlns:xlrd2="http://schemas.microsoft.com/office/spreadsheetml/2017/richdata2" ref="A2:U392">
    <sortCondition descending="1" ref="N1:N392"/>
  </sortState>
  <tableColumns count="21">
    <tableColumn id="16" xr3:uid="{19070996-60A5-4F64-A662-DF08072DDD84}" name="status" dataDxfId="108"/>
    <tableColumn id="19" xr3:uid="{77E110A1-D1A9-4E2F-9DDB-2B4208B1721A}" name="nome" dataDxfId="107"/>
    <tableColumn id="3" xr3:uid="{C3904D90-6D2F-4D6E-A53A-3E788AA2A1C1}" name="cpf" dataDxfId="106"/>
    <tableColumn id="4" xr3:uid="{7A26D5FD-0CD9-490B-BB1F-A9114ACBF6CC}" name="idade" dataDxfId="105"/>
    <tableColumn id="5" xr3:uid="{A679909B-F16B-4A11-B8F9-4C3C66205A62}" name="data_nascimento" dataDxfId="104"/>
    <tableColumn id="6" xr3:uid="{679F905B-7971-4F5A-8BB4-183901FC17A6}" name="cidade" dataDxfId="103"/>
    <tableColumn id="7" xr3:uid="{95292820-0456-44E5-8F2F-7D2D853EF855}" name="regiao" dataDxfId="102"/>
    <tableColumn id="17" xr3:uid="{04BC3F8D-36E2-4E0C-82E3-C08579DD0733}" name="CidadeCPF" dataDxfId="101">
      <calculatedColumnFormula>_xlfn.XLOOKUP(TabelaClean14[[#This Row],[cpf]],TabelaDirty[cpfclean],TabelaDirty[cidade])</calculatedColumnFormula>
    </tableColumn>
    <tableColumn id="21" xr3:uid="{6A72EEE6-4136-43F2-BDCA-303BC6C0ABE8}" name="Coluna1" dataDxfId="100">
      <calculatedColumnFormula>_xlfn.XLOOKUP(TabelaClean14[[#This Row],[cpf]],TabelaDirty[cpfclean],TabelaDirty[regiao])</calculatedColumnFormula>
    </tableColumn>
    <tableColumn id="23" xr3:uid="{48392994-8D79-4535-B33A-BF04388BE9FA}" name="RegiaoCPF" dataDxfId="99">
      <calculatedColumnFormula>PROPER(TabelaClean14[[#This Row],[Coluna1]])</calculatedColumnFormula>
    </tableColumn>
    <tableColumn id="20" xr3:uid="{ECD6F26A-1B7A-4738-B555-A34B611DE6B2}" name="CidadeClean" dataDxfId="98">
      <calculatedColumnFormula>_xlfn.TEXTBEFORE(TabelaClean14[[#This Row],[CidadeCPF]]," | ")</calculatedColumnFormula>
    </tableColumn>
    <tableColumn id="18" xr3:uid="{20388842-4629-40F8-9714-FEE47AE17E85}" name="RegiaoClean" dataDxfId="97">
      <calculatedColumnFormula>_xlfn.TEXTAFTER(TabelaClean14[[#This Row],[CidadeCPF]]," | ")</calculatedColumnFormula>
    </tableColumn>
    <tableColumn id="8" xr3:uid="{16AF4D0A-74CD-4743-8564-41DEBCDB71A8}" name="renda_mensal" dataDxfId="96"/>
    <tableColumn id="9" xr3:uid="{3A8C717E-1CEB-42D3-9C6D-E75D10AB5AA1}" name="credito_tomado" dataDxfId="95"/>
    <tableColumn id="10" xr3:uid="{E3C23AAE-3836-485A-9441-9052890F1DB1}" name="flag_inadimplente" dataDxfId="94"/>
    <tableColumn id="2" xr3:uid="{960C179D-E0FD-4238-9DE6-EFDECEC289AA}" name="analise_credito" dataDxfId="93">
      <calculatedColumnFormula>IF(AND(TabelaClean14[[#This Row],[credito_tomado]]&gt;50000, TabelaClean14[[#This Row],[flag_inadimplente]]="Sim"), "Reprovado", IF(OR(ISBLANK(TabelaClean14[[#This Row],[credito_tomado]]), ISBLANK(TabelaClean14[[#This Row],[flag_inadimplente]])), "null", "Aprovado"))</calculatedColumnFormula>
    </tableColumn>
    <tableColumn id="1" xr3:uid="{7F5A3C50-6DA8-4655-8A79-8B2A0196BFF2}" name="qtde_batalhas" dataDxfId="92"/>
    <tableColumn id="12" xr3:uid="{6C621FF6-05E7-4BAF-AB55-0FA65F34C066}" name="nivel_risco" dataDxfId="91">
      <calculatedColumnFormula array="1">_xlfn.IFS(TabelaClean14[[#This Row],[qtde_batalhas]]&lt;=10,"Baixo",TabelaClean14[[#This Row],[qtde_batalhas]]&gt;=26,"Alto",TabelaClean14[[#This Row],[qtde_batalhas]]&lt;26,"Médio")</calculatedColumnFormula>
    </tableColumn>
    <tableColumn id="11" xr3:uid="{46410DC8-9D66-4AB6-BFE1-6601555B7B97}" name="analise_risco" dataDxfId="90">
      <calculatedColumnFormula>IF(AND(TabelaClean14[[#This Row],[nivel_risco]]="Alto",TabelaClean14[[#This Row],[flag_inadimplente]]="Sim"),"Arriscado","Ok")</calculatedColumnFormula>
    </tableColumn>
    <tableColumn id="14" xr3:uid="{83D8897D-0AC6-435F-A799-69392E610C63}" name="valor_solicitado" dataDxfId="89"/>
    <tableColumn id="15" xr3:uid="{F91DADEF-5404-4348-BAAA-C4F9332C707E}" name="liberacao_credito" dataDxfId="88">
      <calculatedColumnFormula>IF(AND(TabelaClean14[[#This Row],[analise_risco]]="Arriscado",TabelaClean14[[#This Row],[analise_credito]]="Reprovado"),0,IF(TabelaClean14[[#This Row],[status]]="Ativo",TabelaClean14[[#This Row],[valor_solicitado]]*1.08,0))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94CF90-B683-4B0F-97D4-92A5AE270C68}" name="Tabela1615" displayName="Tabela1615" ref="BB1:BC392" totalsRowShown="0" dataDxfId="87">
  <autoFilter ref="BB1:BC392" xr:uid="{54E80FDF-71DB-4526-94E6-01FDF426109E}"/>
  <tableColumns count="2">
    <tableColumn id="1" xr3:uid="{8D57CD42-F29C-4725-A449-DE61C6728DE5}" name="renda_mensal" dataDxfId="86"/>
    <tableColumn id="2" xr3:uid="{80165123-06B7-4064-ADD5-EB20122714F9}" name="liberacao_credito" dataDxfId="85">
      <calculatedColumnFormula>IF(AND(TabelaClean14[[#This Row],[analise_risco]]="Arriscado",TabelaClean14[[#This Row],[analise_credito]]="Reprovado"),0,IF(TabelaClean14[[#This Row],[status]]="Ativo",TabelaClean14[[#This Row],[valor_solicitado]]*1.08,0))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6907AB-6471-476B-A402-E9825DF06F63}" name="TabelaClean" displayName="TabelaClean" ref="A1:U392" totalsRowShown="0" headerRowDxfId="61" dataDxfId="60">
  <autoFilter ref="A1:U392" xr:uid="{CC6907AB-6471-476B-A402-E9825DF06F63}"/>
  <sortState xmlns:xlrd2="http://schemas.microsoft.com/office/spreadsheetml/2017/richdata2" ref="A2:U392">
    <sortCondition descending="1" ref="N1:N392"/>
  </sortState>
  <tableColumns count="21">
    <tableColumn id="16" xr3:uid="{BA639D7C-ECE3-48A6-936A-C8B20DD0E28E}" name="status" dataDxfId="59"/>
    <tableColumn id="19" xr3:uid="{D10C5AF0-4A0B-4D1E-8069-D6AA5CC9B397}" name="nome" dataDxfId="58"/>
    <tableColumn id="3" xr3:uid="{08CA0AA8-35CA-4D59-B7F0-B541E937DF0F}" name="cpf" dataDxfId="57"/>
    <tableColumn id="4" xr3:uid="{3941F72A-661D-4AC0-8280-DF715DE3BADD}" name="idade" dataDxfId="56"/>
    <tableColumn id="5" xr3:uid="{EA9FFBB4-95B9-4EE7-8320-A452312B41F9}" name="data_nascimento" dataDxfId="55"/>
    <tableColumn id="6" xr3:uid="{C8D109EF-82FA-4C6D-950B-CA47D0B724D1}" name="cidade" dataDxfId="54"/>
    <tableColumn id="7" xr3:uid="{74E7CF7E-ED10-4499-A2EB-6D4DEEDB614A}" name="regiao" dataDxfId="53"/>
    <tableColumn id="17" xr3:uid="{4C129D19-C78B-4996-9B80-59739BB2D16F}" name="CidadeCPF" dataDxfId="52">
      <calculatedColumnFormula>_xlfn.XLOOKUP(TabelaClean[[#This Row],[cpf]],TabelaDirty[cpfclean],TabelaDirty[cidade])</calculatedColumnFormula>
    </tableColumn>
    <tableColumn id="21" xr3:uid="{E10518E0-E96D-4AB2-A79B-59C58F209517}" name="Coluna1" dataDxfId="51">
      <calculatedColumnFormula>_xlfn.XLOOKUP(TabelaClean[[#This Row],[cpf]],TabelaDirty[cpfclean],TabelaDirty[regiao])</calculatedColumnFormula>
    </tableColumn>
    <tableColumn id="23" xr3:uid="{84BDCBA8-D430-4898-8D55-7237442905E8}" name="RegiaoCPF" dataDxfId="50">
      <calculatedColumnFormula>PROPER(TabelaClean[[#This Row],[Coluna1]])</calculatedColumnFormula>
    </tableColumn>
    <tableColumn id="20" xr3:uid="{5C99BF2A-BC54-460C-9BDD-43B43387A9F2}" name="CidadeClean" dataDxfId="49">
      <calculatedColumnFormula>_xlfn.TEXTBEFORE(TabelaClean[[#This Row],[CidadeCPF]]," | ")</calculatedColumnFormula>
    </tableColumn>
    <tableColumn id="18" xr3:uid="{6C9F6082-3BDC-4EC1-95FD-0131EC5E9086}" name="RegiaoClean" dataDxfId="48">
      <calculatedColumnFormula>_xlfn.TEXTAFTER(TabelaClean[[#This Row],[CidadeCPF]]," | ")</calculatedColumnFormula>
    </tableColumn>
    <tableColumn id="8" xr3:uid="{EA866C51-DC99-490B-AC6E-A202D30F78EC}" name="renda_mensal" dataDxfId="47"/>
    <tableColumn id="9" xr3:uid="{857E6350-598A-4E2F-89F2-027186B8986A}" name="credito_tomado" dataDxfId="46"/>
    <tableColumn id="10" xr3:uid="{4961F81B-FC2B-4E6B-841D-B983863F98B8}" name="flag_inadimplente" dataDxfId="45"/>
    <tableColumn id="2" xr3:uid="{2FA124AE-E8C4-453C-B7D9-D642A236DAB3}" name="analise_credito" dataDxfId="44">
      <calculatedColumnFormula>IF(AND(TabelaClean[[#This Row],[credito_tomado]]&gt;50000, TabelaClean[[#This Row],[flag_inadimplente]]="Sim"), "Reprovado", IF(OR(ISBLANK(TabelaClean[[#This Row],[credito_tomado]]), ISBLANK(TabelaClean[[#This Row],[flag_inadimplente]])), "null", "Aprovado"))</calculatedColumnFormula>
    </tableColumn>
    <tableColumn id="1" xr3:uid="{FABB6C40-F880-4539-B567-43D3EB579859}" name="qtde_batalhas" dataDxfId="43"/>
    <tableColumn id="12" xr3:uid="{E5447849-20F0-4EE4-8459-DC9AB097DE5B}" name="nivel_risco" dataDxfId="42">
      <calculatedColumnFormula array="1">_xlfn.IFS(TabelaClean[[#This Row],[qtde_batalhas]]&lt;=10,"Baixo",TabelaClean[[#This Row],[qtde_batalhas]]&gt;=26,"Alto",TabelaClean[[#This Row],[qtde_batalhas]]&lt;26,"Médio")</calculatedColumnFormula>
    </tableColumn>
    <tableColumn id="11" xr3:uid="{D4C43642-87D2-4933-8363-E191F4CB4980}" name="analise_risco" dataDxfId="41">
      <calculatedColumnFormula>IF(AND(TabelaClean[[#This Row],[nivel_risco]]="Alto",TabelaClean[[#This Row],[flag_inadimplente]]="Sim"),"Arriscado","Ok")</calculatedColumnFormula>
    </tableColumn>
    <tableColumn id="14" xr3:uid="{787B8462-70C5-4D4A-8052-B62182263638}" name="valor_solicitado" dataDxfId="40"/>
    <tableColumn id="15" xr3:uid="{3663EF2D-6D66-4024-94D7-9D59DDDCD29A}" name="liberacao_credito" dataDxfId="39">
      <calculatedColumnFormula>IF(AND(TabelaClean[[#This Row],[analise_risco]]="Arriscado",TabelaClean[[#This Row],[analise_credito]]="Reprovado"),0,IF(TabelaClean[[#This Row],[status]]="Ativo",TabelaClean[[#This Row],[valor_solicitado]]*1.08,0))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4E80FDF-71DB-4526-94E6-01FDF426109E}" name="Tabela16" displayName="Tabela16" ref="BB1:BC392" totalsRowShown="0" dataDxfId="38">
  <autoFilter ref="BB1:BC392" xr:uid="{54E80FDF-71DB-4526-94E6-01FDF426109E}"/>
  <tableColumns count="2">
    <tableColumn id="1" xr3:uid="{07433C24-5B40-4671-AB85-F0F7AC2C3ED9}" name="renda_mensal" dataDxfId="37"/>
    <tableColumn id="2" xr3:uid="{DC59DA49-159D-478D-9858-041AA9865E09}" name="liberacao_credito" dataDxfId="36">
      <calculatedColumnFormula>IF(AND(TabelaClean[[#This Row],[analise_risco]]="Arriscado",TabelaClean[[#This Row],[analise_credito]]="Reprovado"),0,IF(TabelaClean[[#This Row],[status]]="Ativo",TabelaClean[[#This Row],[valor_solicitado]]*1.08,0))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BE0E3E-781A-496B-941C-BED96041E50D}" name="Tabela912" displayName="Tabela912" ref="A2:M36" totalsRowShown="0" headerRowDxfId="35">
  <autoFilter ref="A2:M36" xr:uid="{0FF1576C-1EB8-4328-BD4F-217BE4698647}"/>
  <tableColumns count="13">
    <tableColumn id="1" xr3:uid="{EB340901-93D2-42F6-B1BE-27221E7E86DE}" name="status"/>
    <tableColumn id="2" xr3:uid="{CBD6BC48-008F-4918-AB92-744F12DAF260}" name="nome" dataDxfId="34"/>
    <tableColumn id="3" xr3:uid="{82C88456-272E-447D-B9EA-3FCE29144DDC}" name="cpf"/>
    <tableColumn id="4" xr3:uid="{063D4064-CE90-430B-A8A8-984C0522BD2F}" name="idade" dataDxfId="33"/>
    <tableColumn id="7" xr3:uid="{BD88A861-13C7-428B-9FAA-4A0BDB1EE5C7}" name="data nascimento" dataDxfId="32"/>
    <tableColumn id="8" xr3:uid="{033DBA75-8466-4BC7-9114-20438D38E5A8}" name="cidade" dataDxfId="31"/>
    <tableColumn id="13" xr3:uid="{7A7E0E1F-2529-4E84-B643-209DE0D32AA1}" name="regiao"/>
    <tableColumn id="14" xr3:uid="{63C404A9-3624-4754-B80B-EF2994B135BF}" name="renda mensal" dataDxfId="30"/>
    <tableColumn id="15" xr3:uid="{81C218C7-8DC9-48EB-BF5C-3DCAC1BD2738}" name="credito tomado" dataDxfId="29"/>
    <tableColumn id="18" xr3:uid="{4E2F241B-5306-4E3D-8586-B892DFB3EF8A}" name="flag inadimplencia"/>
    <tableColumn id="5" xr3:uid="{5115FD9E-2D51-48F3-AD1B-7947ADB39E4F}" name="qtde batalhas" dataDxfId="28"/>
    <tableColumn id="19" xr3:uid="{F895ECD7-0268-4DA9-817B-05578F914240}" name="nivel risco"/>
    <tableColumn id="22" xr3:uid="{5D2D6A81-B458-4772-9EC6-D97484895805}" name="valor solicitado" dataDxfId="2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7759066-60EF-437B-ADED-CDE5323458DE}" name="Tabela1013" displayName="Tabela1013" ref="N20:N21" insertRow="1" totalsRowShown="0">
  <autoFilter ref="N20:N21" xr:uid="{3767AEF4-D959-4F23-B004-B8B272A7C350}"/>
  <tableColumns count="1">
    <tableColumn id="1" xr3:uid="{8B25C5F7-B174-4B31-A742-1C63B71269E0}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F1576C-1EB8-4328-BD4F-217BE4698647}" name="Tabela9" displayName="Tabela9" ref="A2:T19" totalsRowShown="0" headerRowDxfId="26">
  <autoFilter ref="A2:T19" xr:uid="{0FF1576C-1EB8-4328-BD4F-217BE4698647}"/>
  <tableColumns count="20">
    <tableColumn id="1" xr3:uid="{D33169CD-6C51-482B-B575-8AE51EEB3056}" name="status"/>
    <tableColumn id="2" xr3:uid="{7049552B-EEA1-4208-A347-23349D7E5BEE}" name="nome" dataDxfId="25"/>
    <tableColumn id="3" xr3:uid="{383B6E6A-2A64-421C-A441-803E29363A61}" name="cpf"/>
    <tableColumn id="4" xr3:uid="{FF96D997-AAA8-446B-B438-4D912CB186D5}" name="idade" dataDxfId="24"/>
    <tableColumn id="7" xr3:uid="{3B893055-CF2D-48CF-B608-2167AF7D7371}" name="data nascimento" dataDxfId="23"/>
    <tableColumn id="8" xr3:uid="{A38024A9-CF67-40C8-8CCC-528C0662A6BA}" name="cidade" dataDxfId="22"/>
    <tableColumn id="9" xr3:uid="{F70C91FF-35BB-44C8-8686-753C1AD247EE}" name="Coluna3" dataDxfId="21"/>
    <tableColumn id="10" xr3:uid="{CE291CF7-3A19-4422-A03E-A3543CE51346}" name="Coluna4" dataDxfId="20"/>
    <tableColumn id="11" xr3:uid="{767CAFF7-86F7-41F7-8FCA-00871D2996AB}" name="Coluna5" dataDxfId="19"/>
    <tableColumn id="12" xr3:uid="{86495690-A226-4C89-8E3D-3C924B68AE41}" name="Coluna6"/>
    <tableColumn id="13" xr3:uid="{BE2AD196-5663-4261-9A1F-07C65483E6C9}" name="regiao"/>
    <tableColumn id="14" xr3:uid="{1FF5AF55-8CD9-4AB2-80F0-1889446D13B6}" name="renda mensal" dataDxfId="18"/>
    <tableColumn id="15" xr3:uid="{8AC920B0-26B4-484E-B9AC-0894B124BC9D}" name="credito tomado" dataDxfId="17"/>
    <tableColumn id="16" xr3:uid="{1C48C8B4-6B72-4D20-8CE1-1D5B760290D7}" name="Coluna7" dataDxfId="16"/>
    <tableColumn id="17" xr3:uid="{E6E73403-3967-4201-81C3-EF27B1CDC675}" name="Coluna8" dataDxfId="15"/>
    <tableColumn id="18" xr3:uid="{697C6BA7-EC6D-488F-B629-2752E18C699F}" name="flag inadimplencia"/>
    <tableColumn id="19" xr3:uid="{B5600E96-4831-4707-95B9-6B5C2C1ECA8E}" name="tde batalhas nivel risco"/>
    <tableColumn id="21" xr3:uid="{ABEAC2A0-32AF-4CEE-BCB8-684CFD8E68DB}" name="Coluna10"/>
    <tableColumn id="22" xr3:uid="{7FF25AE3-32D4-43F3-BE91-00164582719E}" name="valor solicitado"/>
    <tableColumn id="23" xr3:uid="{BC1DB631-E976-43A7-93ED-9CF7D57CFE19}" name="Coluna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67AEF4-D959-4F23-B004-B8B272A7C350}" name="Tabela10" displayName="Tabela10" ref="AC1:AW18" totalsRowShown="0">
  <autoFilter ref="AC1:AW18" xr:uid="{3767AEF4-D959-4F23-B004-B8B272A7C350}"/>
  <tableColumns count="21">
    <tableColumn id="1" xr3:uid="{6E521DB9-A38E-4165-8872-68FAA06156F8}" name="status"/>
    <tableColumn id="2" xr3:uid="{B1B4C642-B836-49C0-939F-F30348649435}" name="nome"/>
    <tableColumn id="3" xr3:uid="{FA9AC5D8-D3F8-4256-9F55-1BE0821D7A9A}" name="cpf"/>
    <tableColumn id="4" xr3:uid="{DFB836CB-10A0-47DC-B128-F5806B2C9605}" name="idade" dataDxfId="14"/>
    <tableColumn id="5" xr3:uid="{A213CFEC-5896-4C80-84CD-BC5CAE7A39CE}" name="Coluna1" dataDxfId="13"/>
    <tableColumn id="6" xr3:uid="{0BA660EC-A52A-4F11-BB2F-36293122A620}" name="data nascimento" dataDxfId="12"/>
    <tableColumn id="7" xr3:uid="{C288B2A3-8664-4553-AA14-2E8BAFD0CAB3}" name="Coluna2" dataDxfId="11"/>
    <tableColumn id="8" xr3:uid="{081EC8D0-706B-4881-8A42-1C939C32A73B}" name="cidade" dataDxfId="10"/>
    <tableColumn id="9" xr3:uid="{3EC2EF91-8549-49D5-80C4-A5222385AD5C}" name="Coluna3" dataDxfId="9"/>
    <tableColumn id="10" xr3:uid="{37134225-7905-4EB0-8CE3-B3B4DA186E62}" name="Coluna4" dataDxfId="8"/>
    <tableColumn id="11" xr3:uid="{B40C5538-DCC9-4C2A-9848-3EE9180E83D8}" name="Coluna5" dataDxfId="7"/>
    <tableColumn id="12" xr3:uid="{E7403509-B885-418D-AB18-E033E5066A16}" name="re lao"/>
    <tableColumn id="13" xr3:uid="{0152CDCC-EE9D-4915-B417-EC1E01316670}" name="renda mensal"/>
    <tableColumn id="14" xr3:uid="{8FC3F707-9B0F-492C-AFAA-F55383FC85FC}" name="credito tomado" dataDxfId="6"/>
    <tableColumn id="15" xr3:uid="{0723D182-ABD4-4495-81F8-90E478AE2657}" name="fla" dataDxfId="5"/>
    <tableColumn id="16" xr3:uid="{78A8E447-2A8A-40BF-BAB7-E62C5059A157}" name="inadim"/>
    <tableColumn id="17" xr3:uid="{CC41A88D-C472-4FCB-8818-42D52B34B10C}" name="Coluna6"/>
    <tableColumn id="18" xr3:uid="{BAE03BA2-327E-411F-9CBF-E59249B30E64}" name="tde batalhas nivel risco fla"/>
    <tableColumn id="19" xr3:uid="{650C2475-C8E4-44FC-ADDC-289B12811E3E}" name="Coluna7"/>
    <tableColumn id="20" xr3:uid="{2F7DEA00-2F68-4B25-B0A4-0AE25E46CDC4}" name="valor solicitado" dataDxfId="4"/>
    <tableColumn id="21" xr3:uid="{A4EAD819-7B96-4E5C-852C-87D086B30860}" name="Coluna8" dataDxfId="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3905F5-9727-4E64-AE86-028A20CC1722}" name="Tabela5" displayName="Tabela5" ref="A1:D33" totalsRowShown="0">
  <autoFilter ref="A1:D33" xr:uid="{A03905F5-9727-4E64-AE86-028A20CC1722}"/>
  <tableColumns count="4">
    <tableColumn id="1" xr3:uid="{40F0551D-3F00-4BB9-B2F7-81F11BD959AA}" name="Coluna"/>
    <tableColumn id="5" xr3:uid="{09456D90-ECFA-4B54-8D9B-92C8B831F6B6}" name="Problema encontrado "/>
    <tableColumn id="3" xr3:uid="{F52B5756-33EE-444A-B67E-851872C4F105}" name=" O que foi feito "/>
    <tableColumn id="4" xr3:uid="{A549B3A4-C443-4E84-ADC9-633D0E6211C3}" name=" Por quê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28AF17-FB2D-4CB2-960C-C196C566D479}" name="Tabela7" displayName="Tabela7" ref="A1:O369" totalsRowShown="0">
  <autoFilter ref="A1:O369" xr:uid="{5928AF17-FB2D-4CB2-960C-C196C566D479}"/>
  <tableColumns count="15">
    <tableColumn id="1" xr3:uid="{C0783082-6457-48F0-A738-0ED7C00CC2FE}" name="status"/>
    <tableColumn id="2" xr3:uid="{973D5055-451E-4AF0-894D-05A374A98B25}" name="nome"/>
    <tableColumn id="3" xr3:uid="{079FE5F4-31C6-437E-ACFA-1BD5E5391A6D}" name="cpf"/>
    <tableColumn id="16" xr3:uid="{91F5095C-5ED5-4DCC-BCCB-C3719586CE4A}" name="Coluna1" dataDxfId="1">
      <calculatedColumnFormula>TEXT(Tabela7[[#This Row],[cpf]],"000\.000\.000\-00")</calculatedColumnFormula>
    </tableColumn>
    <tableColumn id="4" xr3:uid="{AA27E96C-ADCD-4033-848F-9C922E3971AD}" name="idade"/>
    <tableColumn id="5" xr3:uid="{D7FE1E01-1667-4999-82D3-CA4BF19FDA54}" name="data_nascimento"/>
    <tableColumn id="6" xr3:uid="{2166DE91-5BD3-471F-B4BC-BBEFE99E8DAB}" name="cidade"/>
    <tableColumn id="7" xr3:uid="{01A4A37F-56A0-418C-A74A-A2BC964EE023}" name="regiao"/>
    <tableColumn id="8" xr3:uid="{AD724B5B-C5CD-49BF-9D99-A7C3C4DAA8BD}" name="renda_mensal" dataDxfId="0"/>
    <tableColumn id="9" xr3:uid="{5AE22864-4E85-4FB3-B894-70C6FBA71ED8}" name="credito_tomado"/>
    <tableColumn id="10" xr3:uid="{C6679611-2AE9-4022-93BB-159D0DC2D0C0}" name="flag_inadimplente"/>
    <tableColumn id="11" xr3:uid="{68EA64A1-40AA-47D7-9F71-CEE5D79A7E86}" name="qtde_batalhas"/>
    <tableColumn id="12" xr3:uid="{D8A12FED-DFE8-47E8-90A4-24915E8A18DA}" name="nivel_risco"/>
    <tableColumn id="13" xr3:uid="{D5244409-71C9-48AE-89E9-7A14684DCEC8}" name="flag_inadimplente2"/>
    <tableColumn id="14" xr3:uid="{44386E4C-A1B2-4077-BD9C-A58927756AB8}" name="valor_solici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09T20:25:07.33" personId="{88C1102A-B8CE-4D04-BF21-20E935C8F8F1}" id="{303C438A-58DD-4BD3-BDBA-E84072383CD1}" done="1">
    <text>falta passar img pra ca</text>
  </threadedComment>
  <threadedComment ref="O1" dT="2026-09-09T20:25:54.47" personId="{88C1102A-B8CE-4D04-BF21-20E935C8F8F1}" id="{EE3A492C-3499-4362-8A88-1F88914D3E6A}" done="1">
    <text>fazer dps</text>
  </threadedComment>
  <threadedComment ref="U1" dT="2026-09-09T20:23:27.76" personId="{88C1102A-B8CE-4D04-BF21-20E935C8F8F1}" id="{C505A413-D331-4300-B66A-5A37460D029C}" done="1">
    <text>corrigir libs</text>
  </threadedComment>
  <threadedComment ref="U1" dT="2026-09-10T02:05:49.09" personId="{88C1102A-B8CE-4D04-BF21-20E935C8F8F1}" id="{F1087F32-22B8-458A-A83E-FA6C40A18A2A}" parentId="{C505A413-D331-4300-B66A-5A37460D029C}">
    <text>precisa completar analise de credito</text>
  </threadedComment>
  <threadedComment ref="W1" dT="2026-09-09T20:23:27.76" personId="{88C1102A-B8CE-4D04-BF21-20E935C8F8F1}" id="{72BD0A1C-CBED-4096-A761-EA51D5AB06B3}">
    <text>corrigir libs</text>
  </threadedComment>
  <threadedComment ref="W1" dT="2026-09-10T02:05:49.09" personId="{88C1102A-B8CE-4D04-BF21-20E935C8F8F1}" id="{0E5B2388-1D53-4584-BB91-10C76D6A84B6}" parentId="{72BD0A1C-CBED-4096-A761-EA51D5AB06B3}">
    <text>precisa completar analise de credito</text>
  </threadedComment>
  <threadedComment ref="BC1" dT="2026-09-09T20:23:27.76" personId="{88C1102A-B8CE-4D04-BF21-20E935C8F8F1}" id="{0963381F-5C60-470C-B387-49E61185FC20}" done="1">
    <text>corrigir libs</text>
  </threadedComment>
  <threadedComment ref="BC1" dT="2026-09-10T02:05:49.09" personId="{88C1102A-B8CE-4D04-BF21-20E935C8F8F1}" id="{7606E201-61E2-4FA1-8B6B-71E984707039}" parentId="{0963381F-5C60-470C-B387-49E61185FC20}">
    <text>precisa completar analise de credito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9-09T20:25:07.33" personId="{88C1102A-B8CE-4D04-BF21-20E935C8F8F1}" id="{6CB9907E-B3DC-4428-B7D9-A7C4A0A8C168}" done="1">
    <text>falta passar img pra ca</text>
  </threadedComment>
  <threadedComment ref="O1" dT="2026-09-09T20:25:54.47" personId="{88C1102A-B8CE-4D04-BF21-20E935C8F8F1}" id="{3FEF933E-9AF0-4F28-B725-EC695A1F702C}" done="1">
    <text>fazer dps</text>
  </threadedComment>
  <threadedComment ref="U1" dT="2026-09-09T20:23:27.76" personId="{88C1102A-B8CE-4D04-BF21-20E935C8F8F1}" id="{0EAF9612-CBF8-49D5-9525-F288BEA5A70C}" done="1">
    <text>corrigir libs</text>
  </threadedComment>
  <threadedComment ref="U1" dT="2026-09-10T02:05:49.09" personId="{88C1102A-B8CE-4D04-BF21-20E935C8F8F1}" id="{35D55AEB-D751-4FDB-BA99-0EE4F8308606}" parentId="{0EAF9612-CBF8-49D5-9525-F288BEA5A70C}">
    <text>precisa completar analise de credito</text>
  </threadedComment>
  <threadedComment ref="W1" dT="2026-09-09T20:23:27.76" personId="{88C1102A-B8CE-4D04-BF21-20E935C8F8F1}" id="{EA5A2395-09DF-4C59-B7E9-44C6374B9A30}">
    <text>corrigir libs</text>
  </threadedComment>
  <threadedComment ref="W1" dT="2026-09-10T02:05:49.09" personId="{88C1102A-B8CE-4D04-BF21-20E935C8F8F1}" id="{F6EA6FF6-308F-4B95-BEE6-E5E2FA45AAEB}" parentId="{EA5A2395-09DF-4C59-B7E9-44C6374B9A30}">
    <text>precisa completar analise de credito</text>
  </threadedComment>
  <threadedComment ref="BC1" dT="2026-09-09T20:23:27.76" personId="{88C1102A-B8CE-4D04-BF21-20E935C8F8F1}" id="{197C47F5-7C74-4BB9-A561-D7B3CCF21652}" done="1">
    <text>corrigir libs</text>
  </threadedComment>
  <threadedComment ref="BC1" dT="2026-09-10T02:05:49.09" personId="{88C1102A-B8CE-4D04-BF21-20E935C8F8F1}" id="{963AF4D4-BBBD-4C7C-9123-EBCCABF84E35}" parentId="{197C47F5-7C74-4BB9-A561-D7B3CCF21652}">
    <text>precisa completar analise de credito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9-08T20:38:50.27" personId="{88C1102A-B8CE-4D04-BF21-20E935C8F8F1}" id="{5058E6BC-7775-46FD-90DF-0635F77BB3FB}">
    <text>TROCAR POR COL B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637695-C80C-436F-AA4B-269C3AF1BC05}">
  <we:reference id="WA200005502" version="1.0.0.13" store="pt-BR" storeType="omex"/>
  <we:alternateReferences>
    <we:reference id="WA200005502" version="1.0.0.13" store="pt-BR" storeType="omex"/>
  </we:alternateReferences>
  <we:properties>
    <we:property name="docId" value="&quot;JIXG9bd2sU4eKqnCzzYc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E5" sqref="E5"/>
    </sheetView>
  </sheetViews>
  <sheetFormatPr defaultRowHeight="15"/>
  <cols>
    <col min="1" max="1" width="22.5703125" bestFit="1" customWidth="1"/>
    <col min="2" max="2" width="17.42578125" bestFit="1" customWidth="1"/>
    <col min="3" max="4" width="18.5703125" bestFit="1" customWidth="1"/>
    <col min="5" max="5" width="29" bestFit="1" customWidth="1"/>
    <col min="6" max="6" width="13.5703125" bestFit="1" customWidth="1"/>
    <col min="7" max="7" width="15" bestFit="1" customWidth="1"/>
  </cols>
  <sheetData>
    <row r="1" spans="1:10">
      <c r="A1" s="86" t="s">
        <v>0</v>
      </c>
      <c r="B1" s="86"/>
      <c r="C1" s="86"/>
      <c r="D1" s="86"/>
      <c r="E1" s="86"/>
      <c r="F1" s="2"/>
      <c r="G1" s="2"/>
      <c r="H1" s="2"/>
      <c r="I1" s="2"/>
      <c r="J1" s="2"/>
    </row>
    <row r="2" spans="1:10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2"/>
      <c r="G2" s="2"/>
      <c r="H2" s="2"/>
      <c r="I2" s="2"/>
      <c r="J2" s="2"/>
    </row>
    <row r="3" spans="1:10">
      <c r="A3" s="2">
        <v>2</v>
      </c>
      <c r="B3" s="2" t="s">
        <v>6</v>
      </c>
      <c r="C3" s="2" t="s">
        <v>7</v>
      </c>
      <c r="D3" s="3">
        <v>29.79</v>
      </c>
      <c r="E3" s="2">
        <v>20</v>
      </c>
      <c r="F3" s="2"/>
      <c r="G3" s="2"/>
      <c r="H3" s="2"/>
      <c r="I3" s="2"/>
      <c r="J3" s="2"/>
    </row>
    <row r="4" spans="1:10">
      <c r="A4" s="2">
        <v>1</v>
      </c>
      <c r="B4" s="2" t="s">
        <v>6</v>
      </c>
      <c r="C4" s="2" t="s">
        <v>7</v>
      </c>
      <c r="D4" s="3">
        <v>3.89</v>
      </c>
      <c r="E4" s="2">
        <v>10</v>
      </c>
      <c r="F4" s="2"/>
      <c r="G4" s="2"/>
      <c r="H4" s="2"/>
      <c r="I4" s="2"/>
      <c r="J4" s="2"/>
    </row>
    <row r="5" spans="1:10">
      <c r="A5" s="2">
        <v>3</v>
      </c>
      <c r="B5" s="2" t="s">
        <v>8</v>
      </c>
      <c r="C5" s="2" t="s">
        <v>9</v>
      </c>
      <c r="D5" s="3">
        <v>3.38</v>
      </c>
      <c r="E5" s="2">
        <v>30</v>
      </c>
      <c r="F5" s="2"/>
      <c r="G5" s="2"/>
      <c r="H5" s="2"/>
      <c r="I5" s="2"/>
      <c r="J5" s="2"/>
    </row>
    <row r="6" spans="1:10">
      <c r="A6" s="2">
        <v>4</v>
      </c>
      <c r="B6" s="2" t="s">
        <v>10</v>
      </c>
      <c r="C6" s="2" t="s">
        <v>11</v>
      </c>
      <c r="D6" s="3">
        <v>13.43</v>
      </c>
      <c r="E6" s="2">
        <v>40</v>
      </c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G8" s="2"/>
      <c r="H8" s="2"/>
      <c r="I8" s="2"/>
      <c r="J8" s="2"/>
    </row>
    <row r="9" spans="1:10">
      <c r="G9" s="2"/>
      <c r="H9" s="2"/>
      <c r="I9" s="2"/>
      <c r="J9" s="2"/>
    </row>
    <row r="10" spans="1:10">
      <c r="G10" s="2"/>
      <c r="H10" s="2"/>
      <c r="I10" s="2"/>
      <c r="J10" s="2"/>
    </row>
    <row r="11" spans="1:10">
      <c r="G11" s="2"/>
      <c r="H11" s="2"/>
      <c r="I11" s="2"/>
      <c r="J11" s="2"/>
    </row>
    <row r="12" spans="1:10">
      <c r="G12" s="2"/>
      <c r="H12" s="2"/>
      <c r="I12" s="2"/>
      <c r="J12" s="2"/>
    </row>
    <row r="13" spans="1:10">
      <c r="G13" s="2"/>
      <c r="H13" s="2"/>
      <c r="I13" s="2"/>
      <c r="J13" s="2"/>
    </row>
    <row r="14" spans="1:10">
      <c r="G14" s="2"/>
      <c r="H14" s="2"/>
      <c r="I14" s="2"/>
      <c r="J14" s="2"/>
    </row>
    <row r="15" spans="1:10"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J17" s="2"/>
    </row>
    <row r="18" spans="1:10">
      <c r="J18" s="2"/>
    </row>
    <row r="19" spans="1:10">
      <c r="J19" s="2"/>
    </row>
    <row r="20" spans="1:10">
      <c r="J20" s="2"/>
    </row>
    <row r="21" spans="1:10">
      <c r="J21" s="2"/>
    </row>
    <row r="22" spans="1:10"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J24" s="2"/>
    </row>
    <row r="25" spans="1:10">
      <c r="J25" s="2"/>
    </row>
    <row r="26" spans="1:10">
      <c r="J26" s="2"/>
    </row>
    <row r="27" spans="1:10">
      <c r="J27" s="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7759-1F1C-445D-B6C8-DB37CEA28D2F}">
  <dimension ref="A1:F8"/>
  <sheetViews>
    <sheetView workbookViewId="0">
      <selection activeCell="D5" sqref="D5"/>
    </sheetView>
  </sheetViews>
  <sheetFormatPr defaultRowHeight="15"/>
  <cols>
    <col min="1" max="1" width="28.140625" bestFit="1" customWidth="1"/>
    <col min="2" max="2" width="14.140625" bestFit="1" customWidth="1"/>
    <col min="3" max="3" width="12.42578125" bestFit="1" customWidth="1"/>
    <col min="4" max="4" width="16.7109375" bestFit="1" customWidth="1"/>
  </cols>
  <sheetData>
    <row r="1" spans="1:6">
      <c r="A1" s="87" t="s">
        <v>12</v>
      </c>
      <c r="B1" s="87"/>
      <c r="C1" s="87"/>
      <c r="D1" s="87"/>
      <c r="E1" s="2"/>
      <c r="F1" s="2"/>
    </row>
    <row r="2" spans="1:6">
      <c r="A2" s="2" t="s">
        <v>13</v>
      </c>
      <c r="B2" s="2" t="s">
        <v>14</v>
      </c>
      <c r="C2" s="2" t="s">
        <v>15</v>
      </c>
      <c r="D2" s="2" t="s">
        <v>16</v>
      </c>
      <c r="E2" s="2"/>
      <c r="F2" s="2"/>
    </row>
    <row r="3" spans="1:6">
      <c r="A3" s="2" t="s">
        <v>17</v>
      </c>
      <c r="B3" s="2" t="s">
        <v>18</v>
      </c>
      <c r="C3" s="2">
        <v>8</v>
      </c>
      <c r="D3" s="2" t="str" cm="1">
        <f t="array" ref="D3">_xlfn.IFS(Tabela2[[#This Row],[VENDAS]]&gt;5,"Ótimo",Tabela2[[#This Row],[VENDAS]]&lt;5,"Péssimo",Tabela2[[#This Row],[VENDAS]]=5,"Regular")</f>
        <v>Ótimo</v>
      </c>
      <c r="E3" s="2"/>
      <c r="F3" s="4"/>
    </row>
    <row r="4" spans="1:6">
      <c r="A4" s="2" t="s">
        <v>19</v>
      </c>
      <c r="B4" s="2" t="s">
        <v>20</v>
      </c>
      <c r="C4" s="2">
        <v>5</v>
      </c>
      <c r="D4" s="2" t="str" cm="1">
        <f t="array" ref="D4">_xlfn.IFS(Tabela2[[#This Row],[VENDAS]]&gt;5,"Ótimo",Tabela2[[#This Row],[VENDAS]]&lt;5,"Péssimo",Tabela2[[#This Row],[VENDAS]]=5,"Regular")</f>
        <v>Regular</v>
      </c>
      <c r="E4" s="2"/>
      <c r="F4" s="2"/>
    </row>
    <row r="5" spans="1:6">
      <c r="A5" s="2" t="s">
        <v>21</v>
      </c>
      <c r="B5" s="2" t="s">
        <v>22</v>
      </c>
      <c r="C5" s="2">
        <v>9</v>
      </c>
      <c r="D5" s="2" t="str" cm="1">
        <f t="array" ref="D5">_xlfn.IFS(Tabela2[[#This Row],[VENDAS]]&gt;5,"Ótimo",Tabela2[[#This Row],[VENDAS]]&lt;5,"Péssimo",Tabela2[[#This Row],[VENDAS]]=5,"Regular")</f>
        <v>Ótimo</v>
      </c>
      <c r="E5" s="2"/>
      <c r="F5" s="2"/>
    </row>
    <row r="6" spans="1:6">
      <c r="A6" s="2" t="s">
        <v>23</v>
      </c>
      <c r="B6" s="2" t="s">
        <v>24</v>
      </c>
      <c r="C6" s="2">
        <v>4</v>
      </c>
      <c r="D6" s="2" t="str" cm="1">
        <f t="array" ref="D6">_xlfn.IFS(Tabela2[[#This Row],[VENDAS]]&gt;5,"Ótimo",Tabela2[[#This Row],[VENDAS]]&lt;5,"Péssimo",Tabela2[[#This Row],[VENDAS]]=5,"Regular")</f>
        <v>Péssimo</v>
      </c>
      <c r="E6" s="2"/>
      <c r="F6" s="2"/>
    </row>
    <row r="7" spans="1:6">
      <c r="A7" s="2" t="s">
        <v>25</v>
      </c>
      <c r="B7" s="2" t="s">
        <v>26</v>
      </c>
      <c r="C7" s="2">
        <v>6</v>
      </c>
      <c r="D7" s="2" t="str" cm="1">
        <f t="array" ref="D7">_xlfn.IFS(Tabela2[[#This Row],[VENDAS]]&gt;5,"Ótimo",Tabela2[[#This Row],[VENDAS]]&lt;5,"Péssimo",Tabela2[[#This Row],[VENDAS]]=5,"Regular")</f>
        <v>Ótimo</v>
      </c>
      <c r="E7" s="2"/>
      <c r="F7" s="2"/>
    </row>
    <row r="8" spans="1:6">
      <c r="A8" s="2" t="s">
        <v>27</v>
      </c>
      <c r="B8" s="2" t="s">
        <v>28</v>
      </c>
      <c r="C8" s="2">
        <v>3</v>
      </c>
      <c r="D8" s="2" t="str" cm="1">
        <f t="array" ref="D8">_xlfn.IFS(Tabela2[[#This Row],[VENDAS]]&gt;5,"Ótimo",Tabela2[[#This Row],[VENDAS]]&lt;5,"Péssimo",Tabela2[[#This Row],[VENDAS]]=5,"Regular")</f>
        <v>Péssimo</v>
      </c>
      <c r="E8" s="2"/>
      <c r="F8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4066-EC82-4F4C-9218-BF4248A4C646}">
  <dimension ref="A1:I7"/>
  <sheetViews>
    <sheetView workbookViewId="0">
      <selection activeCell="F3" sqref="F3"/>
    </sheetView>
  </sheetViews>
  <sheetFormatPr defaultRowHeight="15"/>
  <cols>
    <col min="1" max="1" width="6.5703125" bestFit="1" customWidth="1"/>
    <col min="2" max="2" width="19.28515625" bestFit="1" customWidth="1"/>
    <col min="3" max="5" width="20.42578125" bestFit="1" customWidth="1"/>
    <col min="6" max="6" width="14.5703125" bestFit="1" customWidth="1"/>
    <col min="7" max="7" width="13.85546875" bestFit="1" customWidth="1"/>
    <col min="9" max="9" width="11.5703125" bestFit="1" customWidth="1"/>
  </cols>
  <sheetData>
    <row r="1" spans="1:9">
      <c r="A1" s="88" t="s">
        <v>29</v>
      </c>
      <c r="B1" s="88"/>
      <c r="C1" s="88"/>
      <c r="D1" s="88"/>
      <c r="E1" s="88"/>
      <c r="F1" s="88"/>
      <c r="G1" s="88"/>
      <c r="H1" s="2"/>
      <c r="I1" s="2"/>
    </row>
    <row r="2" spans="1:9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/>
      <c r="I2" s="4"/>
    </row>
    <row r="3" spans="1:9">
      <c r="A3" s="2">
        <v>2001</v>
      </c>
      <c r="B3" s="2" t="s">
        <v>37</v>
      </c>
      <c r="C3" s="2">
        <v>5</v>
      </c>
      <c r="D3" s="2">
        <v>6</v>
      </c>
      <c r="E3" s="2">
        <v>8</v>
      </c>
      <c r="F3" s="31">
        <f>AVERAGE(Tabela3[[#This Row],[Nota 1 Trimestre]:[Nota 3 Trimestre]])</f>
        <v>6.333333333333333</v>
      </c>
      <c r="G3" s="2" t="str">
        <f>IF(Tabela3[[#This Row],[Média final]]&gt;6,"Aprovado","Reprovado")</f>
        <v>Aprovado</v>
      </c>
      <c r="H3" s="2"/>
      <c r="I3" s="2"/>
    </row>
    <row r="4" spans="1:9">
      <c r="A4" s="2">
        <v>2002</v>
      </c>
      <c r="B4" s="2" t="s">
        <v>38</v>
      </c>
      <c r="C4" s="2">
        <v>10</v>
      </c>
      <c r="D4" s="2">
        <v>7</v>
      </c>
      <c r="E4" s="2">
        <v>8</v>
      </c>
      <c r="F4" s="31">
        <f>AVERAGE(Tabela3[[#This Row],[Nota 1 Trimestre]:[Nota 3 Trimestre]])</f>
        <v>8.3333333333333339</v>
      </c>
      <c r="G4" s="2" t="str">
        <f>IF(Tabela3[[#This Row],[Média final]]&gt;6,"Aprovado","Reprovado")</f>
        <v>Aprovado</v>
      </c>
      <c r="H4" s="2"/>
      <c r="I4" s="2"/>
    </row>
    <row r="5" spans="1:9">
      <c r="A5" s="2">
        <v>2003</v>
      </c>
      <c r="B5" s="2" t="s">
        <v>39</v>
      </c>
      <c r="C5" s="2">
        <v>5</v>
      </c>
      <c r="D5" s="2">
        <v>2</v>
      </c>
      <c r="E5" s="2">
        <v>8</v>
      </c>
      <c r="F5" s="31">
        <f>AVERAGE(Tabela3[[#This Row],[Nota 1 Trimestre]:[Nota 3 Trimestre]])</f>
        <v>5</v>
      </c>
      <c r="G5" s="2" t="str">
        <f>IF(Tabela3[[#This Row],[Média final]]&gt;6,"Aprovado","Reprovado")</f>
        <v>Reprovado</v>
      </c>
      <c r="H5" s="2"/>
      <c r="I5" s="2"/>
    </row>
    <row r="6" spans="1:9">
      <c r="A6" s="2">
        <v>2004</v>
      </c>
      <c r="B6" s="2" t="s">
        <v>40</v>
      </c>
      <c r="C6" s="2">
        <v>2</v>
      </c>
      <c r="D6" s="2">
        <v>1</v>
      </c>
      <c r="E6" s="2">
        <v>3</v>
      </c>
      <c r="F6" s="31">
        <f>AVERAGE(Tabela3[[#This Row],[Nota 1 Trimestre]:[Nota 3 Trimestre]])</f>
        <v>2</v>
      </c>
      <c r="G6" s="2" t="str">
        <f>IF(Tabela3[[#This Row],[Média final]]&gt;6,"Aprovado","Reprovado")</f>
        <v>Reprovado</v>
      </c>
      <c r="H6" s="2"/>
      <c r="I6" s="2"/>
    </row>
    <row r="7" spans="1:9">
      <c r="A7" s="2">
        <v>2005</v>
      </c>
      <c r="B7" s="2" t="s">
        <v>41</v>
      </c>
      <c r="C7" s="2">
        <v>4</v>
      </c>
      <c r="D7" s="2">
        <v>7</v>
      </c>
      <c r="E7" s="2">
        <v>8</v>
      </c>
      <c r="F7" s="31">
        <f>AVERAGE(Tabela3[[#This Row],[Nota 1 Trimestre]:[Nota 3 Trimestre]])</f>
        <v>6.333333333333333</v>
      </c>
      <c r="G7" s="2" t="str">
        <f>IF(Tabela3[[#This Row],[Média final]]&gt;6,"Aprovado","Reprovado")</f>
        <v>Aprovado</v>
      </c>
    </row>
  </sheetData>
  <mergeCells count="1">
    <mergeCell ref="A1:G1"/>
  </mergeCells>
  <conditionalFormatting sqref="C3:F7">
    <cfRule type="cellIs" dxfId="157" priority="3" operator="greaterThanOrEqual">
      <formula>6</formula>
    </cfRule>
    <cfRule type="cellIs" dxfId="156" priority="4" operator="lessThan">
      <formula>6</formula>
    </cfRule>
  </conditionalFormatting>
  <conditionalFormatting sqref="G3:G7">
    <cfRule type="cellIs" dxfId="155" priority="1" operator="equal">
      <formula>"Reprovado"</formula>
    </cfRule>
    <cfRule type="cellIs" dxfId="154" priority="2" operator="equal">
      <formula>"Aprovado"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098C-39A0-448B-BBCE-0D91DE62EA2F}">
  <dimension ref="A1:I13"/>
  <sheetViews>
    <sheetView workbookViewId="0">
      <selection activeCell="E5" sqref="E5"/>
    </sheetView>
  </sheetViews>
  <sheetFormatPr defaultRowHeight="15"/>
  <cols>
    <col min="1" max="1" width="22.5703125" bestFit="1" customWidth="1"/>
    <col min="2" max="2" width="8.42578125" bestFit="1" customWidth="1"/>
    <col min="3" max="3" width="15.7109375" bestFit="1" customWidth="1"/>
    <col min="4" max="4" width="16" bestFit="1" customWidth="1"/>
    <col min="5" max="5" width="29" bestFit="1" customWidth="1"/>
    <col min="6" max="6" width="11" bestFit="1" customWidth="1"/>
  </cols>
  <sheetData>
    <row r="1" spans="1:9">
      <c r="A1" s="89" t="s">
        <v>42</v>
      </c>
      <c r="B1" s="89"/>
      <c r="C1" s="89"/>
      <c r="D1" s="89"/>
      <c r="E1" s="89"/>
      <c r="F1" s="89"/>
      <c r="G1" s="2"/>
      <c r="H1" s="2"/>
      <c r="I1" s="2"/>
    </row>
    <row r="2" spans="1:9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s="2"/>
      <c r="H2" s="2"/>
      <c r="I2" s="4"/>
    </row>
    <row r="3" spans="1:9">
      <c r="A3" s="2" t="s">
        <v>49</v>
      </c>
      <c r="B3" s="5">
        <v>17</v>
      </c>
      <c r="C3" s="5" t="s">
        <v>50</v>
      </c>
      <c r="D3" s="5" t="s">
        <v>51</v>
      </c>
      <c r="E3" s="5">
        <v>1</v>
      </c>
      <c r="F3" s="5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  <c r="G3" s="2"/>
      <c r="H3" s="2"/>
      <c r="I3" s="2"/>
    </row>
    <row r="4" spans="1:9">
      <c r="A4" s="2" t="s">
        <v>52</v>
      </c>
      <c r="B4" s="5">
        <v>24</v>
      </c>
      <c r="C4" s="5" t="s">
        <v>51</v>
      </c>
      <c r="D4" s="5" t="s">
        <v>51</v>
      </c>
      <c r="E4" s="5">
        <v>3</v>
      </c>
      <c r="F4" s="5" t="str">
        <f>IF(AND(Tabela4[[#This Row],[Idade]]&gt;=18,Tabela4[[#This Row],[Ensino Médio]]="Sim",Tabela4[[#This Row],[Curso técnico ]]="Sim",Tabela4[[#This Row],[Anos de experiência na área]]&gt;=3)=TRUE,"Apto","Não Apto")</f>
        <v>Apto</v>
      </c>
      <c r="G4" s="2"/>
      <c r="H4" s="2"/>
      <c r="I4" s="2"/>
    </row>
    <row r="5" spans="1:9">
      <c r="A5" s="2" t="s">
        <v>53</v>
      </c>
      <c r="B5" s="5">
        <v>28</v>
      </c>
      <c r="C5" s="5" t="s">
        <v>51</v>
      </c>
      <c r="D5" s="5" t="s">
        <v>51</v>
      </c>
      <c r="E5" s="5">
        <v>4</v>
      </c>
      <c r="F5" s="5" t="str">
        <f>IF(AND(Tabela4[[#This Row],[Idade]]&gt;=18,Tabela4[[#This Row],[Ensino Médio]]="Sim",Tabela4[[#This Row],[Curso técnico ]]="Sim",Tabela4[[#This Row],[Anos de experiência na área]]&gt;=3)=TRUE,"Apto","Não Apto")</f>
        <v>Apto</v>
      </c>
    </row>
    <row r="6" spans="1:9">
      <c r="A6" s="2" t="s">
        <v>54</v>
      </c>
      <c r="B6" s="5">
        <v>18</v>
      </c>
      <c r="C6" s="5" t="s">
        <v>51</v>
      </c>
      <c r="D6" s="5" t="s">
        <v>50</v>
      </c>
      <c r="E6" s="5">
        <v>1</v>
      </c>
      <c r="F6" s="5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</row>
    <row r="7" spans="1:9">
      <c r="A7" t="s">
        <v>55</v>
      </c>
      <c r="B7" s="1">
        <v>22</v>
      </c>
      <c r="C7" s="5" t="s">
        <v>51</v>
      </c>
      <c r="D7" s="1" t="s">
        <v>51</v>
      </c>
      <c r="E7" s="1">
        <v>2</v>
      </c>
      <c r="F7" s="1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</row>
    <row r="9" spans="1:9" ht="15" customHeight="1">
      <c r="A9" s="7" t="s">
        <v>56</v>
      </c>
      <c r="B9" s="7"/>
      <c r="C9" s="7"/>
    </row>
    <row r="10" spans="1:9" ht="30.75">
      <c r="A10" s="8" t="s">
        <v>57</v>
      </c>
      <c r="B10" s="8"/>
      <c r="C10" s="8"/>
    </row>
    <row r="11" spans="1:9">
      <c r="A11" s="6" t="s">
        <v>58</v>
      </c>
      <c r="B11" s="6"/>
      <c r="C11" s="6"/>
    </row>
    <row r="12" spans="1:9">
      <c r="A12" s="9" t="s">
        <v>59</v>
      </c>
      <c r="B12" s="9"/>
      <c r="C12" s="9"/>
    </row>
    <row r="13" spans="1:9">
      <c r="A13" s="6" t="s">
        <v>60</v>
      </c>
      <c r="B13" s="6"/>
      <c r="C13" s="6"/>
    </row>
  </sheetData>
  <mergeCells count="1">
    <mergeCell ref="A1:F1"/>
  </mergeCells>
  <conditionalFormatting sqref="F3:F7">
    <cfRule type="cellIs" dxfId="144" priority="1" operator="equal">
      <formula>"Apto"</formula>
    </cfRule>
    <cfRule type="cellIs" dxfId="143" priority="2" operator="equal">
      <formula>"Não Apto"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A6C6-8237-4128-A887-AC0DEAD60BCE}">
  <dimension ref="A1:O324"/>
  <sheetViews>
    <sheetView workbookViewId="0">
      <selection activeCell="D36" sqref="D36"/>
    </sheetView>
  </sheetViews>
  <sheetFormatPr defaultRowHeight="15"/>
  <cols>
    <col min="1" max="1" width="9.42578125" bestFit="1" customWidth="1"/>
    <col min="2" max="2" width="24.5703125" bestFit="1" customWidth="1"/>
    <col min="3" max="3" width="15" hidden="1" customWidth="1"/>
    <col min="4" max="4" width="15" customWidth="1"/>
    <col min="5" max="5" width="8.42578125" bestFit="1" customWidth="1"/>
    <col min="6" max="6" width="19" bestFit="1" customWidth="1"/>
    <col min="7" max="7" width="31.85546875" bestFit="1" customWidth="1"/>
    <col min="8" max="8" width="23.42578125" bestFit="1" customWidth="1"/>
    <col min="9" max="9" width="16.28515625" bestFit="1" customWidth="1"/>
    <col min="10" max="10" width="18" bestFit="1" customWidth="1"/>
    <col min="11" max="11" width="20" bestFit="1" customWidth="1"/>
    <col min="12" max="12" width="16.42578125" bestFit="1" customWidth="1"/>
    <col min="13" max="13" width="13" bestFit="1" customWidth="1"/>
    <col min="14" max="14" width="21" bestFit="1" customWidth="1"/>
    <col min="15" max="15" width="17.7109375" bestFit="1" customWidth="1"/>
  </cols>
  <sheetData>
    <row r="1" spans="1:1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</row>
    <row r="2" spans="1:15" hidden="1">
      <c r="A2" t="s">
        <v>76</v>
      </c>
      <c r="B2" t="s">
        <v>77</v>
      </c>
      <c r="C2" t="s">
        <v>78</v>
      </c>
      <c r="D2" t="str">
        <f>TEXT(TabelaDirty[[#This Row],[cpf]],"000\.000\.000\-00")</f>
        <v>000.000.336-00</v>
      </c>
      <c r="E2">
        <v>32</v>
      </c>
      <c r="F2" s="11">
        <v>34347</v>
      </c>
      <c r="G2" t="s">
        <v>79</v>
      </c>
      <c r="H2" t="s">
        <v>80</v>
      </c>
      <c r="I2">
        <v>15600</v>
      </c>
      <c r="J2">
        <v>0</v>
      </c>
      <c r="K2" t="s">
        <v>51</v>
      </c>
      <c r="L2">
        <v>34</v>
      </c>
      <c r="N2" t="s">
        <v>51</v>
      </c>
      <c r="O2">
        <v>16000</v>
      </c>
    </row>
    <row r="3" spans="1:15" hidden="1">
      <c r="A3" t="s">
        <v>81</v>
      </c>
      <c r="B3" t="s">
        <v>82</v>
      </c>
      <c r="C3">
        <v>36100</v>
      </c>
      <c r="D3" t="str">
        <f>TEXT(TabelaDirty[[#This Row],[cpf]],"000\.000\.000\-00")</f>
        <v>000.000.361-00</v>
      </c>
      <c r="E3">
        <v>24</v>
      </c>
      <c r="F3" s="11">
        <v>37313</v>
      </c>
      <c r="G3" t="s">
        <v>83</v>
      </c>
      <c r="H3" t="s">
        <v>84</v>
      </c>
      <c r="I3" t="s">
        <v>85</v>
      </c>
      <c r="J3" t="s">
        <v>86</v>
      </c>
      <c r="K3" t="s">
        <v>51</v>
      </c>
      <c r="L3">
        <v>33</v>
      </c>
      <c r="N3" t="s">
        <v>51</v>
      </c>
      <c r="O3">
        <v>26000</v>
      </c>
    </row>
    <row r="4" spans="1:15" hidden="1">
      <c r="A4" t="s">
        <v>76</v>
      </c>
      <c r="B4" t="s">
        <v>87</v>
      </c>
      <c r="C4" t="s">
        <v>88</v>
      </c>
      <c r="D4" t="str">
        <f>TEXT(TabelaDirty[[#This Row],[cpf]],"000\.000\.000\-00")</f>
        <v>000.000.363-00</v>
      </c>
      <c r="E4">
        <v>33</v>
      </c>
      <c r="F4">
        <v>34144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>
        <v>22</v>
      </c>
      <c r="N4" t="s">
        <v>93</v>
      </c>
      <c r="O4">
        <v>51500</v>
      </c>
    </row>
    <row r="5" spans="1:15" hidden="1">
      <c r="A5" t="s">
        <v>76</v>
      </c>
      <c r="B5" t="s">
        <v>94</v>
      </c>
      <c r="C5" t="s">
        <v>95</v>
      </c>
      <c r="D5" t="str">
        <f>TEXT(TabelaDirty[[#This Row],[cpf]],"000\.000\.000\-00")</f>
        <v>000.000.210-00</v>
      </c>
      <c r="E5">
        <v>63</v>
      </c>
      <c r="F5">
        <v>23156</v>
      </c>
      <c r="G5" t="s">
        <v>96</v>
      </c>
      <c r="I5" t="s">
        <v>97</v>
      </c>
      <c r="J5">
        <v>8500</v>
      </c>
      <c r="K5" t="s">
        <v>93</v>
      </c>
      <c r="L5">
        <v>39</v>
      </c>
      <c r="N5" t="s">
        <v>93</v>
      </c>
      <c r="O5">
        <v>36500</v>
      </c>
    </row>
    <row r="6" spans="1:15" hidden="1">
      <c r="A6" t="s">
        <v>76</v>
      </c>
      <c r="B6" t="s">
        <v>98</v>
      </c>
      <c r="C6" t="s">
        <v>99</v>
      </c>
      <c r="D6" t="str">
        <f>TEXT(TabelaDirty[[#This Row],[cpf]],"000\.000\.000\-00")</f>
        <v>000.000.321-00</v>
      </c>
      <c r="E6">
        <v>32</v>
      </c>
      <c r="F6">
        <v>34299</v>
      </c>
      <c r="G6" t="s">
        <v>79</v>
      </c>
      <c r="H6" t="s">
        <v>100</v>
      </c>
      <c r="I6" s="12">
        <v>30000</v>
      </c>
      <c r="K6" t="s">
        <v>50</v>
      </c>
      <c r="L6">
        <v>5</v>
      </c>
      <c r="N6" t="s">
        <v>50</v>
      </c>
      <c r="O6">
        <v>65000</v>
      </c>
    </row>
    <row r="7" spans="1:15">
      <c r="A7" t="s">
        <v>76</v>
      </c>
      <c r="B7" t="s">
        <v>101</v>
      </c>
      <c r="C7" t="s">
        <v>102</v>
      </c>
      <c r="D7" t="str">
        <f>TEXT(TabelaDirty[[#This Row],[cpf]],"000\.000\.000\-00")</f>
        <v>000.000.191-00</v>
      </c>
      <c r="E7">
        <v>48</v>
      </c>
      <c r="F7">
        <v>28647</v>
      </c>
      <c r="G7" t="s">
        <v>103</v>
      </c>
      <c r="I7">
        <v>13200</v>
      </c>
      <c r="J7" t="s">
        <v>104</v>
      </c>
      <c r="K7" t="s">
        <v>50</v>
      </c>
      <c r="L7">
        <v>1</v>
      </c>
      <c r="N7" t="s">
        <v>50</v>
      </c>
      <c r="O7">
        <v>32500</v>
      </c>
    </row>
    <row r="8" spans="1:15">
      <c r="A8" t="s">
        <v>105</v>
      </c>
      <c r="B8" t="s">
        <v>106</v>
      </c>
      <c r="C8" t="s">
        <v>107</v>
      </c>
      <c r="D8" t="str">
        <f>TEXT(TabelaDirty[[#This Row],[cpf]],"000\.000\.000\-00")</f>
        <v>000.000.076-00</v>
      </c>
      <c r="E8">
        <v>28</v>
      </c>
      <c r="F8" s="11">
        <v>35830</v>
      </c>
      <c r="G8" t="s">
        <v>103</v>
      </c>
      <c r="H8" t="s">
        <v>108</v>
      </c>
      <c r="I8" t="s">
        <v>109</v>
      </c>
      <c r="J8" s="12">
        <v>19000</v>
      </c>
      <c r="K8" t="s">
        <v>51</v>
      </c>
      <c r="L8">
        <v>4</v>
      </c>
      <c r="N8" t="s">
        <v>51</v>
      </c>
      <c r="O8">
        <v>32500</v>
      </c>
    </row>
    <row r="9" spans="1:15" hidden="1">
      <c r="A9" t="s">
        <v>81</v>
      </c>
      <c r="B9" t="s">
        <v>110</v>
      </c>
      <c r="C9" t="s">
        <v>111</v>
      </c>
      <c r="D9" t="str">
        <f>TEXT(TabelaDirty[[#This Row],[cpf]],"000\.000\.000\-00")</f>
        <v>000.000.059-00</v>
      </c>
      <c r="E9">
        <v>42</v>
      </c>
      <c r="F9" s="11">
        <v>30810</v>
      </c>
      <c r="G9" t="s">
        <v>112</v>
      </c>
      <c r="H9" t="s">
        <v>113</v>
      </c>
      <c r="I9" t="s">
        <v>114</v>
      </c>
      <c r="J9" t="s">
        <v>115</v>
      </c>
      <c r="K9" t="s">
        <v>50</v>
      </c>
      <c r="L9">
        <v>19</v>
      </c>
      <c r="N9" t="s">
        <v>50</v>
      </c>
      <c r="O9">
        <v>63500</v>
      </c>
    </row>
    <row r="10" spans="1:15" hidden="1">
      <c r="A10" t="s">
        <v>76</v>
      </c>
      <c r="B10" t="s">
        <v>116</v>
      </c>
      <c r="C10" t="s">
        <v>117</v>
      </c>
      <c r="D10" t="str">
        <f>TEXT(TabelaDirty[[#This Row],[cpf]],"000\.000\.000\-00")</f>
        <v>000.000.274-00</v>
      </c>
      <c r="E10">
        <v>34</v>
      </c>
      <c r="F10" s="11">
        <v>33624</v>
      </c>
      <c r="G10" t="s">
        <v>112</v>
      </c>
      <c r="H10" t="s">
        <v>118</v>
      </c>
      <c r="I10">
        <v>8000</v>
      </c>
      <c r="J10" s="13">
        <v>14500</v>
      </c>
      <c r="K10" t="s">
        <v>51</v>
      </c>
      <c r="L10">
        <v>9</v>
      </c>
      <c r="N10" t="s">
        <v>51</v>
      </c>
      <c r="O10">
        <v>17500</v>
      </c>
    </row>
    <row r="11" spans="1:15" hidden="1">
      <c r="A11" t="s">
        <v>81</v>
      </c>
      <c r="B11" t="s">
        <v>119</v>
      </c>
      <c r="C11" t="s">
        <v>120</v>
      </c>
      <c r="D11" t="str">
        <f>TEXT(TabelaDirty[[#This Row],[cpf]],"000\.000\.000\-00")</f>
        <v>000.000.024-00</v>
      </c>
      <c r="E11">
        <v>61</v>
      </c>
      <c r="F11" s="11">
        <v>23667</v>
      </c>
      <c r="G11" t="s">
        <v>121</v>
      </c>
      <c r="H11" t="s">
        <v>122</v>
      </c>
      <c r="I11" t="s">
        <v>123</v>
      </c>
      <c r="J11">
        <v>44500</v>
      </c>
      <c r="K11" t="s">
        <v>51</v>
      </c>
      <c r="L11">
        <v>32</v>
      </c>
      <c r="N11" t="s">
        <v>51</v>
      </c>
      <c r="O11">
        <v>2000</v>
      </c>
    </row>
    <row r="12" spans="1:15" hidden="1">
      <c r="A12" t="s">
        <v>76</v>
      </c>
      <c r="B12" t="s">
        <v>124</v>
      </c>
      <c r="C12" t="s">
        <v>125</v>
      </c>
      <c r="D12" t="str">
        <f>TEXT(TabelaDirty[[#This Row],[cpf]],"000\.000\.000\-00")</f>
        <v>000.000.039-00</v>
      </c>
      <c r="E12">
        <v>33</v>
      </c>
      <c r="F12">
        <v>34147</v>
      </c>
      <c r="G12" t="s">
        <v>121</v>
      </c>
      <c r="H12" t="s">
        <v>122</v>
      </c>
      <c r="I12">
        <v>28700</v>
      </c>
      <c r="J12">
        <v>12500</v>
      </c>
      <c r="K12" t="s">
        <v>50</v>
      </c>
      <c r="L12">
        <v>41</v>
      </c>
      <c r="N12" t="s">
        <v>50</v>
      </c>
      <c r="O12">
        <v>99500</v>
      </c>
    </row>
    <row r="13" spans="1:15" hidden="1">
      <c r="A13" t="s">
        <v>76</v>
      </c>
      <c r="B13" t="s">
        <v>126</v>
      </c>
      <c r="C13">
        <v>35800</v>
      </c>
      <c r="D13" t="str">
        <f>TEXT(TabelaDirty[[#This Row],[cpf]],"000\.000\.000\-00")</f>
        <v>000.000.358-00</v>
      </c>
      <c r="E13">
        <v>70</v>
      </c>
      <c r="F13">
        <v>20515</v>
      </c>
      <c r="G13" t="s">
        <v>127</v>
      </c>
      <c r="H13" t="s">
        <v>122</v>
      </c>
      <c r="I13" t="s">
        <v>128</v>
      </c>
      <c r="J13">
        <v>62000</v>
      </c>
      <c r="K13" t="s">
        <v>51</v>
      </c>
      <c r="L13">
        <v>45</v>
      </c>
      <c r="N13" t="s">
        <v>51</v>
      </c>
      <c r="O13">
        <v>35500</v>
      </c>
    </row>
    <row r="14" spans="1:15" hidden="1">
      <c r="A14" t="s">
        <v>76</v>
      </c>
      <c r="B14" t="s">
        <v>129</v>
      </c>
      <c r="C14" t="s">
        <v>130</v>
      </c>
      <c r="D14" t="str">
        <f>TEXT(TabelaDirty[[#This Row],[cpf]],"000\.000\.000\-00")</f>
        <v>000.000.365-00</v>
      </c>
      <c r="E14">
        <v>54</v>
      </c>
      <c r="F14" s="11">
        <v>26382</v>
      </c>
      <c r="G14" t="s">
        <v>83</v>
      </c>
      <c r="H14" t="s">
        <v>84</v>
      </c>
      <c r="I14">
        <v>22100</v>
      </c>
      <c r="J14">
        <v>37000</v>
      </c>
      <c r="K14" t="s">
        <v>50</v>
      </c>
      <c r="L14">
        <v>34</v>
      </c>
      <c r="N14" t="s">
        <v>50</v>
      </c>
      <c r="O14">
        <v>87000</v>
      </c>
    </row>
    <row r="15" spans="1:15" hidden="1">
      <c r="A15" t="s">
        <v>76</v>
      </c>
      <c r="B15" t="s">
        <v>131</v>
      </c>
      <c r="C15">
        <v>8600</v>
      </c>
      <c r="D15" t="str">
        <f>TEXT(TabelaDirty[[#This Row],[cpf]],"000\.000\.000\-00")</f>
        <v>000.000.086-00</v>
      </c>
      <c r="F15">
        <v>32260</v>
      </c>
      <c r="G15" t="s">
        <v>112</v>
      </c>
      <c r="H15" t="s">
        <v>132</v>
      </c>
      <c r="I15" t="s">
        <v>133</v>
      </c>
      <c r="J15">
        <v>0</v>
      </c>
      <c r="K15" t="s">
        <v>51</v>
      </c>
      <c r="L15">
        <v>31</v>
      </c>
      <c r="N15" t="s">
        <v>51</v>
      </c>
      <c r="O15">
        <v>47500</v>
      </c>
    </row>
    <row r="16" spans="1:15" hidden="1">
      <c r="A16" t="s">
        <v>81</v>
      </c>
      <c r="B16" t="s">
        <v>134</v>
      </c>
      <c r="C16">
        <v>200</v>
      </c>
      <c r="D16" t="str">
        <f>TEXT(TabelaDirty[[#This Row],[cpf]],"000\.000\.000\-00")</f>
        <v>000.000.002-00</v>
      </c>
      <c r="E16">
        <v>55</v>
      </c>
      <c r="F16">
        <v>25892</v>
      </c>
      <c r="G16" t="s">
        <v>83</v>
      </c>
      <c r="H16" t="s">
        <v>135</v>
      </c>
      <c r="I16">
        <v>5300</v>
      </c>
      <c r="J16" s="13">
        <v>6500</v>
      </c>
      <c r="K16" t="s">
        <v>50</v>
      </c>
      <c r="L16">
        <v>42</v>
      </c>
      <c r="N16" t="s">
        <v>50</v>
      </c>
      <c r="O16">
        <v>96000</v>
      </c>
    </row>
    <row r="17" spans="1:15" hidden="1">
      <c r="A17" t="s">
        <v>81</v>
      </c>
      <c r="B17" t="s">
        <v>136</v>
      </c>
      <c r="C17" t="s">
        <v>137</v>
      </c>
      <c r="D17" t="str">
        <f>TEXT(TabelaDirty[[#This Row],[cpf]],"000\.000\.000\-00")</f>
        <v>000.000.162-00</v>
      </c>
      <c r="E17">
        <v>47</v>
      </c>
      <c r="F17">
        <v>29064</v>
      </c>
      <c r="G17" t="s">
        <v>138</v>
      </c>
      <c r="H17" t="s">
        <v>139</v>
      </c>
      <c r="I17">
        <v>13300</v>
      </c>
      <c r="J17">
        <v>1000</v>
      </c>
      <c r="K17" t="s">
        <v>51</v>
      </c>
      <c r="L17">
        <v>24</v>
      </c>
      <c r="N17" t="s">
        <v>51</v>
      </c>
      <c r="O17">
        <v>61500</v>
      </c>
    </row>
    <row r="18" spans="1:15" hidden="1">
      <c r="A18" t="s">
        <v>81</v>
      </c>
      <c r="B18" t="s">
        <v>140</v>
      </c>
      <c r="C18">
        <v>31800</v>
      </c>
      <c r="D18" t="str">
        <f>TEXT(TabelaDirty[[#This Row],[cpf]],"000\.000\.000\-00")</f>
        <v>000.000.318-00</v>
      </c>
      <c r="E18">
        <v>43</v>
      </c>
      <c r="F18">
        <v>30391</v>
      </c>
      <c r="G18" t="s">
        <v>141</v>
      </c>
      <c r="H18" t="s">
        <v>142</v>
      </c>
      <c r="I18">
        <v>7100</v>
      </c>
      <c r="J18" t="s">
        <v>143</v>
      </c>
      <c r="K18" t="s">
        <v>50</v>
      </c>
      <c r="L18">
        <v>23</v>
      </c>
      <c r="N18" t="s">
        <v>50</v>
      </c>
      <c r="O18">
        <v>67000</v>
      </c>
    </row>
    <row r="19" spans="1:15" hidden="1">
      <c r="A19" t="s">
        <v>76</v>
      </c>
      <c r="B19" t="s">
        <v>144</v>
      </c>
      <c r="C19" t="s">
        <v>145</v>
      </c>
      <c r="D19" t="str">
        <f>TEXT(TabelaDirty[[#This Row],[cpf]],"000\.000\.000\-00")</f>
        <v>000.000.090-00</v>
      </c>
      <c r="E19">
        <v>32</v>
      </c>
      <c r="F19" s="11">
        <v>34457</v>
      </c>
      <c r="G19" t="s">
        <v>138</v>
      </c>
      <c r="H19" t="s">
        <v>146</v>
      </c>
      <c r="I19" s="13">
        <v>21300</v>
      </c>
      <c r="J19" s="12">
        <v>48000</v>
      </c>
      <c r="K19" t="s">
        <v>50</v>
      </c>
      <c r="L19">
        <v>11</v>
      </c>
      <c r="N19" t="s">
        <v>50</v>
      </c>
      <c r="O19">
        <v>35000</v>
      </c>
    </row>
    <row r="20" spans="1:15" hidden="1">
      <c r="A20" t="s">
        <v>76</v>
      </c>
      <c r="B20" t="s">
        <v>147</v>
      </c>
      <c r="C20">
        <v>22300</v>
      </c>
      <c r="D20" t="str">
        <f>TEXT(TabelaDirty[[#This Row],[cpf]],"000\.000\.000\-00")</f>
        <v>000.000.223-00</v>
      </c>
      <c r="E20">
        <v>25</v>
      </c>
      <c r="F20" s="11">
        <v>36831</v>
      </c>
      <c r="G20" t="s">
        <v>148</v>
      </c>
      <c r="H20" t="s">
        <v>149</v>
      </c>
      <c r="I20" s="13">
        <v>9400</v>
      </c>
      <c r="J20">
        <v>51500</v>
      </c>
      <c r="K20" t="s">
        <v>50</v>
      </c>
      <c r="L20">
        <v>14</v>
      </c>
      <c r="N20" t="s">
        <v>50</v>
      </c>
      <c r="O20">
        <v>29500</v>
      </c>
    </row>
    <row r="21" spans="1:15" hidden="1">
      <c r="A21" t="s">
        <v>76</v>
      </c>
      <c r="B21" t="s">
        <v>150</v>
      </c>
      <c r="C21" t="s">
        <v>151</v>
      </c>
      <c r="D21" t="str">
        <f>TEXT(TabelaDirty[[#This Row],[cpf]],"000\.000\.000\-00")</f>
        <v>000.000.125-00</v>
      </c>
      <c r="E21">
        <v>23</v>
      </c>
      <c r="F21">
        <v>37627</v>
      </c>
      <c r="G21" t="s">
        <v>138</v>
      </c>
      <c r="H21" t="s">
        <v>146</v>
      </c>
      <c r="J21">
        <v>69000</v>
      </c>
      <c r="K21" t="s">
        <v>50</v>
      </c>
      <c r="L21">
        <v>20</v>
      </c>
      <c r="N21" t="s">
        <v>50</v>
      </c>
      <c r="O21">
        <v>69000</v>
      </c>
    </row>
    <row r="22" spans="1:15" hidden="1">
      <c r="A22" t="s">
        <v>81</v>
      </c>
      <c r="B22" t="s">
        <v>152</v>
      </c>
      <c r="C22" t="s">
        <v>153</v>
      </c>
      <c r="D22" t="str">
        <f>TEXT(TabelaDirty[[#This Row],[cpf]],"000\.000\.000\-00")</f>
        <v>000.000.231-00</v>
      </c>
      <c r="E22">
        <v>53</v>
      </c>
      <c r="F22" s="11">
        <v>26629</v>
      </c>
      <c r="G22" t="s">
        <v>154</v>
      </c>
      <c r="H22" t="s">
        <v>155</v>
      </c>
      <c r="I22" s="13">
        <v>16500</v>
      </c>
      <c r="J22" s="12">
        <v>4000</v>
      </c>
      <c r="K22" t="s">
        <v>50</v>
      </c>
      <c r="L22">
        <v>14</v>
      </c>
      <c r="N22" t="s">
        <v>50</v>
      </c>
      <c r="O22">
        <v>36000</v>
      </c>
    </row>
    <row r="23" spans="1:15" hidden="1">
      <c r="A23" t="s">
        <v>76</v>
      </c>
      <c r="B23" t="s">
        <v>156</v>
      </c>
      <c r="C23" t="s">
        <v>157</v>
      </c>
      <c r="D23" t="str">
        <f>TEXT(TabelaDirty[[#This Row],[cpf]],"000\.000\.000\-00")</f>
        <v>000.000.184-00</v>
      </c>
      <c r="F23">
        <v>21378</v>
      </c>
      <c r="G23" t="s">
        <v>121</v>
      </c>
      <c r="I23">
        <v>14300</v>
      </c>
      <c r="J23">
        <v>32500</v>
      </c>
      <c r="K23" t="s">
        <v>51</v>
      </c>
      <c r="L23">
        <v>15</v>
      </c>
      <c r="N23" t="s">
        <v>51</v>
      </c>
      <c r="O23">
        <v>8000</v>
      </c>
    </row>
    <row r="24" spans="1:15" hidden="1">
      <c r="A24" t="s">
        <v>81</v>
      </c>
      <c r="B24" t="s">
        <v>158</v>
      </c>
      <c r="C24" t="s">
        <v>159</v>
      </c>
      <c r="D24" t="str">
        <f>TEXT(TabelaDirty[[#This Row],[cpf]],"000\.000\.000\-00")</f>
        <v>000.000.119-00</v>
      </c>
      <c r="E24">
        <v>33</v>
      </c>
      <c r="F24" s="11">
        <v>34082</v>
      </c>
      <c r="G24" t="s">
        <v>121</v>
      </c>
      <c r="H24" t="s">
        <v>122</v>
      </c>
      <c r="I24">
        <v>23600</v>
      </c>
      <c r="J24" s="13">
        <v>75500</v>
      </c>
      <c r="K24" t="s">
        <v>50</v>
      </c>
      <c r="L24">
        <v>16</v>
      </c>
      <c r="N24" t="s">
        <v>50</v>
      </c>
      <c r="O24">
        <v>88000</v>
      </c>
    </row>
    <row r="25" spans="1:15" hidden="1">
      <c r="A25" t="s">
        <v>76</v>
      </c>
      <c r="B25" t="s">
        <v>160</v>
      </c>
      <c r="C25" t="s">
        <v>161</v>
      </c>
      <c r="D25" t="str">
        <f>TEXT(TabelaDirty[[#This Row],[cpf]],"000\.000\.000\-00")</f>
        <v>000.000.362-00</v>
      </c>
      <c r="E25">
        <v>68</v>
      </c>
      <c r="F25">
        <v>21145</v>
      </c>
      <c r="G25" t="s">
        <v>162</v>
      </c>
      <c r="H25" t="s">
        <v>142</v>
      </c>
      <c r="I25">
        <v>29000</v>
      </c>
      <c r="J25">
        <v>67500</v>
      </c>
      <c r="K25" t="s">
        <v>50</v>
      </c>
      <c r="L25">
        <v>25</v>
      </c>
      <c r="N25" t="s">
        <v>50</v>
      </c>
      <c r="O25">
        <v>18000</v>
      </c>
    </row>
    <row r="26" spans="1:15" hidden="1">
      <c r="A26" t="s">
        <v>81</v>
      </c>
      <c r="B26" t="s">
        <v>163</v>
      </c>
      <c r="C26" t="s">
        <v>164</v>
      </c>
      <c r="D26" t="str">
        <f>TEXT(TabelaDirty[[#This Row],[cpf]],"000\.000\.000\-00")</f>
        <v>000.000.346-00</v>
      </c>
      <c r="E26">
        <v>62</v>
      </c>
      <c r="F26" s="11">
        <v>23259</v>
      </c>
      <c r="G26" t="s">
        <v>89</v>
      </c>
      <c r="H26" t="s">
        <v>165</v>
      </c>
      <c r="J26">
        <v>0</v>
      </c>
      <c r="K26" t="s">
        <v>51</v>
      </c>
      <c r="L26" t="s">
        <v>166</v>
      </c>
      <c r="N26" t="s">
        <v>51</v>
      </c>
      <c r="O26">
        <v>12000</v>
      </c>
    </row>
    <row r="27" spans="1:15" hidden="1">
      <c r="A27" t="s">
        <v>76</v>
      </c>
      <c r="B27" t="s">
        <v>167</v>
      </c>
      <c r="C27" t="s">
        <v>168</v>
      </c>
      <c r="D27" t="str">
        <f>TEXT(TabelaDirty[[#This Row],[cpf]],"000\.000\.000\-00")</f>
        <v>000.000.287-00</v>
      </c>
      <c r="E27">
        <v>58</v>
      </c>
      <c r="F27">
        <v>24911</v>
      </c>
      <c r="G27" t="s">
        <v>169</v>
      </c>
      <c r="H27" t="s">
        <v>139</v>
      </c>
      <c r="I27" s="12">
        <v>25400</v>
      </c>
      <c r="J27">
        <v>70500</v>
      </c>
      <c r="K27" t="s">
        <v>51</v>
      </c>
      <c r="L27">
        <v>11</v>
      </c>
      <c r="N27" t="s">
        <v>51</v>
      </c>
      <c r="O27">
        <v>47000</v>
      </c>
    </row>
    <row r="28" spans="1:15" hidden="1">
      <c r="A28" t="s">
        <v>76</v>
      </c>
      <c r="B28" t="s">
        <v>170</v>
      </c>
      <c r="C28" t="s">
        <v>171</v>
      </c>
      <c r="D28" t="str">
        <f>TEXT(TabelaDirty[[#This Row],[cpf]],"000\.000\.000\-00")</f>
        <v>000.000.124-00</v>
      </c>
      <c r="E28">
        <v>29</v>
      </c>
      <c r="F28">
        <v>35323</v>
      </c>
      <c r="G28" t="s">
        <v>172</v>
      </c>
      <c r="H28" t="s">
        <v>149</v>
      </c>
      <c r="I28">
        <v>21200</v>
      </c>
      <c r="J28">
        <v>75000</v>
      </c>
      <c r="K28" t="s">
        <v>50</v>
      </c>
      <c r="L28">
        <v>6</v>
      </c>
      <c r="N28" t="s">
        <v>50</v>
      </c>
      <c r="O28">
        <v>63500</v>
      </c>
    </row>
    <row r="29" spans="1:15" hidden="1">
      <c r="A29" t="s">
        <v>173</v>
      </c>
      <c r="B29" t="s">
        <v>174</v>
      </c>
      <c r="C29" t="s">
        <v>175</v>
      </c>
      <c r="D29" t="str">
        <f>TEXT(TabelaDirty[[#This Row],[cpf]],"000\.000\.000\-00")</f>
        <v>000.000.226-00</v>
      </c>
      <c r="E29">
        <v>38</v>
      </c>
      <c r="F29">
        <v>32166</v>
      </c>
      <c r="G29" t="s">
        <v>141</v>
      </c>
      <c r="H29" t="s">
        <v>176</v>
      </c>
      <c r="I29" t="s">
        <v>128</v>
      </c>
      <c r="J29">
        <v>39000</v>
      </c>
      <c r="K29" t="s">
        <v>50</v>
      </c>
      <c r="L29">
        <v>25</v>
      </c>
      <c r="N29" t="s">
        <v>50</v>
      </c>
      <c r="O29">
        <v>88500</v>
      </c>
    </row>
    <row r="30" spans="1:15" hidden="1">
      <c r="A30" t="s">
        <v>81</v>
      </c>
      <c r="B30" t="s">
        <v>177</v>
      </c>
      <c r="C30" t="s">
        <v>178</v>
      </c>
      <c r="D30" t="str">
        <f>TEXT(TabelaDirty[[#This Row],[cpf]],"000\.000\.000\-00")</f>
        <v>000.000.306-00</v>
      </c>
      <c r="E30">
        <v>68</v>
      </c>
      <c r="F30">
        <v>21293</v>
      </c>
      <c r="G30" t="s">
        <v>112</v>
      </c>
      <c r="H30" t="s">
        <v>132</v>
      </c>
      <c r="I30">
        <v>3800</v>
      </c>
      <c r="J30">
        <v>70000</v>
      </c>
      <c r="K30" t="s">
        <v>51</v>
      </c>
      <c r="L30">
        <v>34</v>
      </c>
      <c r="N30" t="s">
        <v>51</v>
      </c>
      <c r="O30">
        <v>7500</v>
      </c>
    </row>
    <row r="31" spans="1:15" hidden="1">
      <c r="A31" t="s">
        <v>76</v>
      </c>
      <c r="B31" t="s">
        <v>179</v>
      </c>
      <c r="C31" t="s">
        <v>180</v>
      </c>
      <c r="D31" t="str">
        <f>TEXT(TabelaDirty[[#This Row],[cpf]],"000\.000\.000\-00")</f>
        <v>000.000.247-00</v>
      </c>
      <c r="E31">
        <v>19</v>
      </c>
      <c r="F31" s="11">
        <v>39220</v>
      </c>
      <c r="G31" t="s">
        <v>148</v>
      </c>
      <c r="H31" t="s">
        <v>149</v>
      </c>
      <c r="I31">
        <v>18000</v>
      </c>
      <c r="J31">
        <v>50500</v>
      </c>
      <c r="K31" t="s">
        <v>181</v>
      </c>
      <c r="L31">
        <v>11</v>
      </c>
      <c r="N31" t="s">
        <v>181</v>
      </c>
      <c r="O31">
        <v>26000</v>
      </c>
    </row>
    <row r="32" spans="1:15" hidden="1">
      <c r="A32" t="s">
        <v>76</v>
      </c>
      <c r="B32" t="s">
        <v>182</v>
      </c>
      <c r="C32">
        <v>15400</v>
      </c>
      <c r="D32" t="str">
        <f>TEXT(TabelaDirty[[#This Row],[cpf]],"000\.000\.000\-00")</f>
        <v>000.000.154-00</v>
      </c>
      <c r="E32">
        <v>42</v>
      </c>
      <c r="F32">
        <v>30642</v>
      </c>
      <c r="G32" t="s">
        <v>183</v>
      </c>
      <c r="H32" t="s">
        <v>183</v>
      </c>
      <c r="I32" t="s">
        <v>184</v>
      </c>
      <c r="J32">
        <v>19500</v>
      </c>
      <c r="K32" t="s">
        <v>50</v>
      </c>
      <c r="L32">
        <v>42</v>
      </c>
      <c r="N32" t="s">
        <v>50</v>
      </c>
      <c r="O32">
        <v>89500</v>
      </c>
    </row>
    <row r="33" spans="1:15" hidden="1">
      <c r="A33" t="s">
        <v>76</v>
      </c>
      <c r="B33" t="s">
        <v>185</v>
      </c>
      <c r="C33" t="s">
        <v>186</v>
      </c>
      <c r="D33" t="str">
        <f>TEXT(TabelaDirty[[#This Row],[cpf]],"000\.000\.000\-00")</f>
        <v>000.000.249-00</v>
      </c>
      <c r="E33">
        <v>27</v>
      </c>
      <c r="F33">
        <v>36319</v>
      </c>
      <c r="G33" t="s">
        <v>83</v>
      </c>
      <c r="H33" t="s">
        <v>187</v>
      </c>
      <c r="I33">
        <v>28800</v>
      </c>
      <c r="J33" s="13">
        <v>78500</v>
      </c>
      <c r="K33" t="s">
        <v>50</v>
      </c>
      <c r="L33">
        <v>2</v>
      </c>
      <c r="N33" t="s">
        <v>50</v>
      </c>
      <c r="O33">
        <v>53000</v>
      </c>
    </row>
    <row r="34" spans="1:15" hidden="1">
      <c r="A34" t="s">
        <v>76</v>
      </c>
      <c r="B34" t="s">
        <v>188</v>
      </c>
      <c r="C34" t="s">
        <v>189</v>
      </c>
      <c r="D34" t="str">
        <f>TEXT(TabelaDirty[[#This Row],[cpf]],"000\.000\.000\-00")</f>
        <v>000.000.057-00</v>
      </c>
      <c r="E34">
        <v>42</v>
      </c>
      <c r="F34">
        <v>30878</v>
      </c>
      <c r="G34" t="s">
        <v>112</v>
      </c>
      <c r="H34" t="s">
        <v>132</v>
      </c>
      <c r="I34">
        <v>17500</v>
      </c>
      <c r="J34">
        <v>3500</v>
      </c>
      <c r="K34" t="s">
        <v>190</v>
      </c>
      <c r="L34">
        <v>25</v>
      </c>
      <c r="N34" t="s">
        <v>190</v>
      </c>
      <c r="O34">
        <v>35000</v>
      </c>
    </row>
    <row r="35" spans="1:15">
      <c r="A35" t="s">
        <v>76</v>
      </c>
      <c r="B35" t="s">
        <v>191</v>
      </c>
      <c r="C35" t="s">
        <v>192</v>
      </c>
      <c r="D35" t="str">
        <f>TEXT(TabelaDirty[[#This Row],[cpf]],"000\.000\.000\-00")</f>
        <v>000.000.016-00</v>
      </c>
      <c r="E35">
        <v>44</v>
      </c>
      <c r="F35">
        <v>29975</v>
      </c>
      <c r="G35" t="s">
        <v>103</v>
      </c>
      <c r="H35" t="s">
        <v>193</v>
      </c>
      <c r="I35">
        <v>5300</v>
      </c>
      <c r="J35">
        <v>6000</v>
      </c>
      <c r="K35" t="s">
        <v>51</v>
      </c>
      <c r="L35">
        <v>1</v>
      </c>
      <c r="N35" t="s">
        <v>51</v>
      </c>
      <c r="O35">
        <v>4500</v>
      </c>
    </row>
    <row r="36" spans="1:15" hidden="1">
      <c r="A36" t="s">
        <v>76</v>
      </c>
      <c r="B36" t="s">
        <v>194</v>
      </c>
      <c r="C36" t="s">
        <v>195</v>
      </c>
      <c r="D36" t="str">
        <f>TEXT(TabelaDirty[[#This Row],[cpf]],"000\.000\.000\-00")</f>
        <v>000.000.205-00</v>
      </c>
      <c r="E36">
        <v>40</v>
      </c>
      <c r="F36" s="11">
        <v>31539</v>
      </c>
      <c r="G36" t="s">
        <v>162</v>
      </c>
      <c r="H36" t="s">
        <v>142</v>
      </c>
      <c r="I36">
        <v>9900</v>
      </c>
      <c r="J36">
        <v>3500</v>
      </c>
      <c r="K36" t="s">
        <v>50</v>
      </c>
      <c r="L36">
        <v>1</v>
      </c>
      <c r="N36" t="s">
        <v>50</v>
      </c>
      <c r="O36">
        <v>23500</v>
      </c>
    </row>
    <row r="37" spans="1:15" hidden="1">
      <c r="A37" t="s">
        <v>76</v>
      </c>
      <c r="B37" t="s">
        <v>196</v>
      </c>
      <c r="C37" t="s">
        <v>197</v>
      </c>
      <c r="D37" t="str">
        <f>TEXT(TabelaDirty[[#This Row],[cpf]],"000\.000\.000\-00")</f>
        <v>000.000.005-00</v>
      </c>
      <c r="E37">
        <v>65</v>
      </c>
      <c r="F37" s="11">
        <v>22236</v>
      </c>
      <c r="G37" t="s">
        <v>112</v>
      </c>
      <c r="H37" t="s">
        <v>113</v>
      </c>
      <c r="I37" t="s">
        <v>198</v>
      </c>
      <c r="J37">
        <v>28000</v>
      </c>
      <c r="K37" t="s">
        <v>50</v>
      </c>
      <c r="L37">
        <v>34</v>
      </c>
      <c r="N37" t="s">
        <v>50</v>
      </c>
      <c r="O37">
        <v>74000</v>
      </c>
    </row>
    <row r="38" spans="1:15" hidden="1">
      <c r="B38" t="s">
        <v>199</v>
      </c>
      <c r="C38" t="s">
        <v>200</v>
      </c>
      <c r="D38" t="str">
        <f>TEXT(TabelaDirty[[#This Row],[cpf]],"000\.000\.000\-00")</f>
        <v>000.000.131-00</v>
      </c>
      <c r="E38">
        <v>63</v>
      </c>
      <c r="F38">
        <v>22974</v>
      </c>
      <c r="G38" t="s">
        <v>183</v>
      </c>
      <c r="H38" t="s">
        <v>201</v>
      </c>
      <c r="I38" s="12">
        <v>14700</v>
      </c>
      <c r="J38">
        <v>0</v>
      </c>
      <c r="K38" t="s">
        <v>181</v>
      </c>
      <c r="L38">
        <v>40</v>
      </c>
      <c r="N38" t="s">
        <v>181</v>
      </c>
      <c r="O38">
        <v>83500</v>
      </c>
    </row>
    <row r="39" spans="1:15" hidden="1">
      <c r="A39" t="s">
        <v>76</v>
      </c>
      <c r="B39" t="s">
        <v>202</v>
      </c>
      <c r="C39" t="s">
        <v>203</v>
      </c>
      <c r="D39" t="str">
        <f>TEXT(TabelaDirty[[#This Row],[cpf]],"000\.000\.000\-00")</f>
        <v>000.000.364-00</v>
      </c>
      <c r="E39">
        <v>22</v>
      </c>
      <c r="G39" t="s">
        <v>121</v>
      </c>
      <c r="H39" t="s">
        <v>122</v>
      </c>
      <c r="I39">
        <v>14400</v>
      </c>
      <c r="J39">
        <v>0</v>
      </c>
      <c r="K39" t="s">
        <v>50</v>
      </c>
      <c r="L39" t="s">
        <v>204</v>
      </c>
      <c r="N39" t="s">
        <v>50</v>
      </c>
      <c r="O39">
        <v>33500</v>
      </c>
    </row>
    <row r="40" spans="1:15" hidden="1">
      <c r="A40" t="s">
        <v>105</v>
      </c>
      <c r="B40" t="s">
        <v>205</v>
      </c>
      <c r="C40" t="s">
        <v>206</v>
      </c>
      <c r="D40" t="str">
        <f>TEXT(TabelaDirty[[#This Row],[cpf]],"000\.000\.000\-00")</f>
        <v>000.000.050-00</v>
      </c>
      <c r="E40">
        <v>39</v>
      </c>
      <c r="F40">
        <v>31879</v>
      </c>
      <c r="G40" t="s">
        <v>148</v>
      </c>
      <c r="H40" t="s">
        <v>149</v>
      </c>
      <c r="I40" t="s">
        <v>207</v>
      </c>
      <c r="J40">
        <v>0</v>
      </c>
      <c r="K40" t="s">
        <v>50</v>
      </c>
      <c r="L40">
        <v>39</v>
      </c>
      <c r="N40" t="s">
        <v>50</v>
      </c>
      <c r="O40">
        <v>75000</v>
      </c>
    </row>
    <row r="41" spans="1:15" hidden="1">
      <c r="A41" t="s">
        <v>76</v>
      </c>
      <c r="B41" t="s">
        <v>208</v>
      </c>
      <c r="C41" t="s">
        <v>209</v>
      </c>
      <c r="D41" t="str">
        <f>TEXT(TabelaDirty[[#This Row],[cpf]],"000\.000\.000\-00")</f>
        <v>000.000.222-00</v>
      </c>
      <c r="E41">
        <v>63</v>
      </c>
      <c r="F41">
        <v>23231</v>
      </c>
      <c r="G41" t="s">
        <v>210</v>
      </c>
      <c r="H41" t="s">
        <v>142</v>
      </c>
      <c r="I41">
        <v>16800</v>
      </c>
      <c r="J41">
        <v>0</v>
      </c>
      <c r="L41">
        <v>32</v>
      </c>
      <c r="O41">
        <v>61500</v>
      </c>
    </row>
    <row r="42" spans="1:15" hidden="1">
      <c r="A42" t="s">
        <v>76</v>
      </c>
      <c r="B42" t="s">
        <v>211</v>
      </c>
      <c r="C42" t="s">
        <v>212</v>
      </c>
      <c r="D42" t="str">
        <f>TEXT(TabelaDirty[[#This Row],[cpf]],"000\.000\.000\-00")</f>
        <v>000.000.341-00</v>
      </c>
      <c r="E42">
        <v>54</v>
      </c>
      <c r="F42" s="11">
        <v>26213</v>
      </c>
      <c r="G42" t="s">
        <v>148</v>
      </c>
      <c r="H42" t="s">
        <v>213</v>
      </c>
      <c r="I42">
        <v>29700</v>
      </c>
      <c r="J42">
        <v>34000</v>
      </c>
      <c r="K42" t="s">
        <v>50</v>
      </c>
      <c r="L42">
        <v>35</v>
      </c>
      <c r="N42" t="s">
        <v>50</v>
      </c>
      <c r="O42">
        <v>35000</v>
      </c>
    </row>
    <row r="43" spans="1:15" hidden="1">
      <c r="A43" t="s">
        <v>76</v>
      </c>
      <c r="B43" t="s">
        <v>214</v>
      </c>
      <c r="C43">
        <v>16500</v>
      </c>
      <c r="D43" t="str">
        <f>TEXT(TabelaDirty[[#This Row],[cpf]],"000\.000\.000\-00")</f>
        <v>000.000.165-00</v>
      </c>
      <c r="E43">
        <v>37</v>
      </c>
      <c r="F43">
        <v>32513</v>
      </c>
      <c r="G43" t="s">
        <v>215</v>
      </c>
      <c r="H43" t="s">
        <v>216</v>
      </c>
      <c r="I43" s="12">
        <v>2600</v>
      </c>
      <c r="J43" t="s">
        <v>92</v>
      </c>
      <c r="K43" t="s">
        <v>50</v>
      </c>
      <c r="L43">
        <v>5</v>
      </c>
      <c r="N43" t="s">
        <v>50</v>
      </c>
      <c r="O43">
        <v>16500</v>
      </c>
    </row>
    <row r="44" spans="1:15" hidden="1">
      <c r="A44" t="s">
        <v>76</v>
      </c>
      <c r="B44" t="s">
        <v>217</v>
      </c>
      <c r="C44">
        <v>15100</v>
      </c>
      <c r="D44" t="str">
        <f>TEXT(TabelaDirty[[#This Row],[cpf]],"000\.000\.000\-00")</f>
        <v>000.000.151-00</v>
      </c>
      <c r="E44">
        <v>25</v>
      </c>
      <c r="F44" s="11">
        <v>37125</v>
      </c>
      <c r="G44" t="s">
        <v>183</v>
      </c>
      <c r="H44" t="s">
        <v>183</v>
      </c>
      <c r="I44">
        <v>2500</v>
      </c>
      <c r="J44">
        <v>72500</v>
      </c>
      <c r="K44" t="s">
        <v>50</v>
      </c>
      <c r="L44">
        <v>32</v>
      </c>
      <c r="N44" t="s">
        <v>50</v>
      </c>
      <c r="O44">
        <v>97000</v>
      </c>
    </row>
    <row r="45" spans="1:15" hidden="1">
      <c r="A45" t="s">
        <v>76</v>
      </c>
      <c r="B45" t="s">
        <v>218</v>
      </c>
      <c r="C45" t="s">
        <v>219</v>
      </c>
      <c r="D45" t="str">
        <f>TEXT(TabelaDirty[[#This Row],[cpf]],"000\.000\.000\-00")</f>
        <v>000.000.333-00</v>
      </c>
      <c r="E45">
        <v>21</v>
      </c>
      <c r="F45">
        <v>38323</v>
      </c>
      <c r="G45" t="s">
        <v>138</v>
      </c>
      <c r="H45" t="s">
        <v>139</v>
      </c>
      <c r="I45" t="s">
        <v>220</v>
      </c>
      <c r="J45">
        <v>0</v>
      </c>
      <c r="K45" t="s">
        <v>50</v>
      </c>
      <c r="L45">
        <v>25</v>
      </c>
      <c r="N45" t="s">
        <v>50</v>
      </c>
      <c r="O45">
        <v>50000</v>
      </c>
    </row>
    <row r="46" spans="1:15" hidden="1">
      <c r="A46" t="s">
        <v>76</v>
      </c>
      <c r="B46" t="s">
        <v>221</v>
      </c>
      <c r="C46" t="s">
        <v>222</v>
      </c>
      <c r="D46" t="str">
        <f>TEXT(TabelaDirty[[#This Row],[cpf]],"000\.000\.000\-00")</f>
        <v>000.000.215-00</v>
      </c>
      <c r="E46">
        <v>28</v>
      </c>
      <c r="F46" s="11">
        <v>35887</v>
      </c>
      <c r="G46" t="s">
        <v>223</v>
      </c>
      <c r="H46" t="s">
        <v>90</v>
      </c>
      <c r="I46" t="s">
        <v>224</v>
      </c>
      <c r="J46">
        <v>51000</v>
      </c>
      <c r="K46" t="s">
        <v>190</v>
      </c>
      <c r="L46">
        <v>12</v>
      </c>
      <c r="N46" t="s">
        <v>190</v>
      </c>
      <c r="O46">
        <v>72500</v>
      </c>
    </row>
    <row r="47" spans="1:15" hidden="1">
      <c r="A47" t="s">
        <v>76</v>
      </c>
      <c r="B47" t="s">
        <v>225</v>
      </c>
      <c r="C47">
        <v>10800</v>
      </c>
      <c r="D47" t="str">
        <f>TEXT(TabelaDirty[[#This Row],[cpf]],"000\.000\.000\-00")</f>
        <v>000.000.108-00</v>
      </c>
      <c r="E47">
        <v>39</v>
      </c>
      <c r="F47" s="11">
        <v>31766</v>
      </c>
      <c r="G47" t="s">
        <v>148</v>
      </c>
      <c r="H47" t="s">
        <v>216</v>
      </c>
      <c r="I47">
        <v>24700</v>
      </c>
      <c r="J47" t="s">
        <v>226</v>
      </c>
      <c r="K47" t="s">
        <v>50</v>
      </c>
      <c r="L47">
        <v>43</v>
      </c>
      <c r="N47" t="s">
        <v>50</v>
      </c>
      <c r="O47">
        <v>57000</v>
      </c>
    </row>
    <row r="48" spans="1:15" hidden="1">
      <c r="A48" t="s">
        <v>76</v>
      </c>
      <c r="B48" t="s">
        <v>227</v>
      </c>
      <c r="C48">
        <v>15000</v>
      </c>
      <c r="D48" t="str">
        <f>TEXT(TabelaDirty[[#This Row],[cpf]],"000\.000\.000\-00")</f>
        <v>000.000.150-00</v>
      </c>
      <c r="E48">
        <v>73</v>
      </c>
      <c r="F48">
        <v>19588</v>
      </c>
      <c r="G48" t="s">
        <v>162</v>
      </c>
      <c r="H48" t="s">
        <v>142</v>
      </c>
      <c r="I48" s="13">
        <v>28600</v>
      </c>
      <c r="J48">
        <v>40500</v>
      </c>
      <c r="K48" t="s">
        <v>50</v>
      </c>
      <c r="L48">
        <v>20</v>
      </c>
      <c r="N48" t="s">
        <v>50</v>
      </c>
      <c r="O48">
        <v>2500</v>
      </c>
    </row>
    <row r="49" spans="1:15" hidden="1">
      <c r="A49" t="s">
        <v>76</v>
      </c>
      <c r="B49" t="s">
        <v>228</v>
      </c>
      <c r="C49" t="s">
        <v>229</v>
      </c>
      <c r="D49" t="str">
        <f>TEXT(TabelaDirty[[#This Row],[cpf]],"000\.000\.000\-00")</f>
        <v>000.000.284-00</v>
      </c>
      <c r="E49">
        <v>42</v>
      </c>
      <c r="F49" s="11">
        <v>30662</v>
      </c>
      <c r="G49" t="s">
        <v>141</v>
      </c>
      <c r="H49" t="s">
        <v>155</v>
      </c>
      <c r="I49">
        <v>20400</v>
      </c>
      <c r="J49">
        <v>0</v>
      </c>
      <c r="K49" t="s">
        <v>190</v>
      </c>
      <c r="L49">
        <v>0</v>
      </c>
      <c r="N49" t="s">
        <v>190</v>
      </c>
      <c r="O49">
        <v>81000</v>
      </c>
    </row>
    <row r="50" spans="1:15" hidden="1">
      <c r="A50" t="s">
        <v>76</v>
      </c>
      <c r="B50" t="s">
        <v>230</v>
      </c>
      <c r="C50" t="s">
        <v>231</v>
      </c>
      <c r="D50" t="str">
        <f>TEXT(TabelaDirty[[#This Row],[cpf]],"000\.000\.000\-00")</f>
        <v>000.000.288-00</v>
      </c>
      <c r="E50">
        <v>48</v>
      </c>
      <c r="F50" s="11">
        <v>28430</v>
      </c>
      <c r="G50" t="s">
        <v>112</v>
      </c>
      <c r="H50" t="s">
        <v>113</v>
      </c>
      <c r="I50" t="s">
        <v>232</v>
      </c>
      <c r="J50">
        <v>0</v>
      </c>
      <c r="K50" t="s">
        <v>50</v>
      </c>
      <c r="L50">
        <v>3</v>
      </c>
      <c r="N50" t="s">
        <v>50</v>
      </c>
      <c r="O50">
        <v>48500</v>
      </c>
    </row>
    <row r="51" spans="1:15" hidden="1">
      <c r="A51" t="s">
        <v>76</v>
      </c>
      <c r="B51" t="s">
        <v>233</v>
      </c>
      <c r="C51" t="s">
        <v>234</v>
      </c>
      <c r="D51" t="str">
        <f>TEXT(TabelaDirty[[#This Row],[cpf]],"000\.000\.000\-00")</f>
        <v>000.000.338-00</v>
      </c>
      <c r="E51">
        <v>56</v>
      </c>
      <c r="F51" s="11">
        <v>25525</v>
      </c>
      <c r="G51" t="s">
        <v>183</v>
      </c>
      <c r="H51" t="s">
        <v>183</v>
      </c>
      <c r="I51" t="s">
        <v>235</v>
      </c>
      <c r="J51">
        <v>63000</v>
      </c>
      <c r="K51" t="s">
        <v>50</v>
      </c>
      <c r="L51">
        <v>0</v>
      </c>
      <c r="N51" t="s">
        <v>50</v>
      </c>
      <c r="O51">
        <v>56000</v>
      </c>
    </row>
    <row r="52" spans="1:15" hidden="1">
      <c r="A52" t="s">
        <v>76</v>
      </c>
      <c r="B52" t="s">
        <v>236</v>
      </c>
      <c r="C52">
        <v>14200</v>
      </c>
      <c r="D52" t="str">
        <f>TEXT(TabelaDirty[[#This Row],[cpf]],"000\.000\.000\-00")</f>
        <v>000.000.142-00</v>
      </c>
      <c r="E52">
        <v>48</v>
      </c>
      <c r="F52" s="11">
        <v>28681</v>
      </c>
      <c r="G52" t="s">
        <v>237</v>
      </c>
      <c r="I52">
        <v>15800</v>
      </c>
      <c r="J52" t="s">
        <v>92</v>
      </c>
      <c r="K52" t="s">
        <v>50</v>
      </c>
      <c r="L52">
        <v>12</v>
      </c>
      <c r="N52" t="s">
        <v>50</v>
      </c>
      <c r="O52">
        <v>69500</v>
      </c>
    </row>
    <row r="53" spans="1:15" hidden="1">
      <c r="A53" t="s">
        <v>76</v>
      </c>
      <c r="B53" t="s">
        <v>238</v>
      </c>
      <c r="C53" t="s">
        <v>239</v>
      </c>
      <c r="D53" t="str">
        <f>TEXT(TabelaDirty[[#This Row],[cpf]],"000\.000\.000\-00")</f>
        <v>000.000.195-00</v>
      </c>
      <c r="E53">
        <v>70</v>
      </c>
      <c r="F53" s="11">
        <v>20570</v>
      </c>
      <c r="G53" t="s">
        <v>127</v>
      </c>
      <c r="H53" t="s">
        <v>122</v>
      </c>
      <c r="I53">
        <v>16300</v>
      </c>
      <c r="J53">
        <v>16500</v>
      </c>
      <c r="K53" t="s">
        <v>50</v>
      </c>
      <c r="L53">
        <v>25</v>
      </c>
      <c r="N53" t="s">
        <v>50</v>
      </c>
      <c r="O53">
        <v>65500</v>
      </c>
    </row>
    <row r="54" spans="1:15" hidden="1">
      <c r="A54" t="s">
        <v>105</v>
      </c>
      <c r="B54" t="s">
        <v>240</v>
      </c>
      <c r="C54" t="s">
        <v>241</v>
      </c>
      <c r="D54" t="str">
        <f>TEXT(TabelaDirty[[#This Row],[cpf]],"000\.000\.000\-00")</f>
        <v>000.000.066-00</v>
      </c>
      <c r="E54">
        <v>24</v>
      </c>
      <c r="F54">
        <v>37435</v>
      </c>
      <c r="G54" t="s">
        <v>242</v>
      </c>
      <c r="H54" t="s">
        <v>243</v>
      </c>
      <c r="I54">
        <v>6100</v>
      </c>
      <c r="K54" t="s">
        <v>244</v>
      </c>
      <c r="L54">
        <v>15</v>
      </c>
      <c r="N54" t="s">
        <v>244</v>
      </c>
      <c r="O54">
        <v>67000</v>
      </c>
    </row>
    <row r="55" spans="1:15" hidden="1">
      <c r="A55" t="s">
        <v>76</v>
      </c>
      <c r="B55" t="s">
        <v>245</v>
      </c>
      <c r="C55" t="s">
        <v>246</v>
      </c>
      <c r="D55" t="str">
        <f>TEXT(TabelaDirty[[#This Row],[cpf]],"000\.000\.000\-00")</f>
        <v>000.000.309-00</v>
      </c>
      <c r="E55">
        <v>47</v>
      </c>
      <c r="F55">
        <v>28802</v>
      </c>
      <c r="G55" t="s">
        <v>242</v>
      </c>
      <c r="H55" t="s">
        <v>247</v>
      </c>
      <c r="I55">
        <v>22700</v>
      </c>
      <c r="J55">
        <v>8500</v>
      </c>
      <c r="L55">
        <v>35</v>
      </c>
      <c r="O55">
        <v>23500</v>
      </c>
    </row>
    <row r="56" spans="1:15" hidden="1">
      <c r="A56" t="s">
        <v>76</v>
      </c>
      <c r="B56" t="s">
        <v>248</v>
      </c>
      <c r="C56" t="s">
        <v>249</v>
      </c>
      <c r="D56" t="str">
        <f>TEXT(TabelaDirty[[#This Row],[cpf]],"000\.000\.000\-00")</f>
        <v>000.000.270-00</v>
      </c>
      <c r="E56">
        <v>33</v>
      </c>
      <c r="F56" s="11">
        <v>33881</v>
      </c>
      <c r="G56" t="s">
        <v>141</v>
      </c>
      <c r="H56" t="s">
        <v>155</v>
      </c>
      <c r="I56" s="13">
        <v>29700</v>
      </c>
      <c r="J56">
        <v>22000</v>
      </c>
      <c r="K56" t="s">
        <v>50</v>
      </c>
      <c r="L56" t="s">
        <v>250</v>
      </c>
      <c r="N56" t="s">
        <v>50</v>
      </c>
      <c r="O56">
        <v>81000</v>
      </c>
    </row>
    <row r="57" spans="1:15" hidden="1">
      <c r="A57" t="s">
        <v>81</v>
      </c>
      <c r="B57" t="s">
        <v>251</v>
      </c>
      <c r="C57" t="s">
        <v>252</v>
      </c>
      <c r="D57" t="str">
        <f>TEXT(TabelaDirty[[#This Row],[cpf]],"000\.000\.000\-00")</f>
        <v>000.000.194-00</v>
      </c>
      <c r="E57">
        <v>38</v>
      </c>
      <c r="F57" s="11">
        <v>32102</v>
      </c>
      <c r="G57" t="s">
        <v>112</v>
      </c>
      <c r="H57" t="s">
        <v>118</v>
      </c>
      <c r="I57">
        <v>13500</v>
      </c>
      <c r="J57">
        <v>24000</v>
      </c>
      <c r="K57" t="s">
        <v>50</v>
      </c>
      <c r="L57">
        <v>2</v>
      </c>
      <c r="N57" t="s">
        <v>50</v>
      </c>
      <c r="O57">
        <v>17500</v>
      </c>
    </row>
    <row r="58" spans="1:15" hidden="1">
      <c r="A58" t="s">
        <v>81</v>
      </c>
      <c r="B58" t="s">
        <v>253</v>
      </c>
      <c r="C58">
        <v>3400</v>
      </c>
      <c r="D58" t="str">
        <f>TEXT(TabelaDirty[[#This Row],[cpf]],"000\.000\.000\-00")</f>
        <v>000.000.034-00</v>
      </c>
      <c r="E58">
        <v>35</v>
      </c>
      <c r="F58" s="11">
        <v>33204</v>
      </c>
      <c r="G58" t="s">
        <v>210</v>
      </c>
      <c r="H58" t="s">
        <v>176</v>
      </c>
      <c r="I58">
        <v>17600</v>
      </c>
      <c r="J58">
        <v>44000</v>
      </c>
      <c r="K58" t="s">
        <v>244</v>
      </c>
      <c r="L58">
        <v>22</v>
      </c>
      <c r="N58" t="s">
        <v>244</v>
      </c>
      <c r="O58">
        <v>56500</v>
      </c>
    </row>
    <row r="59" spans="1:15" hidden="1">
      <c r="A59" t="s">
        <v>81</v>
      </c>
      <c r="B59" t="s">
        <v>254</v>
      </c>
      <c r="C59" t="s">
        <v>255</v>
      </c>
      <c r="D59" t="str">
        <f>TEXT(TabelaDirty[[#This Row],[cpf]],"000\.000\.000\-00")</f>
        <v>000.000.026-00</v>
      </c>
      <c r="E59">
        <v>67</v>
      </c>
      <c r="F59">
        <v>21512</v>
      </c>
      <c r="G59" t="s">
        <v>127</v>
      </c>
      <c r="H59" t="s">
        <v>256</v>
      </c>
      <c r="I59" s="12">
        <v>3200</v>
      </c>
      <c r="J59">
        <v>6500</v>
      </c>
      <c r="K59" t="s">
        <v>50</v>
      </c>
      <c r="L59">
        <v>20</v>
      </c>
      <c r="N59" t="s">
        <v>50</v>
      </c>
      <c r="O59">
        <v>52500</v>
      </c>
    </row>
    <row r="60" spans="1:15" hidden="1">
      <c r="A60" t="s">
        <v>257</v>
      </c>
      <c r="B60" t="s">
        <v>258</v>
      </c>
      <c r="C60" t="s">
        <v>259</v>
      </c>
      <c r="D60" t="str">
        <f>TEXT(TabelaDirty[[#This Row],[cpf]],"000\.000\.000\-00")</f>
        <v>000.000.251-00</v>
      </c>
      <c r="E60">
        <v>51</v>
      </c>
      <c r="F60" s="11">
        <v>27377</v>
      </c>
      <c r="G60" t="s">
        <v>112</v>
      </c>
      <c r="H60" t="s">
        <v>113</v>
      </c>
      <c r="I60">
        <v>16300</v>
      </c>
      <c r="K60" t="s">
        <v>190</v>
      </c>
      <c r="L60">
        <v>8</v>
      </c>
      <c r="N60" t="s">
        <v>190</v>
      </c>
      <c r="O60">
        <v>33000</v>
      </c>
    </row>
    <row r="61" spans="1:15" hidden="1">
      <c r="A61" t="s">
        <v>81</v>
      </c>
      <c r="B61" t="s">
        <v>260</v>
      </c>
      <c r="C61" t="s">
        <v>261</v>
      </c>
      <c r="D61" t="str">
        <f>TEXT(TabelaDirty[[#This Row],[cpf]],"000\.000\.000\-00")</f>
        <v>000.000.014-00</v>
      </c>
      <c r="E61" t="s">
        <v>262</v>
      </c>
      <c r="F61" s="11">
        <v>29113</v>
      </c>
      <c r="G61" t="s">
        <v>162</v>
      </c>
      <c r="H61" t="s">
        <v>142</v>
      </c>
      <c r="I61">
        <v>15000</v>
      </c>
      <c r="J61">
        <v>32500</v>
      </c>
      <c r="K61" t="s">
        <v>50</v>
      </c>
      <c r="L61">
        <v>40</v>
      </c>
      <c r="N61" t="s">
        <v>50</v>
      </c>
      <c r="O61">
        <v>4500</v>
      </c>
    </row>
    <row r="62" spans="1:15" hidden="1">
      <c r="A62" t="s">
        <v>76</v>
      </c>
      <c r="B62" t="s">
        <v>263</v>
      </c>
      <c r="C62">
        <v>23900</v>
      </c>
      <c r="D62" t="str">
        <f>TEXT(TabelaDirty[[#This Row],[cpf]],"000\.000\.000\-00")</f>
        <v>000.000.239-00</v>
      </c>
      <c r="E62">
        <v>39</v>
      </c>
      <c r="F62">
        <v>31740</v>
      </c>
      <c r="G62" t="s">
        <v>112</v>
      </c>
      <c r="H62" t="s">
        <v>264</v>
      </c>
      <c r="I62" s="12">
        <v>13200</v>
      </c>
      <c r="J62" t="s">
        <v>92</v>
      </c>
      <c r="K62" t="s">
        <v>50</v>
      </c>
      <c r="L62" t="s">
        <v>250</v>
      </c>
      <c r="N62" t="s">
        <v>50</v>
      </c>
      <c r="O62">
        <v>36000</v>
      </c>
    </row>
    <row r="63" spans="1:15" hidden="1">
      <c r="A63" t="s">
        <v>76</v>
      </c>
      <c r="B63" t="s">
        <v>265</v>
      </c>
      <c r="C63" t="s">
        <v>266</v>
      </c>
      <c r="D63" t="str">
        <f>TEXT(TabelaDirty[[#This Row],[cpf]],"000\.000\.000\-00")</f>
        <v>000.000.133-00</v>
      </c>
      <c r="E63">
        <v>24</v>
      </c>
      <c r="F63">
        <v>37172</v>
      </c>
      <c r="G63" t="s">
        <v>79</v>
      </c>
      <c r="H63" t="s">
        <v>80</v>
      </c>
      <c r="I63">
        <v>21600</v>
      </c>
      <c r="J63" s="12">
        <v>25000</v>
      </c>
      <c r="K63" t="s">
        <v>50</v>
      </c>
      <c r="L63">
        <v>33</v>
      </c>
      <c r="N63" t="s">
        <v>50</v>
      </c>
      <c r="O63">
        <v>17500</v>
      </c>
    </row>
    <row r="64" spans="1:15">
      <c r="A64" t="s">
        <v>76</v>
      </c>
      <c r="B64" t="s">
        <v>267</v>
      </c>
      <c r="C64">
        <v>16100</v>
      </c>
      <c r="D64" t="str">
        <f>TEXT(TabelaDirty[[#This Row],[cpf]],"000\.000\.000\-00")</f>
        <v>000.000.161-00</v>
      </c>
      <c r="E64">
        <v>57</v>
      </c>
      <c r="G64" t="s">
        <v>103</v>
      </c>
      <c r="H64" t="s">
        <v>193</v>
      </c>
      <c r="I64" t="s">
        <v>184</v>
      </c>
      <c r="K64" t="s">
        <v>51</v>
      </c>
      <c r="L64" t="s">
        <v>268</v>
      </c>
      <c r="N64" t="s">
        <v>51</v>
      </c>
      <c r="O64">
        <v>13000</v>
      </c>
    </row>
    <row r="65" spans="1:15" hidden="1">
      <c r="A65" t="s">
        <v>76</v>
      </c>
      <c r="B65" t="s">
        <v>269</v>
      </c>
      <c r="C65">
        <v>6300</v>
      </c>
      <c r="D65" t="str">
        <f>TEXT(TabelaDirty[[#This Row],[cpf]],"000\.000\.000\-00")</f>
        <v>000.000.063-00</v>
      </c>
      <c r="E65">
        <v>68</v>
      </c>
      <c r="G65" t="s">
        <v>89</v>
      </c>
      <c r="H65" t="s">
        <v>90</v>
      </c>
      <c r="I65" s="13">
        <v>19900</v>
      </c>
      <c r="J65">
        <v>35000</v>
      </c>
      <c r="K65" t="s">
        <v>190</v>
      </c>
      <c r="L65">
        <v>25</v>
      </c>
      <c r="N65" t="s">
        <v>190</v>
      </c>
      <c r="O65">
        <v>59500</v>
      </c>
    </row>
    <row r="66" spans="1:15" hidden="1">
      <c r="A66" t="s">
        <v>76</v>
      </c>
      <c r="B66" t="s">
        <v>270</v>
      </c>
      <c r="C66">
        <v>27200</v>
      </c>
      <c r="D66" t="str">
        <f>TEXT(TabelaDirty[[#This Row],[cpf]],"000\.000\.000\-00")</f>
        <v>000.000.272-00</v>
      </c>
      <c r="E66">
        <v>56</v>
      </c>
      <c r="F66" s="11">
        <v>25710</v>
      </c>
      <c r="G66" t="s">
        <v>162</v>
      </c>
      <c r="H66" t="s">
        <v>142</v>
      </c>
      <c r="I66">
        <v>14100</v>
      </c>
      <c r="J66">
        <v>1500</v>
      </c>
      <c r="K66" t="s">
        <v>50</v>
      </c>
      <c r="L66">
        <v>26</v>
      </c>
      <c r="N66" t="s">
        <v>50</v>
      </c>
      <c r="O66">
        <v>36000</v>
      </c>
    </row>
    <row r="67" spans="1:15" hidden="1">
      <c r="A67" t="s">
        <v>105</v>
      </c>
      <c r="B67" t="s">
        <v>271</v>
      </c>
      <c r="C67" t="s">
        <v>272</v>
      </c>
      <c r="D67" t="str">
        <f>TEXT(TabelaDirty[[#This Row],[cpf]],"000\.000\.000\-00")</f>
        <v>000.000.030-00</v>
      </c>
      <c r="E67">
        <v>33</v>
      </c>
      <c r="F67" s="11">
        <v>34027</v>
      </c>
      <c r="G67" t="s">
        <v>127</v>
      </c>
      <c r="H67" t="s">
        <v>273</v>
      </c>
      <c r="I67">
        <v>3400</v>
      </c>
      <c r="J67">
        <v>0</v>
      </c>
      <c r="K67" t="s">
        <v>50</v>
      </c>
      <c r="L67">
        <v>13</v>
      </c>
      <c r="N67" t="s">
        <v>50</v>
      </c>
      <c r="O67">
        <v>70000</v>
      </c>
    </row>
    <row r="68" spans="1:15" hidden="1">
      <c r="A68" t="s">
        <v>76</v>
      </c>
      <c r="B68" t="s">
        <v>274</v>
      </c>
      <c r="C68" t="s">
        <v>275</v>
      </c>
      <c r="D68" t="str">
        <f>TEXT(TabelaDirty[[#This Row],[cpf]],"000\.000\.000\-00")</f>
        <v>000.000.136-00</v>
      </c>
      <c r="E68">
        <v>41</v>
      </c>
      <c r="F68" s="11">
        <v>30944</v>
      </c>
      <c r="G68" t="s">
        <v>83</v>
      </c>
      <c r="H68" t="s">
        <v>84</v>
      </c>
      <c r="I68" t="s">
        <v>276</v>
      </c>
      <c r="J68" s="13">
        <v>20500</v>
      </c>
      <c r="K68" t="s">
        <v>51</v>
      </c>
      <c r="L68">
        <v>8</v>
      </c>
      <c r="N68" t="s">
        <v>51</v>
      </c>
      <c r="O68">
        <v>44000</v>
      </c>
    </row>
    <row r="69" spans="1:15" hidden="1">
      <c r="A69" t="s">
        <v>76</v>
      </c>
      <c r="B69" t="s">
        <v>277</v>
      </c>
      <c r="C69" t="s">
        <v>278</v>
      </c>
      <c r="D69" t="str">
        <f>TEXT(TabelaDirty[[#This Row],[cpf]],"000\.000\.000\-00")</f>
        <v>000.000.135-00</v>
      </c>
      <c r="F69" s="11">
        <v>34411</v>
      </c>
      <c r="G69" t="s">
        <v>183</v>
      </c>
      <c r="H69" t="s">
        <v>183</v>
      </c>
      <c r="J69">
        <v>0</v>
      </c>
      <c r="K69" t="s">
        <v>50</v>
      </c>
      <c r="L69">
        <v>20</v>
      </c>
      <c r="N69" t="s">
        <v>50</v>
      </c>
      <c r="O69">
        <v>42000</v>
      </c>
    </row>
    <row r="70" spans="1:15" hidden="1">
      <c r="A70" t="s">
        <v>76</v>
      </c>
      <c r="B70" t="s">
        <v>279</v>
      </c>
      <c r="C70" t="s">
        <v>280</v>
      </c>
      <c r="D70" t="str">
        <f>TEXT(TabelaDirty[[#This Row],[cpf]],"000\.000\.000\-00")</f>
        <v>000.000.372-00</v>
      </c>
      <c r="E70">
        <v>34</v>
      </c>
      <c r="F70">
        <v>33525</v>
      </c>
      <c r="G70" t="s">
        <v>210</v>
      </c>
      <c r="I70">
        <v>28000</v>
      </c>
      <c r="J70">
        <v>36500</v>
      </c>
      <c r="K70" t="s">
        <v>50</v>
      </c>
      <c r="L70">
        <v>33</v>
      </c>
      <c r="N70" t="s">
        <v>50</v>
      </c>
      <c r="O70">
        <v>60000</v>
      </c>
    </row>
    <row r="71" spans="1:15" hidden="1">
      <c r="A71" t="s">
        <v>76</v>
      </c>
      <c r="B71" t="s">
        <v>281</v>
      </c>
      <c r="C71" t="s">
        <v>282</v>
      </c>
      <c r="D71" t="str">
        <f>TEXT(TabelaDirty[[#This Row],[cpf]],"000\.000\.000\-00")</f>
        <v>000.000.323-00</v>
      </c>
      <c r="E71">
        <v>24</v>
      </c>
      <c r="F71">
        <v>37259</v>
      </c>
      <c r="G71" t="s">
        <v>183</v>
      </c>
      <c r="H71" t="s">
        <v>183</v>
      </c>
      <c r="I71">
        <v>25200</v>
      </c>
      <c r="J71">
        <v>0</v>
      </c>
      <c r="K71" t="s">
        <v>50</v>
      </c>
      <c r="L71">
        <v>10</v>
      </c>
      <c r="N71" t="s">
        <v>50</v>
      </c>
      <c r="O71">
        <v>69500</v>
      </c>
    </row>
    <row r="72" spans="1:15" hidden="1">
      <c r="A72" t="s">
        <v>76</v>
      </c>
      <c r="B72" t="s">
        <v>283</v>
      </c>
      <c r="C72" t="s">
        <v>284</v>
      </c>
      <c r="D72" t="str">
        <f>TEXT(TabelaDirty[[#This Row],[cpf]],"000\.000\.000\-00")</f>
        <v>000.000.067-00</v>
      </c>
      <c r="E72">
        <v>55</v>
      </c>
      <c r="F72">
        <v>26104</v>
      </c>
      <c r="G72" t="s">
        <v>112</v>
      </c>
      <c r="H72" t="s">
        <v>113</v>
      </c>
      <c r="I72" s="13">
        <v>22100</v>
      </c>
      <c r="J72">
        <v>41500</v>
      </c>
      <c r="K72" t="s">
        <v>50</v>
      </c>
      <c r="L72">
        <v>18</v>
      </c>
      <c r="N72" t="s">
        <v>50</v>
      </c>
      <c r="O72">
        <v>65000</v>
      </c>
    </row>
    <row r="73" spans="1:15" hidden="1">
      <c r="A73" t="s">
        <v>81</v>
      </c>
      <c r="B73" t="s">
        <v>285</v>
      </c>
      <c r="C73" t="s">
        <v>286</v>
      </c>
      <c r="D73" t="str">
        <f>TEXT(TabelaDirty[[#This Row],[cpf]],"000\.000\.000\-00")</f>
        <v>000.000.138-00</v>
      </c>
      <c r="E73">
        <v>59</v>
      </c>
      <c r="F73">
        <v>24512</v>
      </c>
      <c r="G73" t="s">
        <v>215</v>
      </c>
      <c r="H73" t="s">
        <v>213</v>
      </c>
      <c r="I73">
        <v>6300</v>
      </c>
      <c r="J73">
        <v>15000</v>
      </c>
      <c r="K73" t="s">
        <v>50</v>
      </c>
      <c r="L73">
        <v>42</v>
      </c>
      <c r="N73" t="s">
        <v>50</v>
      </c>
      <c r="O73">
        <v>8500</v>
      </c>
    </row>
    <row r="74" spans="1:15">
      <c r="A74" t="s">
        <v>81</v>
      </c>
      <c r="B74" t="s">
        <v>287</v>
      </c>
      <c r="C74" t="s">
        <v>288</v>
      </c>
      <c r="D74" t="str">
        <f>TEXT(TabelaDirty[[#This Row],[cpf]],"000\.000\.000\-00")</f>
        <v>000.000.311-00</v>
      </c>
      <c r="E74">
        <v>70</v>
      </c>
      <c r="F74" s="11">
        <v>20502</v>
      </c>
      <c r="G74" t="s">
        <v>103</v>
      </c>
      <c r="H74" t="s">
        <v>108</v>
      </c>
      <c r="I74" s="13">
        <v>2500</v>
      </c>
      <c r="J74">
        <v>0</v>
      </c>
      <c r="K74" t="s">
        <v>50</v>
      </c>
      <c r="L74">
        <v>38</v>
      </c>
      <c r="N74" t="s">
        <v>50</v>
      </c>
      <c r="O74">
        <v>44500</v>
      </c>
    </row>
    <row r="75" spans="1:15" hidden="1">
      <c r="A75" t="s">
        <v>76</v>
      </c>
      <c r="B75" t="s">
        <v>289</v>
      </c>
      <c r="C75" t="s">
        <v>290</v>
      </c>
      <c r="D75" t="str">
        <f>TEXT(TabelaDirty[[#This Row],[cpf]],"000\.000\.000\-00")</f>
        <v>000.000.092-00</v>
      </c>
      <c r="E75">
        <v>37</v>
      </c>
      <c r="F75">
        <v>32543</v>
      </c>
      <c r="G75" t="s">
        <v>148</v>
      </c>
      <c r="H75" t="s">
        <v>149</v>
      </c>
      <c r="I75">
        <v>29200</v>
      </c>
      <c r="J75" s="12">
        <v>45000</v>
      </c>
      <c r="K75" t="s">
        <v>50</v>
      </c>
      <c r="L75">
        <v>26</v>
      </c>
      <c r="N75" t="s">
        <v>50</v>
      </c>
      <c r="O75">
        <v>23500</v>
      </c>
    </row>
    <row r="76" spans="1:15" hidden="1">
      <c r="A76" t="s">
        <v>76</v>
      </c>
      <c r="B76" t="s">
        <v>291</v>
      </c>
      <c r="C76" t="s">
        <v>292</v>
      </c>
      <c r="D76" t="str">
        <f>TEXT(TabelaDirty[[#This Row],[cpf]],"000\.000\.000\-00")</f>
        <v>000.000.283-00</v>
      </c>
      <c r="E76">
        <v>27</v>
      </c>
      <c r="F76">
        <v>36308</v>
      </c>
      <c r="G76" t="s">
        <v>138</v>
      </c>
      <c r="H76" t="s">
        <v>139</v>
      </c>
      <c r="I76">
        <v>5300</v>
      </c>
      <c r="J76" t="s">
        <v>293</v>
      </c>
      <c r="K76" t="s">
        <v>244</v>
      </c>
      <c r="L76">
        <v>11</v>
      </c>
      <c r="N76" t="s">
        <v>244</v>
      </c>
      <c r="O76">
        <v>28500</v>
      </c>
    </row>
    <row r="77" spans="1:15" hidden="1">
      <c r="A77" t="s">
        <v>76</v>
      </c>
      <c r="B77" t="s">
        <v>294</v>
      </c>
      <c r="C77" t="s">
        <v>295</v>
      </c>
      <c r="D77" t="str">
        <f>TEXT(TabelaDirty[[#This Row],[cpf]],"000\.000\.000\-00")</f>
        <v>000.000.054-00</v>
      </c>
      <c r="E77">
        <v>55</v>
      </c>
      <c r="F77">
        <v>25874</v>
      </c>
      <c r="G77" t="s">
        <v>183</v>
      </c>
      <c r="H77" t="s">
        <v>296</v>
      </c>
      <c r="I77" s="13">
        <v>29100</v>
      </c>
      <c r="J77" t="s">
        <v>143</v>
      </c>
      <c r="K77" t="s">
        <v>50</v>
      </c>
      <c r="L77">
        <v>11</v>
      </c>
      <c r="N77" t="s">
        <v>50</v>
      </c>
      <c r="O77">
        <v>56000</v>
      </c>
    </row>
    <row r="78" spans="1:15" hidden="1">
      <c r="A78" t="s">
        <v>105</v>
      </c>
      <c r="B78" t="s">
        <v>297</v>
      </c>
      <c r="C78" t="s">
        <v>298</v>
      </c>
      <c r="D78" t="str">
        <f>TEXT(TabelaDirty[[#This Row],[cpf]],"000\.000\.000\-00")</f>
        <v>000.000.011-00</v>
      </c>
      <c r="E78">
        <v>53</v>
      </c>
      <c r="F78" s="11">
        <v>26812</v>
      </c>
      <c r="G78" t="s">
        <v>121</v>
      </c>
      <c r="H78" t="s">
        <v>122</v>
      </c>
      <c r="I78">
        <v>27800</v>
      </c>
      <c r="J78" s="12">
        <v>52000</v>
      </c>
      <c r="K78" t="s">
        <v>50</v>
      </c>
      <c r="L78">
        <v>43</v>
      </c>
      <c r="N78" t="s">
        <v>50</v>
      </c>
      <c r="O78">
        <v>93500</v>
      </c>
    </row>
    <row r="79" spans="1:15" hidden="1">
      <c r="A79" t="s">
        <v>76</v>
      </c>
      <c r="B79" t="s">
        <v>299</v>
      </c>
      <c r="C79" t="s">
        <v>300</v>
      </c>
      <c r="D79" t="str">
        <f>TEXT(TabelaDirty[[#This Row],[cpf]],"000\.000\.000\-00")</f>
        <v>000.000.051-00</v>
      </c>
      <c r="E79">
        <v>40</v>
      </c>
      <c r="F79">
        <v>31647</v>
      </c>
      <c r="G79" t="s">
        <v>162</v>
      </c>
      <c r="H79" t="s">
        <v>142</v>
      </c>
      <c r="I79" s="12">
        <v>18700</v>
      </c>
      <c r="J79">
        <v>15000</v>
      </c>
      <c r="L79">
        <v>26</v>
      </c>
      <c r="O79">
        <v>89500</v>
      </c>
    </row>
    <row r="80" spans="1:15" hidden="1">
      <c r="A80" t="s">
        <v>76</v>
      </c>
      <c r="B80" t="s">
        <v>301</v>
      </c>
      <c r="C80">
        <v>34400</v>
      </c>
      <c r="D80" t="str">
        <f>TEXT(TabelaDirty[[#This Row],[cpf]],"000\.000\.000\-00")</f>
        <v>000.000.344-00</v>
      </c>
      <c r="E80">
        <v>64</v>
      </c>
      <c r="F80">
        <v>22836</v>
      </c>
      <c r="G80" t="s">
        <v>302</v>
      </c>
      <c r="H80" t="s">
        <v>303</v>
      </c>
      <c r="I80">
        <v>24300</v>
      </c>
      <c r="J80" s="13">
        <v>16500</v>
      </c>
      <c r="K80" t="s">
        <v>51</v>
      </c>
      <c r="L80">
        <v>24</v>
      </c>
      <c r="N80" t="s">
        <v>51</v>
      </c>
      <c r="O80">
        <v>57000</v>
      </c>
    </row>
    <row r="81" spans="1:15" hidden="1">
      <c r="A81" t="s">
        <v>76</v>
      </c>
      <c r="B81" t="s">
        <v>304</v>
      </c>
      <c r="C81" t="s">
        <v>305</v>
      </c>
      <c r="D81" t="str">
        <f>TEXT(TabelaDirty[[#This Row],[cpf]],"000\.000\.000\-00")</f>
        <v>000.000.293-00</v>
      </c>
      <c r="E81">
        <v>25</v>
      </c>
      <c r="F81" s="11">
        <v>37091</v>
      </c>
      <c r="G81" t="s">
        <v>79</v>
      </c>
      <c r="H81" t="s">
        <v>80</v>
      </c>
      <c r="I81" s="13">
        <v>28800</v>
      </c>
      <c r="K81" t="s">
        <v>50</v>
      </c>
      <c r="L81">
        <v>12</v>
      </c>
      <c r="N81" t="s">
        <v>50</v>
      </c>
      <c r="O81">
        <v>46500</v>
      </c>
    </row>
    <row r="82" spans="1:15" hidden="1">
      <c r="A82" t="s">
        <v>76</v>
      </c>
      <c r="B82" t="s">
        <v>306</v>
      </c>
      <c r="C82" t="s">
        <v>307</v>
      </c>
      <c r="D82" t="str">
        <f>TEXT(TabelaDirty[[#This Row],[cpf]],"000\.000\.000\-00")</f>
        <v>000.000.139-00</v>
      </c>
      <c r="E82" t="s">
        <v>308</v>
      </c>
      <c r="F82" s="11">
        <v>26161</v>
      </c>
      <c r="G82" t="s">
        <v>172</v>
      </c>
      <c r="I82">
        <v>12200</v>
      </c>
      <c r="J82" t="s">
        <v>309</v>
      </c>
      <c r="K82" t="s">
        <v>93</v>
      </c>
      <c r="L82">
        <v>33</v>
      </c>
      <c r="N82" t="s">
        <v>93</v>
      </c>
      <c r="O82">
        <v>78000</v>
      </c>
    </row>
    <row r="83" spans="1:15" hidden="1">
      <c r="A83" t="s">
        <v>76</v>
      </c>
      <c r="B83" t="s">
        <v>310</v>
      </c>
      <c r="C83">
        <v>32000</v>
      </c>
      <c r="D83" t="str">
        <f>TEXT(TabelaDirty[[#This Row],[cpf]],"000\.000\.000\-00")</f>
        <v>000.000.320-00</v>
      </c>
      <c r="E83">
        <v>68</v>
      </c>
      <c r="F83">
        <v>21162</v>
      </c>
      <c r="G83" t="s">
        <v>141</v>
      </c>
      <c r="H83" t="s">
        <v>142</v>
      </c>
      <c r="I83" s="13">
        <v>11500</v>
      </c>
      <c r="J83">
        <v>17500</v>
      </c>
      <c r="K83" t="s">
        <v>50</v>
      </c>
      <c r="L83">
        <v>19</v>
      </c>
      <c r="N83" t="s">
        <v>50</v>
      </c>
      <c r="O83">
        <v>26000</v>
      </c>
    </row>
    <row r="84" spans="1:15" hidden="1">
      <c r="A84" t="s">
        <v>76</v>
      </c>
      <c r="B84" t="s">
        <v>311</v>
      </c>
      <c r="C84" t="s">
        <v>312</v>
      </c>
      <c r="D84" t="str">
        <f>TEXT(TabelaDirty[[#This Row],[cpf]],"000\.000\.000\-00")</f>
        <v>000.000.091-00</v>
      </c>
      <c r="E84">
        <v>37</v>
      </c>
      <c r="F84">
        <v>32412</v>
      </c>
      <c r="G84" t="s">
        <v>162</v>
      </c>
      <c r="H84" t="s">
        <v>176</v>
      </c>
      <c r="I84">
        <v>24700</v>
      </c>
      <c r="J84" s="12">
        <v>23000</v>
      </c>
      <c r="K84" t="s">
        <v>51</v>
      </c>
      <c r="L84" t="s">
        <v>313</v>
      </c>
      <c r="N84" t="s">
        <v>51</v>
      </c>
      <c r="O84">
        <v>37500</v>
      </c>
    </row>
    <row r="85" spans="1:15" hidden="1">
      <c r="A85" t="s">
        <v>76</v>
      </c>
      <c r="B85" t="s">
        <v>314</v>
      </c>
      <c r="C85" t="s">
        <v>315</v>
      </c>
      <c r="D85" t="str">
        <f>TEXT(TabelaDirty[[#This Row],[cpf]],"000\.000\.000\-00")</f>
        <v>000.000.218-00</v>
      </c>
      <c r="E85">
        <v>62</v>
      </c>
      <c r="F85">
        <v>23488</v>
      </c>
      <c r="G85" t="s">
        <v>79</v>
      </c>
      <c r="H85" t="s">
        <v>80</v>
      </c>
      <c r="I85" t="s">
        <v>184</v>
      </c>
      <c r="J85" t="s">
        <v>92</v>
      </c>
      <c r="K85" t="s">
        <v>50</v>
      </c>
      <c r="L85" t="s">
        <v>250</v>
      </c>
      <c r="N85" t="s">
        <v>50</v>
      </c>
      <c r="O85">
        <v>72000</v>
      </c>
    </row>
    <row r="86" spans="1:15" hidden="1">
      <c r="A86" t="s">
        <v>76</v>
      </c>
      <c r="B86" t="s">
        <v>316</v>
      </c>
      <c r="C86" t="s">
        <v>317</v>
      </c>
      <c r="D86" t="str">
        <f>TEXT(TabelaDirty[[#This Row],[cpf]],"000\.000\.000\-00")</f>
        <v>000.000.334-00</v>
      </c>
      <c r="E86" t="s">
        <v>318</v>
      </c>
      <c r="F86">
        <v>37491</v>
      </c>
      <c r="G86" t="s">
        <v>183</v>
      </c>
      <c r="H86" t="s">
        <v>296</v>
      </c>
      <c r="I86" s="12">
        <v>8900</v>
      </c>
      <c r="J86">
        <v>19500</v>
      </c>
      <c r="K86" t="s">
        <v>51</v>
      </c>
      <c r="L86">
        <v>33</v>
      </c>
      <c r="N86" t="s">
        <v>51</v>
      </c>
      <c r="O86">
        <v>96500</v>
      </c>
    </row>
    <row r="87" spans="1:15" hidden="1">
      <c r="A87" t="s">
        <v>76</v>
      </c>
      <c r="B87" t="s">
        <v>319</v>
      </c>
      <c r="C87" t="s">
        <v>320</v>
      </c>
      <c r="D87" t="str">
        <f>TEXT(TabelaDirty[[#This Row],[cpf]],"000\.000\.000\-00")</f>
        <v>000.000.200-00</v>
      </c>
      <c r="E87">
        <v>35</v>
      </c>
      <c r="G87" t="s">
        <v>148</v>
      </c>
      <c r="H87" t="s">
        <v>149</v>
      </c>
      <c r="I87">
        <v>28000</v>
      </c>
      <c r="J87" t="s">
        <v>321</v>
      </c>
      <c r="K87" t="s">
        <v>50</v>
      </c>
      <c r="L87">
        <v>39</v>
      </c>
      <c r="N87" t="s">
        <v>50</v>
      </c>
      <c r="O87">
        <v>32000</v>
      </c>
    </row>
    <row r="88" spans="1:15" hidden="1">
      <c r="A88" t="s">
        <v>76</v>
      </c>
      <c r="B88" t="s">
        <v>322</v>
      </c>
      <c r="C88" t="s">
        <v>323</v>
      </c>
      <c r="D88" t="str">
        <f>TEXT(TabelaDirty[[#This Row],[cpf]],"000\.000\.000\-00")</f>
        <v>000.000.248-00</v>
      </c>
      <c r="E88">
        <v>40</v>
      </c>
      <c r="F88">
        <v>31408</v>
      </c>
      <c r="G88" t="s">
        <v>324</v>
      </c>
      <c r="I88">
        <v>17400</v>
      </c>
      <c r="J88" s="13">
        <v>53000</v>
      </c>
      <c r="K88" t="s">
        <v>51</v>
      </c>
      <c r="L88">
        <v>20</v>
      </c>
      <c r="N88" t="s">
        <v>51</v>
      </c>
      <c r="O88">
        <v>52500</v>
      </c>
    </row>
    <row r="89" spans="1:15" hidden="1">
      <c r="A89" t="s">
        <v>173</v>
      </c>
      <c r="B89" t="s">
        <v>325</v>
      </c>
      <c r="C89" t="s">
        <v>326</v>
      </c>
      <c r="D89" t="str">
        <f>TEXT(TabelaDirty[[#This Row],[cpf]],"000\.000\.000\-00")</f>
        <v>000.000.081-00</v>
      </c>
      <c r="E89">
        <v>59</v>
      </c>
      <c r="F89">
        <v>24362</v>
      </c>
      <c r="G89" t="s">
        <v>210</v>
      </c>
      <c r="H89" t="s">
        <v>142</v>
      </c>
      <c r="I89">
        <v>18900</v>
      </c>
      <c r="J89">
        <v>1000</v>
      </c>
      <c r="K89" t="s">
        <v>181</v>
      </c>
      <c r="L89">
        <v>42</v>
      </c>
      <c r="N89" t="s">
        <v>181</v>
      </c>
      <c r="O89">
        <v>16500</v>
      </c>
    </row>
    <row r="90" spans="1:15" hidden="1">
      <c r="A90" t="s">
        <v>81</v>
      </c>
      <c r="B90" t="s">
        <v>327</v>
      </c>
      <c r="C90" t="s">
        <v>328</v>
      </c>
      <c r="D90" t="str">
        <f>TEXT(TabelaDirty[[#This Row],[cpf]],"000\.000\.000\-00")</f>
        <v>000.000.065-00</v>
      </c>
      <c r="F90">
        <v>19672</v>
      </c>
      <c r="G90" t="s">
        <v>183</v>
      </c>
      <c r="H90" t="s">
        <v>183</v>
      </c>
      <c r="I90">
        <v>21000</v>
      </c>
      <c r="J90">
        <v>0</v>
      </c>
      <c r="K90" t="s">
        <v>190</v>
      </c>
      <c r="L90">
        <v>11</v>
      </c>
      <c r="N90" t="s">
        <v>190</v>
      </c>
      <c r="O90">
        <v>75500</v>
      </c>
    </row>
    <row r="91" spans="1:15" hidden="1">
      <c r="A91" t="s">
        <v>76</v>
      </c>
      <c r="B91" t="s">
        <v>329</v>
      </c>
      <c r="C91" t="s">
        <v>330</v>
      </c>
      <c r="D91" t="str">
        <f>TEXT(TabelaDirty[[#This Row],[cpf]],"000\.000\.000\-00")</f>
        <v>000.000.044-00</v>
      </c>
      <c r="E91">
        <v>42</v>
      </c>
      <c r="F91" s="11">
        <v>30666</v>
      </c>
      <c r="G91" t="s">
        <v>89</v>
      </c>
      <c r="H91" t="s">
        <v>331</v>
      </c>
      <c r="I91">
        <v>6000</v>
      </c>
      <c r="J91" s="12">
        <v>55000</v>
      </c>
      <c r="K91" t="s">
        <v>50</v>
      </c>
      <c r="L91">
        <v>5</v>
      </c>
      <c r="N91" t="s">
        <v>50</v>
      </c>
      <c r="O91">
        <v>10000</v>
      </c>
    </row>
    <row r="92" spans="1:15" hidden="1">
      <c r="A92" t="s">
        <v>76</v>
      </c>
      <c r="B92" t="s">
        <v>332</v>
      </c>
      <c r="C92" t="s">
        <v>333</v>
      </c>
      <c r="D92" t="str">
        <f>TEXT(TabelaDirty[[#This Row],[cpf]],"000\.000\.000\-00")</f>
        <v>000.000.308-00</v>
      </c>
      <c r="E92">
        <v>60</v>
      </c>
      <c r="F92" s="11">
        <v>24082</v>
      </c>
      <c r="G92" t="s">
        <v>242</v>
      </c>
      <c r="H92" t="s">
        <v>243</v>
      </c>
      <c r="I92" s="13">
        <v>13800</v>
      </c>
      <c r="J92">
        <v>45500</v>
      </c>
      <c r="K92" t="s">
        <v>50</v>
      </c>
      <c r="L92">
        <v>30</v>
      </c>
      <c r="N92" t="s">
        <v>50</v>
      </c>
      <c r="O92">
        <v>17500</v>
      </c>
    </row>
    <row r="93" spans="1:15" hidden="1">
      <c r="A93" t="s">
        <v>76</v>
      </c>
      <c r="B93" t="s">
        <v>334</v>
      </c>
      <c r="C93" t="s">
        <v>335</v>
      </c>
      <c r="D93" t="str">
        <f>TEXT(TabelaDirty[[#This Row],[cpf]],"000\.000\.000\-00")</f>
        <v>000.000.276-00</v>
      </c>
      <c r="E93">
        <v>36</v>
      </c>
      <c r="F93">
        <v>32791</v>
      </c>
      <c r="G93" t="s">
        <v>172</v>
      </c>
      <c r="H93" t="s">
        <v>213</v>
      </c>
      <c r="I93">
        <v>23900</v>
      </c>
      <c r="J93">
        <v>58000</v>
      </c>
      <c r="K93" t="s">
        <v>50</v>
      </c>
      <c r="L93">
        <v>27</v>
      </c>
      <c r="N93" t="s">
        <v>50</v>
      </c>
      <c r="O93">
        <v>38000</v>
      </c>
    </row>
    <row r="94" spans="1:15" hidden="1">
      <c r="A94" t="s">
        <v>76</v>
      </c>
      <c r="B94" t="s">
        <v>336</v>
      </c>
      <c r="C94" t="s">
        <v>337</v>
      </c>
      <c r="D94" t="str">
        <f>TEXT(TabelaDirty[[#This Row],[cpf]],"000\.000\.000\-00")</f>
        <v>000.000.088-00</v>
      </c>
      <c r="E94">
        <v>74</v>
      </c>
      <c r="F94">
        <v>19121</v>
      </c>
      <c r="G94" t="s">
        <v>141</v>
      </c>
      <c r="H94" t="s">
        <v>142</v>
      </c>
      <c r="I94">
        <v>7300</v>
      </c>
      <c r="J94">
        <v>1000</v>
      </c>
      <c r="K94" t="s">
        <v>50</v>
      </c>
      <c r="L94">
        <v>3</v>
      </c>
      <c r="N94" t="s">
        <v>50</v>
      </c>
      <c r="O94">
        <v>50500</v>
      </c>
    </row>
    <row r="95" spans="1:15" hidden="1">
      <c r="A95" t="s">
        <v>173</v>
      </c>
      <c r="B95" t="s">
        <v>338</v>
      </c>
      <c r="C95">
        <v>20700</v>
      </c>
      <c r="D95" t="str">
        <f>TEXT(TabelaDirty[[#This Row],[cpf]],"000\.000\.000\-00")</f>
        <v>000.000.207-00</v>
      </c>
      <c r="E95">
        <v>66</v>
      </c>
      <c r="F95" s="11">
        <v>22151</v>
      </c>
      <c r="G95" t="s">
        <v>339</v>
      </c>
      <c r="I95" t="s">
        <v>340</v>
      </c>
      <c r="J95">
        <v>16000</v>
      </c>
      <c r="K95" t="s">
        <v>51</v>
      </c>
      <c r="L95">
        <v>44</v>
      </c>
      <c r="N95" t="s">
        <v>51</v>
      </c>
      <c r="O95">
        <v>59000</v>
      </c>
    </row>
    <row r="96" spans="1:15" hidden="1">
      <c r="A96" t="s">
        <v>76</v>
      </c>
      <c r="B96" t="s">
        <v>341</v>
      </c>
      <c r="C96" t="s">
        <v>342</v>
      </c>
      <c r="D96" t="str">
        <f>TEXT(TabelaDirty[[#This Row],[cpf]],"000\.000\.000\-00")</f>
        <v>000.000.216-00</v>
      </c>
      <c r="E96">
        <v>34</v>
      </c>
      <c r="F96">
        <v>33835</v>
      </c>
      <c r="G96" t="s">
        <v>343</v>
      </c>
      <c r="I96">
        <v>5100</v>
      </c>
      <c r="J96">
        <v>17000</v>
      </c>
      <c r="K96" t="s">
        <v>50</v>
      </c>
      <c r="L96" t="s">
        <v>344</v>
      </c>
      <c r="N96" t="s">
        <v>50</v>
      </c>
      <c r="O96">
        <v>4500</v>
      </c>
    </row>
    <row r="97" spans="1:15" hidden="1">
      <c r="A97" t="s">
        <v>81</v>
      </c>
      <c r="B97" t="s">
        <v>345</v>
      </c>
      <c r="C97" t="s">
        <v>346</v>
      </c>
      <c r="D97" t="str">
        <f>TEXT(TabelaDirty[[#This Row],[cpf]],"000\.000\.000\-00")</f>
        <v>000.000.217-00</v>
      </c>
      <c r="E97">
        <v>68</v>
      </c>
      <c r="F97" s="11">
        <v>21205</v>
      </c>
      <c r="G97" t="s">
        <v>172</v>
      </c>
      <c r="H97" t="s">
        <v>149</v>
      </c>
      <c r="I97">
        <v>8200</v>
      </c>
      <c r="J97" s="12">
        <v>66000</v>
      </c>
      <c r="K97" t="s">
        <v>50</v>
      </c>
      <c r="L97">
        <v>16</v>
      </c>
      <c r="N97" t="s">
        <v>50</v>
      </c>
      <c r="O97">
        <v>84000</v>
      </c>
    </row>
    <row r="98" spans="1:15" hidden="1">
      <c r="A98" t="s">
        <v>81</v>
      </c>
      <c r="B98" t="s">
        <v>347</v>
      </c>
      <c r="C98" t="s">
        <v>348</v>
      </c>
      <c r="D98" t="str">
        <f>TEXT(TabelaDirty[[#This Row],[cpf]],"000\.000\.000\-00")</f>
        <v>000.000.129-00</v>
      </c>
      <c r="E98">
        <v>59</v>
      </c>
      <c r="F98" s="11">
        <v>24554</v>
      </c>
      <c r="G98" t="s">
        <v>121</v>
      </c>
      <c r="H98" t="s">
        <v>122</v>
      </c>
      <c r="I98" s="12">
        <v>15200</v>
      </c>
      <c r="J98">
        <v>11000</v>
      </c>
      <c r="K98" t="s">
        <v>244</v>
      </c>
      <c r="L98">
        <v>27</v>
      </c>
      <c r="N98" t="s">
        <v>244</v>
      </c>
      <c r="O98">
        <v>87000</v>
      </c>
    </row>
    <row r="99" spans="1:15" hidden="1">
      <c r="A99" t="s">
        <v>76</v>
      </c>
      <c r="B99" t="s">
        <v>349</v>
      </c>
      <c r="C99" t="s">
        <v>350</v>
      </c>
      <c r="D99" t="str">
        <f>TEXT(TabelaDirty[[#This Row],[cpf]],"000\.000\.000\-00")</f>
        <v>000.000.359-00</v>
      </c>
      <c r="E99">
        <v>29</v>
      </c>
      <c r="F99">
        <v>35600</v>
      </c>
      <c r="G99" t="s">
        <v>223</v>
      </c>
      <c r="H99" t="s">
        <v>331</v>
      </c>
      <c r="I99">
        <v>10000</v>
      </c>
      <c r="J99">
        <v>25500</v>
      </c>
      <c r="K99" t="s">
        <v>50</v>
      </c>
      <c r="L99">
        <v>15</v>
      </c>
      <c r="N99" t="s">
        <v>50</v>
      </c>
      <c r="O99">
        <v>66000</v>
      </c>
    </row>
    <row r="100" spans="1:15" hidden="1">
      <c r="A100" t="s">
        <v>76</v>
      </c>
      <c r="B100" t="s">
        <v>351</v>
      </c>
      <c r="C100" t="s">
        <v>352</v>
      </c>
      <c r="D100" t="str">
        <f>TEXT(TabelaDirty[[#This Row],[cpf]],"000\.000\.000\-00")</f>
        <v>000.000.244-00</v>
      </c>
      <c r="E100">
        <v>69</v>
      </c>
      <c r="F100">
        <v>20725</v>
      </c>
      <c r="G100" t="s">
        <v>138</v>
      </c>
      <c r="H100" t="s">
        <v>353</v>
      </c>
      <c r="I100">
        <v>8100</v>
      </c>
      <c r="J100">
        <v>27500</v>
      </c>
      <c r="K100" t="s">
        <v>244</v>
      </c>
      <c r="L100">
        <v>42</v>
      </c>
      <c r="N100" t="s">
        <v>244</v>
      </c>
      <c r="O100">
        <v>72500</v>
      </c>
    </row>
    <row r="101" spans="1:15" hidden="1">
      <c r="A101" t="s">
        <v>81</v>
      </c>
      <c r="B101" t="s">
        <v>354</v>
      </c>
      <c r="C101" t="s">
        <v>355</v>
      </c>
      <c r="D101" t="str">
        <f>TEXT(TabelaDirty[[#This Row],[cpf]],"000\.000\.000\-00")</f>
        <v>000.000.027-00</v>
      </c>
      <c r="E101">
        <v>30</v>
      </c>
      <c r="F101" s="11">
        <v>35200</v>
      </c>
      <c r="G101" t="s">
        <v>127</v>
      </c>
      <c r="H101" t="s">
        <v>256</v>
      </c>
      <c r="I101">
        <v>26500</v>
      </c>
      <c r="J101">
        <v>14500</v>
      </c>
      <c r="K101">
        <v>0</v>
      </c>
      <c r="L101">
        <v>15</v>
      </c>
      <c r="N101">
        <v>0</v>
      </c>
      <c r="O101">
        <v>65500</v>
      </c>
    </row>
    <row r="102" spans="1:15" hidden="1">
      <c r="A102" t="s">
        <v>76</v>
      </c>
      <c r="B102" t="s">
        <v>356</v>
      </c>
      <c r="C102" t="s">
        <v>357</v>
      </c>
      <c r="D102" t="str">
        <f>TEXT(TabelaDirty[[#This Row],[cpf]],"000\.000\.000\-00")</f>
        <v>000.000.196-00</v>
      </c>
      <c r="E102">
        <v>58</v>
      </c>
      <c r="F102">
        <v>24905</v>
      </c>
      <c r="G102" t="s">
        <v>121</v>
      </c>
      <c r="H102" t="s">
        <v>256</v>
      </c>
      <c r="I102" s="13">
        <v>12400</v>
      </c>
      <c r="J102" s="13">
        <v>21500</v>
      </c>
      <c r="K102" t="s">
        <v>51</v>
      </c>
      <c r="L102" t="s">
        <v>358</v>
      </c>
      <c r="N102" t="s">
        <v>51</v>
      </c>
      <c r="O102">
        <v>80000</v>
      </c>
    </row>
    <row r="103" spans="1:15" hidden="1">
      <c r="A103" t="s">
        <v>76</v>
      </c>
      <c r="B103" t="s">
        <v>359</v>
      </c>
      <c r="C103">
        <v>24000</v>
      </c>
      <c r="D103" t="str">
        <f>TEXT(TabelaDirty[[#This Row],[cpf]],"000\.000\.000\-00")</f>
        <v>000.000.240-00</v>
      </c>
      <c r="E103">
        <v>47</v>
      </c>
      <c r="F103" s="11">
        <v>29031</v>
      </c>
      <c r="G103" t="s">
        <v>360</v>
      </c>
      <c r="I103" s="13">
        <v>28400</v>
      </c>
      <c r="J103">
        <v>78000</v>
      </c>
      <c r="K103" t="s">
        <v>50</v>
      </c>
      <c r="L103">
        <v>37</v>
      </c>
      <c r="N103" t="s">
        <v>50</v>
      </c>
      <c r="O103">
        <v>99000</v>
      </c>
    </row>
    <row r="104" spans="1:15" hidden="1">
      <c r="A104" t="s">
        <v>76</v>
      </c>
      <c r="B104" t="s">
        <v>361</v>
      </c>
      <c r="C104" t="s">
        <v>362</v>
      </c>
      <c r="D104" t="str">
        <f>TEXT(TabelaDirty[[#This Row],[cpf]],"000\.000\.000\-00")</f>
        <v>000.000.170-00</v>
      </c>
      <c r="E104">
        <v>31</v>
      </c>
      <c r="F104" s="11">
        <v>34852</v>
      </c>
      <c r="G104" t="s">
        <v>339</v>
      </c>
      <c r="I104">
        <v>20500</v>
      </c>
      <c r="J104" s="12">
        <v>47500</v>
      </c>
      <c r="K104" t="s">
        <v>50</v>
      </c>
      <c r="L104">
        <v>11</v>
      </c>
      <c r="N104" t="s">
        <v>50</v>
      </c>
      <c r="O104">
        <v>18500</v>
      </c>
    </row>
    <row r="105" spans="1:15" hidden="1">
      <c r="A105" t="s">
        <v>363</v>
      </c>
      <c r="B105" t="s">
        <v>364</v>
      </c>
      <c r="C105" t="s">
        <v>365</v>
      </c>
      <c r="D105" t="str">
        <f>TEXT(TabelaDirty[[#This Row],[cpf]],"000\.000\.000\-00")</f>
        <v>000.000.047-00</v>
      </c>
      <c r="E105">
        <v>63</v>
      </c>
      <c r="F105">
        <v>23084</v>
      </c>
      <c r="G105" t="s">
        <v>148</v>
      </c>
      <c r="H105" t="s">
        <v>149</v>
      </c>
      <c r="I105">
        <v>17300</v>
      </c>
      <c r="J105">
        <v>22000</v>
      </c>
      <c r="K105" t="s">
        <v>50</v>
      </c>
      <c r="L105">
        <v>10</v>
      </c>
      <c r="N105" t="s">
        <v>50</v>
      </c>
      <c r="O105">
        <v>97000</v>
      </c>
    </row>
    <row r="106" spans="1:15" hidden="1">
      <c r="A106" t="s">
        <v>76</v>
      </c>
      <c r="B106" t="s">
        <v>366</v>
      </c>
      <c r="C106">
        <v>12700</v>
      </c>
      <c r="D106" t="str">
        <f>TEXT(TabelaDirty[[#This Row],[cpf]],"000\.000\.000\-00")</f>
        <v>000.000.127-00</v>
      </c>
      <c r="E106">
        <v>26</v>
      </c>
      <c r="F106" s="11">
        <v>36518</v>
      </c>
      <c r="G106" t="s">
        <v>154</v>
      </c>
      <c r="H106" t="s">
        <v>142</v>
      </c>
      <c r="I106" s="12">
        <v>5000</v>
      </c>
      <c r="J106" t="s">
        <v>367</v>
      </c>
      <c r="K106" t="s">
        <v>50</v>
      </c>
      <c r="L106">
        <v>35</v>
      </c>
      <c r="N106" t="s">
        <v>50</v>
      </c>
      <c r="O106">
        <v>18500</v>
      </c>
    </row>
    <row r="107" spans="1:15" hidden="1">
      <c r="A107" t="s">
        <v>76</v>
      </c>
      <c r="B107" t="s">
        <v>368</v>
      </c>
      <c r="C107">
        <v>18000</v>
      </c>
      <c r="D107" t="str">
        <f>TEXT(TabelaDirty[[#This Row],[cpf]],"000\.000\.000\-00")</f>
        <v>000.000.180-00</v>
      </c>
      <c r="E107">
        <v>29</v>
      </c>
      <c r="F107">
        <v>35344</v>
      </c>
      <c r="G107" t="s">
        <v>79</v>
      </c>
      <c r="H107" t="s">
        <v>100</v>
      </c>
      <c r="I107">
        <v>19900</v>
      </c>
      <c r="J107">
        <v>49500</v>
      </c>
      <c r="K107" t="s">
        <v>51</v>
      </c>
      <c r="L107">
        <v>27</v>
      </c>
      <c r="N107" t="s">
        <v>51</v>
      </c>
      <c r="O107">
        <v>23000</v>
      </c>
    </row>
    <row r="108" spans="1:15" hidden="1">
      <c r="A108" t="s">
        <v>76</v>
      </c>
      <c r="B108" t="s">
        <v>369</v>
      </c>
      <c r="C108" t="s">
        <v>370</v>
      </c>
      <c r="D108" t="str">
        <f>TEXT(TabelaDirty[[#This Row],[cpf]],"000\.000\.000\-00")</f>
        <v>000.000.342-00</v>
      </c>
      <c r="E108">
        <v>51</v>
      </c>
      <c r="F108" s="11">
        <v>27413</v>
      </c>
      <c r="G108" t="s">
        <v>162</v>
      </c>
      <c r="H108" t="s">
        <v>155</v>
      </c>
      <c r="I108">
        <v>18500</v>
      </c>
      <c r="J108" s="13">
        <v>69500</v>
      </c>
      <c r="K108" t="s">
        <v>50</v>
      </c>
      <c r="L108" t="s">
        <v>371</v>
      </c>
      <c r="N108" t="s">
        <v>50</v>
      </c>
      <c r="O108">
        <v>18000</v>
      </c>
    </row>
    <row r="109" spans="1:15" hidden="1">
      <c r="A109" t="s">
        <v>76</v>
      </c>
      <c r="B109" t="s">
        <v>372</v>
      </c>
      <c r="C109" t="s">
        <v>373</v>
      </c>
      <c r="D109" t="str">
        <f>TEXT(TabelaDirty[[#This Row],[cpf]],"000\.000\.000\-00")</f>
        <v>000.000.234-00</v>
      </c>
      <c r="E109">
        <v>46</v>
      </c>
      <c r="F109" s="11">
        <v>29197</v>
      </c>
      <c r="G109" t="s">
        <v>121</v>
      </c>
      <c r="H109" t="s">
        <v>122</v>
      </c>
      <c r="I109">
        <v>3200</v>
      </c>
      <c r="J109">
        <v>0</v>
      </c>
      <c r="K109" t="s">
        <v>50</v>
      </c>
      <c r="L109">
        <v>16</v>
      </c>
      <c r="N109" t="s">
        <v>50</v>
      </c>
      <c r="O109">
        <v>61500</v>
      </c>
    </row>
    <row r="110" spans="1:15" hidden="1">
      <c r="A110" t="s">
        <v>76</v>
      </c>
      <c r="B110" t="s">
        <v>374</v>
      </c>
      <c r="C110" t="s">
        <v>375</v>
      </c>
      <c r="D110" t="str">
        <f>TEXT(TabelaDirty[[#This Row],[cpf]],"000\.000\.000\-00")</f>
        <v>000.000.228-00</v>
      </c>
      <c r="E110">
        <v>65</v>
      </c>
      <c r="F110" s="11">
        <v>22505</v>
      </c>
      <c r="G110" t="s">
        <v>154</v>
      </c>
      <c r="H110" t="s">
        <v>142</v>
      </c>
      <c r="I110" s="12">
        <v>29000</v>
      </c>
      <c r="J110">
        <v>28500</v>
      </c>
      <c r="K110" t="s">
        <v>50</v>
      </c>
      <c r="L110">
        <v>28</v>
      </c>
      <c r="N110" t="s">
        <v>50</v>
      </c>
      <c r="O110">
        <v>57500</v>
      </c>
    </row>
    <row r="111" spans="1:15" hidden="1">
      <c r="A111" t="s">
        <v>76</v>
      </c>
      <c r="B111" t="s">
        <v>376</v>
      </c>
      <c r="C111" t="s">
        <v>377</v>
      </c>
      <c r="D111" t="str">
        <f>TEXT(TabelaDirty[[#This Row],[cpf]],"000\.000\.000\-00")</f>
        <v>000.000.167-00</v>
      </c>
      <c r="E111">
        <v>26</v>
      </c>
      <c r="F111">
        <v>36475</v>
      </c>
      <c r="G111" t="s">
        <v>378</v>
      </c>
      <c r="I111">
        <v>13900</v>
      </c>
      <c r="J111" s="12">
        <v>53500</v>
      </c>
      <c r="K111" t="s">
        <v>50</v>
      </c>
      <c r="L111">
        <v>12</v>
      </c>
      <c r="N111" t="s">
        <v>50</v>
      </c>
      <c r="O111">
        <v>85000</v>
      </c>
    </row>
    <row r="112" spans="1:15" hidden="1">
      <c r="A112" t="s">
        <v>81</v>
      </c>
      <c r="B112" t="s">
        <v>379</v>
      </c>
      <c r="C112" t="s">
        <v>380</v>
      </c>
      <c r="D112" t="str">
        <f>TEXT(TabelaDirty[[#This Row],[cpf]],"000\.000\.000\-00")</f>
        <v>000.000.087-00</v>
      </c>
      <c r="E112">
        <v>63</v>
      </c>
      <c r="F112">
        <v>22994</v>
      </c>
      <c r="G112" t="s">
        <v>112</v>
      </c>
      <c r="H112" t="s">
        <v>118</v>
      </c>
      <c r="I112">
        <v>20000</v>
      </c>
      <c r="J112" s="12">
        <v>29500</v>
      </c>
      <c r="K112" t="s">
        <v>50</v>
      </c>
      <c r="L112">
        <v>42</v>
      </c>
      <c r="N112" t="s">
        <v>50</v>
      </c>
      <c r="O112">
        <v>5000</v>
      </c>
    </row>
    <row r="113" spans="1:15" hidden="1">
      <c r="A113" t="s">
        <v>76</v>
      </c>
      <c r="B113" t="s">
        <v>381</v>
      </c>
      <c r="C113">
        <v>27900</v>
      </c>
      <c r="D113" t="str">
        <f>TEXT(TabelaDirty[[#This Row],[cpf]],"000\.000\.000\-00")</f>
        <v>000.000.279-00</v>
      </c>
      <c r="E113">
        <v>71</v>
      </c>
      <c r="F113" s="11">
        <v>20094</v>
      </c>
      <c r="G113" t="s">
        <v>215</v>
      </c>
      <c r="H113" t="s">
        <v>149</v>
      </c>
      <c r="I113">
        <v>24100</v>
      </c>
      <c r="J113">
        <v>0</v>
      </c>
      <c r="K113" t="s">
        <v>244</v>
      </c>
      <c r="L113">
        <v>10</v>
      </c>
      <c r="N113" t="s">
        <v>244</v>
      </c>
      <c r="O113">
        <v>87000</v>
      </c>
    </row>
    <row r="114" spans="1:15" hidden="1">
      <c r="A114" t="s">
        <v>76</v>
      </c>
      <c r="B114" t="s">
        <v>382</v>
      </c>
      <c r="D114" t="str">
        <f>TEXT(TabelaDirty[[#This Row],[cpf]],"000\.000\.000\-00")</f>
        <v>000.000.000-00</v>
      </c>
      <c r="E114">
        <v>73</v>
      </c>
      <c r="F114">
        <v>19538</v>
      </c>
      <c r="G114" t="s">
        <v>89</v>
      </c>
      <c r="H114" t="s">
        <v>331</v>
      </c>
      <c r="I114">
        <v>12700</v>
      </c>
      <c r="J114" s="12">
        <v>79500</v>
      </c>
      <c r="K114" t="s">
        <v>50</v>
      </c>
      <c r="L114">
        <v>35</v>
      </c>
      <c r="N114" t="s">
        <v>50</v>
      </c>
      <c r="O114">
        <v>39000</v>
      </c>
    </row>
    <row r="115" spans="1:15" hidden="1">
      <c r="A115" t="s">
        <v>76</v>
      </c>
      <c r="B115" t="s">
        <v>383</v>
      </c>
      <c r="C115">
        <v>26400</v>
      </c>
      <c r="D115" t="str">
        <f>TEXT(TabelaDirty[[#This Row],[cpf]],"000\.000\.000\-00")</f>
        <v>000.000.264-00</v>
      </c>
      <c r="E115">
        <v>57</v>
      </c>
      <c r="F115">
        <v>25238</v>
      </c>
      <c r="G115" t="s">
        <v>378</v>
      </c>
      <c r="I115">
        <v>3200</v>
      </c>
      <c r="K115" t="s">
        <v>50</v>
      </c>
      <c r="L115">
        <v>18</v>
      </c>
      <c r="N115" t="s">
        <v>50</v>
      </c>
      <c r="O115">
        <v>64000</v>
      </c>
    </row>
    <row r="116" spans="1:15" hidden="1">
      <c r="A116" t="s">
        <v>76</v>
      </c>
      <c r="B116" t="s">
        <v>384</v>
      </c>
      <c r="C116">
        <v>9900</v>
      </c>
      <c r="D116" t="str">
        <f>TEXT(TabelaDirty[[#This Row],[cpf]],"000\.000\.000\-00")</f>
        <v>000.000.099-00</v>
      </c>
      <c r="E116">
        <v>64</v>
      </c>
      <c r="F116" s="11">
        <v>22828</v>
      </c>
      <c r="G116" t="s">
        <v>169</v>
      </c>
      <c r="H116" t="s">
        <v>146</v>
      </c>
      <c r="I116" s="12">
        <v>2900</v>
      </c>
      <c r="J116" s="12">
        <v>76000</v>
      </c>
      <c r="K116" t="s">
        <v>50</v>
      </c>
      <c r="L116">
        <v>32</v>
      </c>
      <c r="N116" t="s">
        <v>50</v>
      </c>
      <c r="O116">
        <v>72500</v>
      </c>
    </row>
    <row r="117" spans="1:15" hidden="1">
      <c r="A117" t="s">
        <v>81</v>
      </c>
      <c r="B117" t="s">
        <v>385</v>
      </c>
      <c r="C117">
        <v>16000</v>
      </c>
      <c r="D117" t="str">
        <f>TEXT(TabelaDirty[[#This Row],[cpf]],"000\.000\.000\-00")</f>
        <v>000.000.160-00</v>
      </c>
      <c r="E117">
        <v>73</v>
      </c>
      <c r="F117" s="11">
        <v>19299</v>
      </c>
      <c r="G117" t="s">
        <v>83</v>
      </c>
      <c r="H117" t="s">
        <v>135</v>
      </c>
      <c r="I117">
        <v>7100</v>
      </c>
      <c r="J117" s="12">
        <v>58000</v>
      </c>
      <c r="K117" t="s">
        <v>51</v>
      </c>
      <c r="L117">
        <v>22</v>
      </c>
      <c r="N117" t="s">
        <v>51</v>
      </c>
      <c r="O117">
        <v>46500</v>
      </c>
    </row>
    <row r="118" spans="1:15">
      <c r="A118" t="s">
        <v>76</v>
      </c>
      <c r="B118" t="s">
        <v>386</v>
      </c>
      <c r="C118" t="s">
        <v>387</v>
      </c>
      <c r="D118" t="str">
        <f>TEXT(TabelaDirty[[#This Row],[cpf]],"000\.000\.000\-00")</f>
        <v>000.000.141-00</v>
      </c>
      <c r="E118">
        <v>28</v>
      </c>
      <c r="F118" s="11">
        <v>35993</v>
      </c>
      <c r="G118" t="s">
        <v>103</v>
      </c>
      <c r="H118" t="s">
        <v>108</v>
      </c>
      <c r="I118" s="12">
        <v>13400</v>
      </c>
      <c r="J118" s="12">
        <v>54000</v>
      </c>
      <c r="K118" t="s">
        <v>50</v>
      </c>
      <c r="L118">
        <v>15</v>
      </c>
      <c r="N118" t="s">
        <v>50</v>
      </c>
      <c r="O118">
        <v>99000</v>
      </c>
    </row>
    <row r="119" spans="1:15" hidden="1">
      <c r="A119" t="s">
        <v>76</v>
      </c>
      <c r="B119" t="s">
        <v>388</v>
      </c>
      <c r="C119" t="s">
        <v>389</v>
      </c>
      <c r="D119" t="str">
        <f>TEXT(TabelaDirty[[#This Row],[cpf]],"000\.000\.000\-00")</f>
        <v>000.000.375-00</v>
      </c>
      <c r="E119">
        <v>26</v>
      </c>
      <c r="F119">
        <v>36622</v>
      </c>
      <c r="G119" t="s">
        <v>183</v>
      </c>
      <c r="H119" t="s">
        <v>183</v>
      </c>
      <c r="I119" t="s">
        <v>390</v>
      </c>
      <c r="J119" s="12">
        <v>65500</v>
      </c>
      <c r="K119" t="s">
        <v>391</v>
      </c>
      <c r="L119">
        <v>40</v>
      </c>
      <c r="N119" t="s">
        <v>391</v>
      </c>
      <c r="O119">
        <v>95500</v>
      </c>
    </row>
    <row r="120" spans="1:15" hidden="1">
      <c r="A120" t="s">
        <v>76</v>
      </c>
      <c r="B120" t="s">
        <v>392</v>
      </c>
      <c r="C120" t="s">
        <v>393</v>
      </c>
      <c r="D120" t="str">
        <f>TEXT(TabelaDirty[[#This Row],[cpf]],"000\.000\.000\-00")</f>
        <v>000.000.152-00</v>
      </c>
      <c r="E120">
        <v>69</v>
      </c>
      <c r="F120" s="11">
        <v>21051</v>
      </c>
      <c r="G120" t="s">
        <v>83</v>
      </c>
      <c r="H120" t="s">
        <v>84</v>
      </c>
      <c r="I120" t="s">
        <v>394</v>
      </c>
      <c r="J120">
        <v>40500</v>
      </c>
      <c r="K120" t="s">
        <v>50</v>
      </c>
      <c r="L120">
        <v>43</v>
      </c>
      <c r="N120" t="s">
        <v>50</v>
      </c>
      <c r="O120">
        <v>24500</v>
      </c>
    </row>
    <row r="121" spans="1:15" hidden="1">
      <c r="A121" t="s">
        <v>76</v>
      </c>
      <c r="B121" t="s">
        <v>395</v>
      </c>
      <c r="C121" t="s">
        <v>396</v>
      </c>
      <c r="D121" t="str">
        <f>TEXT(TabelaDirty[[#This Row],[cpf]],"000\.000\.000\-00")</f>
        <v>000.000.075-00</v>
      </c>
      <c r="E121">
        <v>67</v>
      </c>
      <c r="F121" s="11">
        <v>21624</v>
      </c>
      <c r="G121" t="s">
        <v>210</v>
      </c>
      <c r="H121" t="s">
        <v>155</v>
      </c>
      <c r="I121">
        <v>8500</v>
      </c>
      <c r="J121" s="12">
        <v>39500</v>
      </c>
      <c r="K121" t="s">
        <v>51</v>
      </c>
      <c r="N121" t="s">
        <v>51</v>
      </c>
      <c r="O121">
        <v>42000</v>
      </c>
    </row>
    <row r="122" spans="1:15" hidden="1">
      <c r="A122" t="s">
        <v>76</v>
      </c>
      <c r="B122" t="s">
        <v>397</v>
      </c>
      <c r="C122" t="s">
        <v>398</v>
      </c>
      <c r="D122" t="str">
        <f>TEXT(TabelaDirty[[#This Row],[cpf]],"000\.000\.000\-00")</f>
        <v>000.000.314-00</v>
      </c>
      <c r="E122">
        <v>53</v>
      </c>
      <c r="F122" s="11">
        <v>26584</v>
      </c>
      <c r="G122" t="s">
        <v>162</v>
      </c>
      <c r="H122" t="s">
        <v>142</v>
      </c>
      <c r="I122">
        <v>12200</v>
      </c>
      <c r="J122" s="12">
        <v>79500</v>
      </c>
      <c r="K122" t="s">
        <v>190</v>
      </c>
      <c r="L122">
        <v>45</v>
      </c>
      <c r="N122" t="s">
        <v>190</v>
      </c>
      <c r="O122">
        <v>57000</v>
      </c>
    </row>
    <row r="123" spans="1:15" hidden="1">
      <c r="A123" t="s">
        <v>76</v>
      </c>
      <c r="B123" t="s">
        <v>399</v>
      </c>
      <c r="C123" t="s">
        <v>400</v>
      </c>
      <c r="D123" t="str">
        <f>TEXT(TabelaDirty[[#This Row],[cpf]],"000\.000\.000\-00")</f>
        <v>000.000.297-00</v>
      </c>
      <c r="E123">
        <v>55</v>
      </c>
      <c r="F123">
        <v>25880</v>
      </c>
      <c r="G123" t="s">
        <v>83</v>
      </c>
      <c r="H123" t="s">
        <v>84</v>
      </c>
      <c r="I123">
        <v>27500</v>
      </c>
      <c r="J123">
        <v>14000</v>
      </c>
      <c r="K123" t="s">
        <v>50</v>
      </c>
      <c r="L123">
        <v>3</v>
      </c>
      <c r="N123" t="s">
        <v>50</v>
      </c>
      <c r="O123">
        <v>11500</v>
      </c>
    </row>
    <row r="124" spans="1:15">
      <c r="A124" t="s">
        <v>76</v>
      </c>
      <c r="B124" t="s">
        <v>401</v>
      </c>
      <c r="C124">
        <v>3800</v>
      </c>
      <c r="D124" t="str">
        <f>TEXT(TabelaDirty[[#This Row],[cpf]],"000\.000\.000\-00")</f>
        <v>000.000.038-00</v>
      </c>
      <c r="E124">
        <v>41</v>
      </c>
      <c r="F124" s="11">
        <v>30992</v>
      </c>
      <c r="G124" t="s">
        <v>103</v>
      </c>
      <c r="H124" t="s">
        <v>402</v>
      </c>
      <c r="I124" s="13">
        <v>28600</v>
      </c>
      <c r="J124" s="12">
        <v>67500</v>
      </c>
      <c r="K124" t="s">
        <v>50</v>
      </c>
      <c r="L124">
        <v>39</v>
      </c>
      <c r="N124" t="s">
        <v>50</v>
      </c>
      <c r="O124">
        <v>22000</v>
      </c>
    </row>
    <row r="125" spans="1:15" hidden="1">
      <c r="A125" t="s">
        <v>76</v>
      </c>
      <c r="B125" t="s">
        <v>403</v>
      </c>
      <c r="C125" t="s">
        <v>404</v>
      </c>
      <c r="D125" t="str">
        <f>TEXT(TabelaDirty[[#This Row],[cpf]],"000\.000\.000\-00")</f>
        <v>000.000.282-00</v>
      </c>
      <c r="E125">
        <v>56</v>
      </c>
      <c r="F125">
        <v>25671</v>
      </c>
      <c r="G125" t="s">
        <v>169</v>
      </c>
      <c r="H125" t="s">
        <v>139</v>
      </c>
      <c r="I125">
        <v>28300</v>
      </c>
      <c r="J125">
        <v>56000</v>
      </c>
      <c r="K125" t="s">
        <v>50</v>
      </c>
      <c r="L125">
        <v>6</v>
      </c>
      <c r="N125" t="s">
        <v>50</v>
      </c>
      <c r="O125">
        <v>77000</v>
      </c>
    </row>
    <row r="126" spans="1:15" hidden="1">
      <c r="A126" t="s">
        <v>76</v>
      </c>
      <c r="B126" t="s">
        <v>405</v>
      </c>
      <c r="C126">
        <v>37700</v>
      </c>
      <c r="D126" t="str">
        <f>TEXT(TabelaDirty[[#This Row],[cpf]],"000\.000\.000\-00")</f>
        <v>000.000.377-00</v>
      </c>
      <c r="E126">
        <v>23</v>
      </c>
      <c r="F126" s="11">
        <v>37566</v>
      </c>
      <c r="G126" t="s">
        <v>127</v>
      </c>
      <c r="H126" t="s">
        <v>256</v>
      </c>
      <c r="I126">
        <v>2600</v>
      </c>
      <c r="J126">
        <v>0</v>
      </c>
      <c r="K126" t="s">
        <v>51</v>
      </c>
      <c r="L126">
        <v>30</v>
      </c>
      <c r="N126" t="s">
        <v>51</v>
      </c>
      <c r="O126">
        <v>11000</v>
      </c>
    </row>
    <row r="127" spans="1:15" hidden="1">
      <c r="A127" t="s">
        <v>76</v>
      </c>
      <c r="B127" t="s">
        <v>406</v>
      </c>
      <c r="C127" t="s">
        <v>407</v>
      </c>
      <c r="D127" t="str">
        <f>TEXT(TabelaDirty[[#This Row],[cpf]],"000\.000\.000\-00")</f>
        <v>000.000.310-00</v>
      </c>
      <c r="E127">
        <v>25</v>
      </c>
      <c r="F127">
        <v>37137</v>
      </c>
      <c r="G127" t="s">
        <v>79</v>
      </c>
      <c r="H127" t="s">
        <v>80</v>
      </c>
      <c r="J127" s="13">
        <v>21000</v>
      </c>
      <c r="K127" t="s">
        <v>50</v>
      </c>
      <c r="L127">
        <v>34</v>
      </c>
      <c r="N127" t="s">
        <v>50</v>
      </c>
      <c r="O127">
        <v>7500</v>
      </c>
    </row>
    <row r="128" spans="1:15" hidden="1">
      <c r="A128" t="s">
        <v>76</v>
      </c>
      <c r="B128" t="s">
        <v>408</v>
      </c>
      <c r="C128" t="s">
        <v>409</v>
      </c>
      <c r="D128" t="str">
        <f>TEXT(TabelaDirty[[#This Row],[cpf]],"000\.000\.000\-00")</f>
        <v>000.000.376-00</v>
      </c>
      <c r="E128">
        <v>57</v>
      </c>
      <c r="F128">
        <v>25199</v>
      </c>
      <c r="G128" t="s">
        <v>148</v>
      </c>
      <c r="H128" t="s">
        <v>213</v>
      </c>
      <c r="I128" s="12">
        <v>20700</v>
      </c>
      <c r="J128">
        <v>64500</v>
      </c>
      <c r="K128" t="s">
        <v>50</v>
      </c>
      <c r="L128" t="s">
        <v>410</v>
      </c>
      <c r="N128" t="s">
        <v>50</v>
      </c>
      <c r="O128">
        <v>54500</v>
      </c>
    </row>
    <row r="129" spans="1:15" hidden="1">
      <c r="A129" t="s">
        <v>257</v>
      </c>
      <c r="B129" t="s">
        <v>411</v>
      </c>
      <c r="C129" t="s">
        <v>412</v>
      </c>
      <c r="D129" t="str">
        <f>TEXT(TabelaDirty[[#This Row],[cpf]],"000\.000\.000\-00")</f>
        <v>000.000.181-00</v>
      </c>
      <c r="E129">
        <v>73</v>
      </c>
      <c r="F129" s="11">
        <v>19314</v>
      </c>
      <c r="G129" t="s">
        <v>89</v>
      </c>
      <c r="H129" t="s">
        <v>413</v>
      </c>
      <c r="I129">
        <v>6100</v>
      </c>
      <c r="J129" t="s">
        <v>414</v>
      </c>
      <c r="K129" t="s">
        <v>50</v>
      </c>
      <c r="L129">
        <v>9</v>
      </c>
      <c r="N129" t="s">
        <v>50</v>
      </c>
      <c r="O129">
        <v>24500</v>
      </c>
    </row>
    <row r="130" spans="1:15" hidden="1">
      <c r="A130" t="s">
        <v>76</v>
      </c>
      <c r="B130" t="s">
        <v>415</v>
      </c>
      <c r="C130">
        <v>37000</v>
      </c>
      <c r="D130" t="str">
        <f>TEXT(TabelaDirty[[#This Row],[cpf]],"000\.000\.000\-00")</f>
        <v>000.000.370-00</v>
      </c>
      <c r="E130">
        <v>24</v>
      </c>
      <c r="F130" s="11">
        <v>37290</v>
      </c>
      <c r="G130" t="s">
        <v>172</v>
      </c>
      <c r="H130" t="s">
        <v>216</v>
      </c>
      <c r="I130" s="12">
        <v>6400</v>
      </c>
      <c r="J130" s="13">
        <v>41000</v>
      </c>
      <c r="K130" t="s">
        <v>50</v>
      </c>
      <c r="L130">
        <v>22</v>
      </c>
      <c r="N130" t="s">
        <v>50</v>
      </c>
      <c r="O130">
        <v>74500</v>
      </c>
    </row>
    <row r="131" spans="1:15" hidden="1">
      <c r="A131" t="s">
        <v>105</v>
      </c>
      <c r="B131" t="s">
        <v>416</v>
      </c>
      <c r="C131" t="s">
        <v>417</v>
      </c>
      <c r="D131" t="str">
        <f>TEXT(TabelaDirty[[#This Row],[cpf]],"000\.000\.000\-00")</f>
        <v>000.000.373-00</v>
      </c>
      <c r="E131">
        <v>47</v>
      </c>
      <c r="G131" t="s">
        <v>127</v>
      </c>
      <c r="I131" s="13">
        <v>11600</v>
      </c>
      <c r="J131" s="13">
        <v>63500</v>
      </c>
      <c r="K131">
        <v>0</v>
      </c>
      <c r="L131">
        <v>18</v>
      </c>
      <c r="N131">
        <v>0</v>
      </c>
      <c r="O131">
        <v>3000</v>
      </c>
    </row>
    <row r="132" spans="1:15" hidden="1">
      <c r="A132" t="s">
        <v>81</v>
      </c>
      <c r="B132" t="s">
        <v>418</v>
      </c>
      <c r="C132" t="s">
        <v>419</v>
      </c>
      <c r="D132" t="str">
        <f>TEXT(TabelaDirty[[#This Row],[cpf]],"000\.000\.000\-00")</f>
        <v>000.000.094-00</v>
      </c>
      <c r="E132">
        <v>52</v>
      </c>
      <c r="F132">
        <v>27186</v>
      </c>
      <c r="G132" t="s">
        <v>83</v>
      </c>
      <c r="H132" t="s">
        <v>187</v>
      </c>
      <c r="I132">
        <v>6400</v>
      </c>
      <c r="J132">
        <v>37000</v>
      </c>
      <c r="K132" t="s">
        <v>50</v>
      </c>
      <c r="L132">
        <v>1</v>
      </c>
      <c r="N132" t="s">
        <v>50</v>
      </c>
      <c r="O132">
        <v>87000</v>
      </c>
    </row>
    <row r="133" spans="1:15" hidden="1">
      <c r="A133" t="s">
        <v>81</v>
      </c>
      <c r="B133" t="s">
        <v>420</v>
      </c>
      <c r="C133">
        <v>26700</v>
      </c>
      <c r="D133" t="str">
        <f>TEXT(TabelaDirty[[#This Row],[cpf]],"000\.000\.000\-00")</f>
        <v>000.000.267-00</v>
      </c>
      <c r="E133">
        <v>54</v>
      </c>
      <c r="F133">
        <v>26453</v>
      </c>
      <c r="G133" t="s">
        <v>242</v>
      </c>
      <c r="H133" t="s">
        <v>243</v>
      </c>
      <c r="I133">
        <v>3900</v>
      </c>
      <c r="J133">
        <v>80000</v>
      </c>
      <c r="K133" t="s">
        <v>50</v>
      </c>
      <c r="L133" t="s">
        <v>421</v>
      </c>
      <c r="N133" t="s">
        <v>50</v>
      </c>
      <c r="O133">
        <v>30000</v>
      </c>
    </row>
    <row r="134" spans="1:15">
      <c r="A134" t="s">
        <v>76</v>
      </c>
      <c r="B134" t="s">
        <v>422</v>
      </c>
      <c r="C134" t="s">
        <v>423</v>
      </c>
      <c r="D134" t="str">
        <f>TEXT(TabelaDirty[[#This Row],[cpf]],"000\.000\.000\-00")</f>
        <v>000.000.225-00</v>
      </c>
      <c r="E134">
        <v>45</v>
      </c>
      <c r="F134" s="11">
        <v>29598</v>
      </c>
      <c r="G134" t="s">
        <v>103</v>
      </c>
      <c r="H134" t="s">
        <v>193</v>
      </c>
      <c r="I134">
        <v>22800</v>
      </c>
      <c r="K134" t="s">
        <v>50</v>
      </c>
      <c r="L134">
        <v>10</v>
      </c>
      <c r="N134" t="s">
        <v>50</v>
      </c>
      <c r="O134">
        <v>31000</v>
      </c>
    </row>
    <row r="135" spans="1:15" hidden="1">
      <c r="A135" t="s">
        <v>76</v>
      </c>
      <c r="B135" t="s">
        <v>424</v>
      </c>
      <c r="C135">
        <v>35200</v>
      </c>
      <c r="D135" t="str">
        <f>TEXT(TabelaDirty[[#This Row],[cpf]],"000\.000\.000\-00")</f>
        <v>000.000.352-00</v>
      </c>
      <c r="E135">
        <v>65</v>
      </c>
      <c r="F135">
        <v>22337</v>
      </c>
      <c r="G135" t="s">
        <v>141</v>
      </c>
      <c r="H135" t="s">
        <v>142</v>
      </c>
      <c r="I135">
        <v>3800</v>
      </c>
      <c r="J135">
        <v>49500</v>
      </c>
      <c r="K135" t="s">
        <v>50</v>
      </c>
      <c r="L135">
        <v>16</v>
      </c>
      <c r="N135" t="s">
        <v>50</v>
      </c>
      <c r="O135">
        <v>15500</v>
      </c>
    </row>
    <row r="136" spans="1:15" hidden="1">
      <c r="A136" t="s">
        <v>76</v>
      </c>
      <c r="B136" t="s">
        <v>425</v>
      </c>
      <c r="C136" t="s">
        <v>426</v>
      </c>
      <c r="D136" t="str">
        <f>TEXT(TabelaDirty[[#This Row],[cpf]],"000\.000\.000\-00")</f>
        <v>000.000.242-00</v>
      </c>
      <c r="E136">
        <v>66</v>
      </c>
      <c r="F136">
        <v>22151</v>
      </c>
      <c r="G136" t="s">
        <v>148</v>
      </c>
      <c r="H136" t="s">
        <v>149</v>
      </c>
      <c r="I136">
        <v>11800</v>
      </c>
      <c r="J136" s="12">
        <v>2000</v>
      </c>
      <c r="K136" t="s">
        <v>51</v>
      </c>
      <c r="L136">
        <v>23</v>
      </c>
      <c r="N136" t="s">
        <v>51</v>
      </c>
      <c r="O136">
        <v>72500</v>
      </c>
    </row>
    <row r="137" spans="1:15" hidden="1">
      <c r="A137" t="s">
        <v>81</v>
      </c>
      <c r="B137" t="s">
        <v>427</v>
      </c>
      <c r="C137" t="s">
        <v>428</v>
      </c>
      <c r="D137" t="str">
        <f>TEXT(TabelaDirty[[#This Row],[cpf]],"000\.000\.000\-00")</f>
        <v>000.000.357-00</v>
      </c>
      <c r="E137">
        <v>29</v>
      </c>
      <c r="F137">
        <v>35607</v>
      </c>
      <c r="G137" t="s">
        <v>154</v>
      </c>
      <c r="H137" t="s">
        <v>142</v>
      </c>
      <c r="I137">
        <v>13800</v>
      </c>
      <c r="J137">
        <v>41500</v>
      </c>
      <c r="K137" t="s">
        <v>50</v>
      </c>
      <c r="L137">
        <v>34</v>
      </c>
      <c r="N137" t="s">
        <v>50</v>
      </c>
      <c r="O137">
        <v>66000</v>
      </c>
    </row>
    <row r="138" spans="1:15" hidden="1">
      <c r="A138" t="s">
        <v>76</v>
      </c>
      <c r="B138" t="s">
        <v>429</v>
      </c>
      <c r="C138" t="s">
        <v>430</v>
      </c>
      <c r="D138" t="str">
        <f>TEXT(TabelaDirty[[#This Row],[cpf]],"000\.000\.000\-00")</f>
        <v>000.000.157-00</v>
      </c>
      <c r="E138">
        <v>22</v>
      </c>
      <c r="F138" s="11">
        <v>37904</v>
      </c>
      <c r="G138" t="s">
        <v>83</v>
      </c>
      <c r="H138" t="s">
        <v>84</v>
      </c>
      <c r="I138">
        <v>2300</v>
      </c>
      <c r="J138">
        <v>0</v>
      </c>
      <c r="K138" t="s">
        <v>51</v>
      </c>
      <c r="L138" t="s">
        <v>431</v>
      </c>
      <c r="N138" t="s">
        <v>51</v>
      </c>
      <c r="O138">
        <v>51500</v>
      </c>
    </row>
    <row r="139" spans="1:15" hidden="1">
      <c r="A139" t="s">
        <v>81</v>
      </c>
      <c r="B139" t="s">
        <v>432</v>
      </c>
      <c r="C139" t="s">
        <v>433</v>
      </c>
      <c r="D139" t="str">
        <f>TEXT(TabelaDirty[[#This Row],[cpf]],"000\.000\.000\-00")</f>
        <v>000.000.221-00</v>
      </c>
      <c r="E139">
        <v>29</v>
      </c>
      <c r="F139">
        <v>35598</v>
      </c>
      <c r="G139" t="s">
        <v>183</v>
      </c>
      <c r="H139" t="s">
        <v>183</v>
      </c>
      <c r="I139">
        <v>15500</v>
      </c>
      <c r="J139">
        <v>75000</v>
      </c>
      <c r="K139" t="s">
        <v>244</v>
      </c>
      <c r="L139">
        <v>25</v>
      </c>
      <c r="N139" t="s">
        <v>244</v>
      </c>
      <c r="O139">
        <v>47000</v>
      </c>
    </row>
    <row r="140" spans="1:15" hidden="1">
      <c r="A140" t="s">
        <v>76</v>
      </c>
      <c r="B140" t="s">
        <v>434</v>
      </c>
      <c r="C140" t="s">
        <v>435</v>
      </c>
      <c r="D140" t="str">
        <f>TEXT(TabelaDirty[[#This Row],[cpf]],"000\.000\.000\-00")</f>
        <v>000.000.115-00</v>
      </c>
      <c r="E140">
        <v>72</v>
      </c>
      <c r="F140">
        <v>19839</v>
      </c>
      <c r="G140" t="s">
        <v>79</v>
      </c>
      <c r="H140" t="s">
        <v>436</v>
      </c>
      <c r="I140" s="12">
        <v>3900</v>
      </c>
      <c r="J140">
        <v>27000</v>
      </c>
      <c r="K140" t="s">
        <v>50</v>
      </c>
      <c r="L140">
        <v>33</v>
      </c>
      <c r="N140" t="s">
        <v>50</v>
      </c>
      <c r="O140">
        <v>2000</v>
      </c>
    </row>
    <row r="141" spans="1:15" hidden="1">
      <c r="A141" t="s">
        <v>76</v>
      </c>
      <c r="B141" t="s">
        <v>437</v>
      </c>
      <c r="C141" t="s">
        <v>438</v>
      </c>
      <c r="D141" t="str">
        <f>TEXT(TabelaDirty[[#This Row],[cpf]],"000\.000\.000\-00")</f>
        <v>000.000.182-00</v>
      </c>
      <c r="E141">
        <v>58</v>
      </c>
      <c r="F141" s="11">
        <v>25066</v>
      </c>
      <c r="G141" t="s">
        <v>172</v>
      </c>
      <c r="H141" t="s">
        <v>216</v>
      </c>
      <c r="I141" s="13">
        <v>4500</v>
      </c>
      <c r="K141" t="s">
        <v>51</v>
      </c>
      <c r="L141">
        <v>31</v>
      </c>
      <c r="N141" t="s">
        <v>51</v>
      </c>
      <c r="O141">
        <v>97500</v>
      </c>
    </row>
    <row r="142" spans="1:15" hidden="1">
      <c r="A142" t="s">
        <v>173</v>
      </c>
      <c r="B142" t="s">
        <v>439</v>
      </c>
      <c r="C142">
        <v>20900</v>
      </c>
      <c r="D142" t="str">
        <f>TEXT(TabelaDirty[[#This Row],[cpf]],"000\.000\.000\-00")</f>
        <v>000.000.209-00</v>
      </c>
      <c r="E142">
        <v>33</v>
      </c>
      <c r="F142">
        <v>34021</v>
      </c>
      <c r="G142" t="s">
        <v>83</v>
      </c>
      <c r="H142" t="s">
        <v>84</v>
      </c>
      <c r="J142">
        <v>73500</v>
      </c>
      <c r="K142" t="s">
        <v>50</v>
      </c>
      <c r="L142">
        <v>33</v>
      </c>
      <c r="N142" t="s">
        <v>50</v>
      </c>
      <c r="O142">
        <v>95000</v>
      </c>
    </row>
    <row r="143" spans="1:15" hidden="1">
      <c r="A143" t="s">
        <v>76</v>
      </c>
      <c r="B143" t="s">
        <v>440</v>
      </c>
      <c r="C143">
        <v>36900</v>
      </c>
      <c r="D143" t="str">
        <f>TEXT(TabelaDirty[[#This Row],[cpf]],"000\.000\.000\-00")</f>
        <v>000.000.369-00</v>
      </c>
      <c r="E143">
        <v>61</v>
      </c>
      <c r="F143">
        <v>23928</v>
      </c>
      <c r="G143" t="s">
        <v>302</v>
      </c>
      <c r="H143" t="s">
        <v>84</v>
      </c>
      <c r="I143">
        <v>22900</v>
      </c>
      <c r="J143">
        <v>7500</v>
      </c>
      <c r="K143" t="s">
        <v>50</v>
      </c>
      <c r="L143">
        <v>12</v>
      </c>
      <c r="N143" t="s">
        <v>50</v>
      </c>
      <c r="O143">
        <v>73000</v>
      </c>
    </row>
    <row r="144" spans="1:15" hidden="1">
      <c r="A144" t="s">
        <v>76</v>
      </c>
      <c r="B144" t="s">
        <v>441</v>
      </c>
      <c r="C144" t="s">
        <v>442</v>
      </c>
      <c r="D144" t="str">
        <f>TEXT(TabelaDirty[[#This Row],[cpf]],"000\.000\.000\-00")</f>
        <v>000.000.259-00</v>
      </c>
      <c r="E144">
        <v>73</v>
      </c>
      <c r="F144">
        <v>19363</v>
      </c>
      <c r="G144" t="s">
        <v>172</v>
      </c>
      <c r="H144" t="s">
        <v>149</v>
      </c>
      <c r="I144" t="s">
        <v>123</v>
      </c>
      <c r="J144" s="12">
        <v>19000</v>
      </c>
      <c r="K144" t="s">
        <v>50</v>
      </c>
      <c r="L144">
        <v>0</v>
      </c>
      <c r="N144" t="s">
        <v>50</v>
      </c>
      <c r="O144">
        <v>17000</v>
      </c>
    </row>
    <row r="145" spans="1:15" hidden="1">
      <c r="A145" t="s">
        <v>443</v>
      </c>
      <c r="B145" t="s">
        <v>444</v>
      </c>
      <c r="C145">
        <v>6900</v>
      </c>
      <c r="D145" t="str">
        <f>TEXT(TabelaDirty[[#This Row],[cpf]],"000\.000\.000\-00")</f>
        <v>000.000.069-00</v>
      </c>
      <c r="E145">
        <v>51</v>
      </c>
      <c r="F145">
        <v>27590</v>
      </c>
      <c r="G145" t="s">
        <v>141</v>
      </c>
      <c r="H145" t="s">
        <v>142</v>
      </c>
      <c r="I145" s="13">
        <v>19400</v>
      </c>
      <c r="J145">
        <v>4000</v>
      </c>
      <c r="K145" t="s">
        <v>50</v>
      </c>
      <c r="L145">
        <v>30</v>
      </c>
      <c r="N145" t="s">
        <v>50</v>
      </c>
      <c r="O145">
        <v>38500</v>
      </c>
    </row>
    <row r="146" spans="1:15" hidden="1">
      <c r="A146" t="s">
        <v>76</v>
      </c>
      <c r="B146" t="s">
        <v>445</v>
      </c>
      <c r="C146" t="s">
        <v>446</v>
      </c>
      <c r="D146" t="str">
        <f>TEXT(TabelaDirty[[#This Row],[cpf]],"000\.000\.000\-00")</f>
        <v>000.000.052-00</v>
      </c>
      <c r="E146">
        <v>43</v>
      </c>
      <c r="F146" s="11">
        <v>30309</v>
      </c>
      <c r="G146" t="s">
        <v>242</v>
      </c>
      <c r="H146" t="s">
        <v>243</v>
      </c>
      <c r="I146" s="12">
        <v>18400</v>
      </c>
      <c r="J146">
        <v>62000</v>
      </c>
      <c r="K146" t="s">
        <v>50</v>
      </c>
      <c r="L146">
        <v>33</v>
      </c>
      <c r="N146" t="s">
        <v>50</v>
      </c>
      <c r="O146">
        <v>31000</v>
      </c>
    </row>
    <row r="147" spans="1:15" hidden="1">
      <c r="A147" t="s">
        <v>81</v>
      </c>
      <c r="B147" t="s">
        <v>447</v>
      </c>
      <c r="C147" t="s">
        <v>448</v>
      </c>
      <c r="D147" t="str">
        <f>TEXT(TabelaDirty[[#This Row],[cpf]],"000\.000\.000\-00")</f>
        <v>000.000.173-00</v>
      </c>
      <c r="E147">
        <v>63</v>
      </c>
      <c r="F147">
        <v>23119</v>
      </c>
      <c r="G147" t="s">
        <v>79</v>
      </c>
      <c r="H147" t="s">
        <v>100</v>
      </c>
      <c r="I147">
        <v>9300</v>
      </c>
      <c r="J147">
        <v>48500</v>
      </c>
      <c r="K147" t="s">
        <v>50</v>
      </c>
      <c r="L147">
        <v>28</v>
      </c>
      <c r="N147" t="s">
        <v>50</v>
      </c>
      <c r="O147">
        <v>20000</v>
      </c>
    </row>
    <row r="148" spans="1:15" hidden="1">
      <c r="A148" t="s">
        <v>81</v>
      </c>
      <c r="B148" t="s">
        <v>449</v>
      </c>
      <c r="C148" t="s">
        <v>450</v>
      </c>
      <c r="D148" t="str">
        <f>TEXT(TabelaDirty[[#This Row],[cpf]],"000\.000\.000\-00")</f>
        <v>000.000.073-00</v>
      </c>
      <c r="E148">
        <v>63</v>
      </c>
      <c r="F148" s="11">
        <v>22924</v>
      </c>
      <c r="G148" t="s">
        <v>127</v>
      </c>
      <c r="H148" t="s">
        <v>256</v>
      </c>
      <c r="I148">
        <v>29000</v>
      </c>
      <c r="J148" s="12">
        <v>36500</v>
      </c>
      <c r="K148" t="s">
        <v>50</v>
      </c>
      <c r="L148">
        <v>38</v>
      </c>
      <c r="N148" t="s">
        <v>50</v>
      </c>
      <c r="O148">
        <v>47000</v>
      </c>
    </row>
    <row r="149" spans="1:15" hidden="1">
      <c r="A149" t="s">
        <v>81</v>
      </c>
      <c r="B149" t="s">
        <v>451</v>
      </c>
      <c r="C149">
        <v>23700</v>
      </c>
      <c r="D149" t="str">
        <f>TEXT(TabelaDirty[[#This Row],[cpf]],"000\.000\.000\-00")</f>
        <v>000.000.237-00</v>
      </c>
      <c r="F149">
        <v>19234</v>
      </c>
      <c r="G149" t="s">
        <v>172</v>
      </c>
      <c r="H149" t="s">
        <v>149</v>
      </c>
      <c r="I149" s="12">
        <v>8900</v>
      </c>
      <c r="J149" s="12">
        <v>4000</v>
      </c>
      <c r="K149" t="s">
        <v>50</v>
      </c>
      <c r="L149">
        <v>38</v>
      </c>
      <c r="N149" t="s">
        <v>50</v>
      </c>
      <c r="O149">
        <v>22500</v>
      </c>
    </row>
    <row r="150" spans="1:15" hidden="1">
      <c r="B150" t="s">
        <v>452</v>
      </c>
      <c r="C150" t="s">
        <v>453</v>
      </c>
      <c r="D150" t="str">
        <f>TEXT(TabelaDirty[[#This Row],[cpf]],"000\.000\.000\-00")</f>
        <v>000.000.169-00</v>
      </c>
      <c r="E150">
        <v>61</v>
      </c>
      <c r="F150">
        <v>23813</v>
      </c>
      <c r="G150" t="s">
        <v>127</v>
      </c>
      <c r="H150" t="s">
        <v>122</v>
      </c>
      <c r="I150" s="12">
        <v>26300</v>
      </c>
      <c r="J150">
        <v>40000</v>
      </c>
      <c r="K150" t="s">
        <v>51</v>
      </c>
      <c r="L150" t="s">
        <v>313</v>
      </c>
      <c r="N150" t="s">
        <v>51</v>
      </c>
      <c r="O150">
        <v>16500</v>
      </c>
    </row>
    <row r="151" spans="1:15" hidden="1">
      <c r="A151" t="s">
        <v>76</v>
      </c>
      <c r="B151" t="s">
        <v>454</v>
      </c>
      <c r="C151" t="s">
        <v>455</v>
      </c>
      <c r="D151" t="str">
        <f>TEXT(TabelaDirty[[#This Row],[cpf]],"000\.000\.000\-00")</f>
        <v>000.000.012-00</v>
      </c>
      <c r="E151">
        <v>53</v>
      </c>
      <c r="F151" s="11">
        <v>26631</v>
      </c>
      <c r="G151" t="s">
        <v>242</v>
      </c>
      <c r="H151" t="s">
        <v>456</v>
      </c>
      <c r="I151" s="12">
        <v>22700</v>
      </c>
      <c r="J151">
        <v>42500</v>
      </c>
      <c r="K151" t="s">
        <v>51</v>
      </c>
      <c r="L151">
        <v>25</v>
      </c>
      <c r="N151" t="s">
        <v>51</v>
      </c>
      <c r="O151">
        <v>86000</v>
      </c>
    </row>
    <row r="152" spans="1:15" hidden="1">
      <c r="A152" t="s">
        <v>76</v>
      </c>
      <c r="B152" t="s">
        <v>457</v>
      </c>
      <c r="C152" t="s">
        <v>458</v>
      </c>
      <c r="D152" t="str">
        <f>TEXT(TabelaDirty[[#This Row],[cpf]],"000\.000\.000\-00")</f>
        <v>000.000.148-00</v>
      </c>
      <c r="E152">
        <v>48</v>
      </c>
      <c r="F152">
        <v>28673</v>
      </c>
      <c r="G152" t="s">
        <v>242</v>
      </c>
      <c r="H152" t="s">
        <v>456</v>
      </c>
      <c r="I152" s="12">
        <v>2300</v>
      </c>
      <c r="J152">
        <v>26500</v>
      </c>
      <c r="K152" t="s">
        <v>93</v>
      </c>
      <c r="L152">
        <v>44</v>
      </c>
      <c r="N152" t="s">
        <v>93</v>
      </c>
      <c r="O152">
        <v>81000</v>
      </c>
    </row>
    <row r="153" spans="1:15" hidden="1">
      <c r="A153" t="s">
        <v>81</v>
      </c>
      <c r="B153" t="s">
        <v>459</v>
      </c>
      <c r="C153" t="s">
        <v>460</v>
      </c>
      <c r="D153" t="str">
        <f>TEXT(TabelaDirty[[#This Row],[cpf]],"000\.000\.000\-00")</f>
        <v>000.000.250-00</v>
      </c>
      <c r="F153">
        <v>38001</v>
      </c>
      <c r="G153" t="s">
        <v>162</v>
      </c>
      <c r="H153" t="s">
        <v>155</v>
      </c>
      <c r="I153">
        <v>2100</v>
      </c>
      <c r="J153">
        <v>79500</v>
      </c>
      <c r="K153" t="s">
        <v>51</v>
      </c>
      <c r="L153">
        <v>29</v>
      </c>
      <c r="N153" t="s">
        <v>51</v>
      </c>
      <c r="O153">
        <v>64000</v>
      </c>
    </row>
    <row r="154" spans="1:15" hidden="1">
      <c r="A154" t="s">
        <v>81</v>
      </c>
      <c r="B154" t="s">
        <v>461</v>
      </c>
      <c r="C154" t="s">
        <v>462</v>
      </c>
      <c r="D154" t="str">
        <f>TEXT(TabelaDirty[[#This Row],[cpf]],"000\.000\.000\-00")</f>
        <v>000.000.186-00</v>
      </c>
      <c r="E154">
        <v>33</v>
      </c>
      <c r="F154" s="11">
        <v>33955</v>
      </c>
      <c r="G154" t="s">
        <v>210</v>
      </c>
      <c r="H154" t="s">
        <v>142</v>
      </c>
      <c r="I154">
        <v>25700</v>
      </c>
      <c r="J154">
        <v>35000</v>
      </c>
      <c r="K154" t="s">
        <v>50</v>
      </c>
      <c r="L154">
        <v>40</v>
      </c>
      <c r="N154" t="s">
        <v>50</v>
      </c>
      <c r="O154">
        <v>1000</v>
      </c>
    </row>
    <row r="155" spans="1:15" hidden="1">
      <c r="A155" t="s">
        <v>81</v>
      </c>
      <c r="B155" t="s">
        <v>463</v>
      </c>
      <c r="C155">
        <v>27300</v>
      </c>
      <c r="D155" t="str">
        <f>TEXT(TabelaDirty[[#This Row],[cpf]],"000\.000\.000\-00")</f>
        <v>000.000.273-00</v>
      </c>
      <c r="E155">
        <v>66</v>
      </c>
      <c r="F155">
        <v>21873</v>
      </c>
      <c r="G155" t="s">
        <v>162</v>
      </c>
      <c r="H155" t="s">
        <v>142</v>
      </c>
      <c r="I155" s="12">
        <v>9900</v>
      </c>
      <c r="J155" t="s">
        <v>464</v>
      </c>
      <c r="K155" t="s">
        <v>50</v>
      </c>
      <c r="L155">
        <v>13</v>
      </c>
      <c r="N155" t="s">
        <v>50</v>
      </c>
      <c r="O155">
        <v>37000</v>
      </c>
    </row>
    <row r="156" spans="1:15" hidden="1">
      <c r="A156" t="s">
        <v>173</v>
      </c>
      <c r="B156" t="s">
        <v>465</v>
      </c>
      <c r="C156">
        <v>33700</v>
      </c>
      <c r="D156" t="str">
        <f>TEXT(TabelaDirty[[#This Row],[cpf]],"000\.000\.000\-00")</f>
        <v>000.000.337-00</v>
      </c>
      <c r="E156">
        <v>44</v>
      </c>
      <c r="F156">
        <v>30167</v>
      </c>
      <c r="G156" t="s">
        <v>148</v>
      </c>
      <c r="I156">
        <v>5500</v>
      </c>
      <c r="J156" s="12">
        <v>26000</v>
      </c>
      <c r="K156" t="s">
        <v>50</v>
      </c>
      <c r="L156" t="s">
        <v>466</v>
      </c>
      <c r="N156" t="s">
        <v>50</v>
      </c>
      <c r="O156">
        <v>64000</v>
      </c>
    </row>
    <row r="157" spans="1:15" hidden="1">
      <c r="A157" t="s">
        <v>81</v>
      </c>
      <c r="B157" t="s">
        <v>467</v>
      </c>
      <c r="C157" t="s">
        <v>468</v>
      </c>
      <c r="D157" t="str">
        <f>TEXT(TabelaDirty[[#This Row],[cpf]],"000\.000\.000\-00")</f>
        <v>000.000.258-00</v>
      </c>
      <c r="E157">
        <v>33</v>
      </c>
      <c r="F157" s="11">
        <v>34154</v>
      </c>
      <c r="G157" t="s">
        <v>141</v>
      </c>
      <c r="H157" t="s">
        <v>142</v>
      </c>
      <c r="I157">
        <v>2400</v>
      </c>
      <c r="J157" s="12">
        <v>78000</v>
      </c>
      <c r="K157" t="s">
        <v>50</v>
      </c>
      <c r="L157">
        <v>6</v>
      </c>
      <c r="N157" t="s">
        <v>50</v>
      </c>
      <c r="O157">
        <v>28000</v>
      </c>
    </row>
    <row r="158" spans="1:15" hidden="1">
      <c r="A158" t="s">
        <v>76</v>
      </c>
      <c r="B158" t="s">
        <v>469</v>
      </c>
      <c r="C158" t="s">
        <v>470</v>
      </c>
      <c r="D158" t="str">
        <f>TEXT(TabelaDirty[[#This Row],[cpf]],"000\.000\.000\-00")</f>
        <v>000.000.254-00</v>
      </c>
      <c r="E158">
        <v>51</v>
      </c>
      <c r="F158" s="11">
        <v>27505</v>
      </c>
      <c r="G158" t="s">
        <v>471</v>
      </c>
      <c r="I158" s="12">
        <v>7200</v>
      </c>
      <c r="J158" t="s">
        <v>472</v>
      </c>
      <c r="K158" t="s">
        <v>51</v>
      </c>
      <c r="L158">
        <v>40</v>
      </c>
      <c r="N158" t="s">
        <v>51</v>
      </c>
      <c r="O158">
        <v>5500</v>
      </c>
    </row>
    <row r="159" spans="1:15" hidden="1">
      <c r="A159" t="s">
        <v>76</v>
      </c>
      <c r="B159" t="s">
        <v>473</v>
      </c>
      <c r="C159">
        <v>18800</v>
      </c>
      <c r="D159" t="str">
        <f>TEXT(TabelaDirty[[#This Row],[cpf]],"000\.000\.000\-00")</f>
        <v>000.000.188-00</v>
      </c>
      <c r="E159">
        <v>43</v>
      </c>
      <c r="F159">
        <v>30355</v>
      </c>
      <c r="G159" t="s">
        <v>154</v>
      </c>
      <c r="H159" t="s">
        <v>142</v>
      </c>
      <c r="I159" s="12">
        <v>21700</v>
      </c>
      <c r="J159">
        <v>31000</v>
      </c>
      <c r="K159" t="s">
        <v>50</v>
      </c>
      <c r="L159">
        <v>27</v>
      </c>
      <c r="N159" t="s">
        <v>50</v>
      </c>
      <c r="O159">
        <v>45500</v>
      </c>
    </row>
    <row r="160" spans="1:15" hidden="1">
      <c r="A160" t="s">
        <v>76</v>
      </c>
      <c r="B160" t="s">
        <v>474</v>
      </c>
      <c r="C160" t="s">
        <v>475</v>
      </c>
      <c r="D160" t="str">
        <f>TEXT(TabelaDirty[[#This Row],[cpf]],"000\.000\.000\-00")</f>
        <v>000.000.097-00</v>
      </c>
      <c r="E160">
        <v>56</v>
      </c>
      <c r="F160" s="11">
        <v>25808</v>
      </c>
      <c r="G160" t="s">
        <v>148</v>
      </c>
      <c r="H160" t="s">
        <v>149</v>
      </c>
      <c r="I160">
        <v>5400</v>
      </c>
      <c r="J160">
        <v>61000</v>
      </c>
      <c r="K160" t="s">
        <v>50</v>
      </c>
      <c r="L160">
        <v>12</v>
      </c>
      <c r="N160" t="s">
        <v>50</v>
      </c>
      <c r="O160">
        <v>96500</v>
      </c>
    </row>
    <row r="161" spans="1:15" hidden="1">
      <c r="A161" t="s">
        <v>105</v>
      </c>
      <c r="B161" t="s">
        <v>476</v>
      </c>
      <c r="C161">
        <v>10200</v>
      </c>
      <c r="D161" t="str">
        <f>TEXT(TabelaDirty[[#This Row],[cpf]],"000\.000\.000\-00")</f>
        <v>000.000.102-00</v>
      </c>
      <c r="E161">
        <v>35</v>
      </c>
      <c r="F161" s="11">
        <v>33444</v>
      </c>
      <c r="G161" t="s">
        <v>89</v>
      </c>
      <c r="H161" t="s">
        <v>90</v>
      </c>
      <c r="I161" s="13">
        <v>8400</v>
      </c>
      <c r="J161">
        <v>62500</v>
      </c>
      <c r="K161" t="s">
        <v>50</v>
      </c>
      <c r="L161">
        <v>31</v>
      </c>
      <c r="N161" t="s">
        <v>50</v>
      </c>
      <c r="O161">
        <v>83500</v>
      </c>
    </row>
    <row r="162" spans="1:15" hidden="1">
      <c r="A162" t="s">
        <v>81</v>
      </c>
      <c r="B162" t="s">
        <v>477</v>
      </c>
      <c r="C162" t="s">
        <v>478</v>
      </c>
      <c r="D162" t="str">
        <f>TEXT(TabelaDirty[[#This Row],[cpf]],"000\.000\.000\-00")</f>
        <v>000.000.291-00</v>
      </c>
      <c r="E162">
        <v>44</v>
      </c>
      <c r="F162">
        <v>29948</v>
      </c>
      <c r="G162" t="s">
        <v>183</v>
      </c>
      <c r="H162" t="s">
        <v>183</v>
      </c>
      <c r="J162">
        <v>0</v>
      </c>
      <c r="K162" t="s">
        <v>50</v>
      </c>
      <c r="L162">
        <v>4</v>
      </c>
      <c r="N162" t="s">
        <v>50</v>
      </c>
      <c r="O162">
        <v>80000</v>
      </c>
    </row>
    <row r="163" spans="1:15" hidden="1">
      <c r="A163" t="s">
        <v>81</v>
      </c>
      <c r="B163" t="s">
        <v>479</v>
      </c>
      <c r="C163" t="s">
        <v>480</v>
      </c>
      <c r="D163" t="str">
        <f>TEXT(TabelaDirty[[#This Row],[cpf]],"000\.000\.000\-00")</f>
        <v>000.000.211-00</v>
      </c>
      <c r="E163">
        <v>31</v>
      </c>
      <c r="F163" s="11">
        <v>34738</v>
      </c>
      <c r="G163" t="s">
        <v>148</v>
      </c>
      <c r="H163" t="s">
        <v>149</v>
      </c>
      <c r="I163">
        <v>22600</v>
      </c>
      <c r="J163">
        <v>58000</v>
      </c>
      <c r="K163" t="s">
        <v>190</v>
      </c>
      <c r="L163" t="s">
        <v>481</v>
      </c>
      <c r="N163" t="s">
        <v>190</v>
      </c>
      <c r="O163">
        <v>26500</v>
      </c>
    </row>
    <row r="164" spans="1:15" hidden="1">
      <c r="A164" t="s">
        <v>81</v>
      </c>
      <c r="B164" t="s">
        <v>482</v>
      </c>
      <c r="C164" t="s">
        <v>483</v>
      </c>
      <c r="D164" t="str">
        <f>TEXT(TabelaDirty[[#This Row],[cpf]],"000\.000\.000\-00")</f>
        <v>000.000.017-00</v>
      </c>
      <c r="E164">
        <v>30</v>
      </c>
      <c r="F164">
        <v>35213</v>
      </c>
      <c r="G164" t="s">
        <v>343</v>
      </c>
      <c r="I164">
        <v>3900</v>
      </c>
      <c r="J164">
        <v>45000</v>
      </c>
      <c r="K164" t="s">
        <v>50</v>
      </c>
      <c r="L164">
        <v>34</v>
      </c>
      <c r="N164" t="s">
        <v>50</v>
      </c>
      <c r="O164">
        <v>41500</v>
      </c>
    </row>
    <row r="165" spans="1:15" hidden="1">
      <c r="A165" t="s">
        <v>81</v>
      </c>
      <c r="B165" t="s">
        <v>484</v>
      </c>
      <c r="C165" t="s">
        <v>485</v>
      </c>
      <c r="D165" t="str">
        <f>TEXT(TabelaDirty[[#This Row],[cpf]],"000\.000\.000\-00")</f>
        <v>000.000.241-00</v>
      </c>
      <c r="E165">
        <v>21</v>
      </c>
      <c r="F165" s="11">
        <v>38328</v>
      </c>
      <c r="G165" t="s">
        <v>112</v>
      </c>
      <c r="H165" t="s">
        <v>264</v>
      </c>
      <c r="I165">
        <v>4400</v>
      </c>
      <c r="J165">
        <v>23500</v>
      </c>
      <c r="K165" t="s">
        <v>51</v>
      </c>
      <c r="L165">
        <v>31</v>
      </c>
      <c r="N165" t="s">
        <v>51</v>
      </c>
      <c r="O165">
        <v>91000</v>
      </c>
    </row>
    <row r="166" spans="1:15" hidden="1">
      <c r="A166" t="s">
        <v>76</v>
      </c>
      <c r="B166" t="s">
        <v>486</v>
      </c>
      <c r="C166">
        <v>30000</v>
      </c>
      <c r="D166" t="str">
        <f>TEXT(TabelaDirty[[#This Row],[cpf]],"000\.000\.000\-00")</f>
        <v>000.000.300-00</v>
      </c>
      <c r="E166">
        <v>48</v>
      </c>
      <c r="F166">
        <v>28509</v>
      </c>
      <c r="G166" t="s">
        <v>169</v>
      </c>
      <c r="H166" t="s">
        <v>146</v>
      </c>
      <c r="I166" t="s">
        <v>487</v>
      </c>
      <c r="J166" s="12">
        <v>9000</v>
      </c>
      <c r="K166">
        <v>0</v>
      </c>
      <c r="L166">
        <v>28</v>
      </c>
      <c r="N166">
        <v>0</v>
      </c>
      <c r="O166">
        <v>80000</v>
      </c>
    </row>
    <row r="167" spans="1:15" hidden="1">
      <c r="A167" t="s">
        <v>76</v>
      </c>
      <c r="B167" t="s">
        <v>488</v>
      </c>
      <c r="C167" t="s">
        <v>489</v>
      </c>
      <c r="D167" t="str">
        <f>TEXT(TabelaDirty[[#This Row],[cpf]],"000\.000\.000\-00")</f>
        <v>000.000.201-00</v>
      </c>
      <c r="F167">
        <v>25925</v>
      </c>
      <c r="G167" t="s">
        <v>112</v>
      </c>
      <c r="H167" t="s">
        <v>264</v>
      </c>
      <c r="I167" s="12">
        <v>20200</v>
      </c>
      <c r="J167">
        <v>61000</v>
      </c>
      <c r="K167" t="s">
        <v>50</v>
      </c>
      <c r="L167">
        <v>10</v>
      </c>
      <c r="N167" t="s">
        <v>50</v>
      </c>
      <c r="O167">
        <v>6500</v>
      </c>
    </row>
    <row r="168" spans="1:15" hidden="1">
      <c r="B168" t="s">
        <v>490</v>
      </c>
      <c r="C168" t="s">
        <v>491</v>
      </c>
      <c r="D168" t="str">
        <f>TEXT(TabelaDirty[[#This Row],[cpf]],"000\.000\.000\-00")</f>
        <v>000.000.177-00</v>
      </c>
      <c r="E168">
        <v>56</v>
      </c>
      <c r="F168" s="11">
        <v>25705</v>
      </c>
      <c r="G168" t="s">
        <v>223</v>
      </c>
      <c r="H168" t="s">
        <v>90</v>
      </c>
      <c r="I168" s="12">
        <v>11100</v>
      </c>
      <c r="J168" s="12">
        <v>13000</v>
      </c>
      <c r="K168" t="s">
        <v>50</v>
      </c>
      <c r="L168">
        <v>38</v>
      </c>
      <c r="N168" t="s">
        <v>50</v>
      </c>
      <c r="O168">
        <v>88000</v>
      </c>
    </row>
    <row r="169" spans="1:15" hidden="1">
      <c r="A169" t="s">
        <v>76</v>
      </c>
      <c r="B169" t="s">
        <v>492</v>
      </c>
      <c r="C169" t="s">
        <v>493</v>
      </c>
      <c r="D169" t="str">
        <f>TEXT(TabelaDirty[[#This Row],[cpf]],"000\.000\.000\-00")</f>
        <v>000.000.070-00</v>
      </c>
      <c r="E169">
        <v>62</v>
      </c>
      <c r="F169" s="11">
        <v>23337</v>
      </c>
      <c r="G169" t="s">
        <v>89</v>
      </c>
      <c r="H169" t="s">
        <v>90</v>
      </c>
      <c r="I169">
        <v>11900</v>
      </c>
      <c r="J169" s="13">
        <v>58500</v>
      </c>
      <c r="K169" t="s">
        <v>50</v>
      </c>
      <c r="L169">
        <v>37</v>
      </c>
      <c r="N169" t="s">
        <v>50</v>
      </c>
      <c r="O169">
        <v>48000</v>
      </c>
    </row>
    <row r="170" spans="1:15" hidden="1">
      <c r="A170" t="s">
        <v>76</v>
      </c>
      <c r="B170" t="s">
        <v>494</v>
      </c>
      <c r="C170" t="s">
        <v>495</v>
      </c>
      <c r="D170" t="str">
        <f>TEXT(TabelaDirty[[#This Row],[cpf]],"000\.000\.000\-00")</f>
        <v>000.000.143-00</v>
      </c>
      <c r="E170">
        <v>26</v>
      </c>
      <c r="F170">
        <v>36619</v>
      </c>
      <c r="G170" t="s">
        <v>169</v>
      </c>
      <c r="H170" t="s">
        <v>139</v>
      </c>
      <c r="I170" t="s">
        <v>496</v>
      </c>
      <c r="J170">
        <v>42500</v>
      </c>
      <c r="K170" t="s">
        <v>51</v>
      </c>
      <c r="L170">
        <v>29</v>
      </c>
      <c r="N170" t="s">
        <v>51</v>
      </c>
      <c r="O170">
        <v>66000</v>
      </c>
    </row>
    <row r="171" spans="1:15" hidden="1">
      <c r="A171" t="s">
        <v>76</v>
      </c>
      <c r="B171" t="s">
        <v>497</v>
      </c>
      <c r="C171" t="s">
        <v>498</v>
      </c>
      <c r="D171" t="str">
        <f>TEXT(TabelaDirty[[#This Row],[cpf]],"000\.000\.000\-00")</f>
        <v>000.000.178-00</v>
      </c>
      <c r="E171">
        <v>30</v>
      </c>
      <c r="F171" s="11">
        <v>35109</v>
      </c>
      <c r="G171" t="s">
        <v>83</v>
      </c>
      <c r="H171" t="s">
        <v>135</v>
      </c>
      <c r="I171">
        <v>2600</v>
      </c>
      <c r="J171">
        <v>62000</v>
      </c>
      <c r="K171" t="s">
        <v>50</v>
      </c>
      <c r="L171">
        <v>22</v>
      </c>
      <c r="N171" t="s">
        <v>50</v>
      </c>
      <c r="O171">
        <v>62000</v>
      </c>
    </row>
    <row r="172" spans="1:15" hidden="1">
      <c r="A172" t="s">
        <v>76</v>
      </c>
      <c r="B172" t="s">
        <v>499</v>
      </c>
      <c r="C172" t="s">
        <v>500</v>
      </c>
      <c r="D172" t="str">
        <f>TEXT(TabelaDirty[[#This Row],[cpf]],"000\.000\.000\-00")</f>
        <v>000.000.326-00</v>
      </c>
      <c r="F172" s="11">
        <v>19168</v>
      </c>
      <c r="G172" t="s">
        <v>112</v>
      </c>
      <c r="H172" t="s">
        <v>132</v>
      </c>
      <c r="I172">
        <v>25000</v>
      </c>
      <c r="J172">
        <v>0</v>
      </c>
      <c r="K172" t="s">
        <v>50</v>
      </c>
      <c r="L172">
        <v>3</v>
      </c>
      <c r="N172" t="s">
        <v>50</v>
      </c>
      <c r="O172">
        <v>2500</v>
      </c>
    </row>
    <row r="173" spans="1:15" hidden="1">
      <c r="A173" t="s">
        <v>81</v>
      </c>
      <c r="B173" t="s">
        <v>501</v>
      </c>
      <c r="C173" t="s">
        <v>502</v>
      </c>
      <c r="D173" t="str">
        <f>TEXT(TabelaDirty[[#This Row],[cpf]],"000\.000\.000\-00")</f>
        <v>000.000.245-00</v>
      </c>
      <c r="E173">
        <v>65</v>
      </c>
      <c r="F173">
        <v>22205</v>
      </c>
      <c r="G173" t="s">
        <v>141</v>
      </c>
      <c r="H173" t="s">
        <v>142</v>
      </c>
      <c r="I173">
        <v>19800</v>
      </c>
      <c r="J173" s="13">
        <v>78500</v>
      </c>
      <c r="K173" t="s">
        <v>50</v>
      </c>
      <c r="L173">
        <v>34</v>
      </c>
      <c r="N173" t="s">
        <v>50</v>
      </c>
      <c r="O173">
        <v>23000</v>
      </c>
    </row>
    <row r="174" spans="1:15" hidden="1">
      <c r="A174" t="s">
        <v>81</v>
      </c>
      <c r="B174" t="s">
        <v>503</v>
      </c>
      <c r="C174" t="s">
        <v>504</v>
      </c>
      <c r="D174" t="str">
        <f>TEXT(TabelaDirty[[#This Row],[cpf]],"000\.000\.000\-00")</f>
        <v>000.000.061-00</v>
      </c>
      <c r="E174">
        <v>58</v>
      </c>
      <c r="F174" s="11">
        <v>24726</v>
      </c>
      <c r="G174" t="s">
        <v>121</v>
      </c>
      <c r="H174" t="s">
        <v>122</v>
      </c>
      <c r="I174" t="s">
        <v>505</v>
      </c>
      <c r="J174">
        <v>40000</v>
      </c>
      <c r="K174" t="s">
        <v>50</v>
      </c>
      <c r="L174">
        <v>16</v>
      </c>
      <c r="N174" t="s">
        <v>50</v>
      </c>
      <c r="O174">
        <v>98500</v>
      </c>
    </row>
    <row r="175" spans="1:15" hidden="1">
      <c r="A175" t="s">
        <v>76</v>
      </c>
      <c r="B175" t="s">
        <v>506</v>
      </c>
      <c r="C175" t="s">
        <v>507</v>
      </c>
      <c r="D175" t="str">
        <f>TEXT(TabelaDirty[[#This Row],[cpf]],"000\.000\.000\-00")</f>
        <v>000.000.023-00</v>
      </c>
      <c r="E175">
        <v>45</v>
      </c>
      <c r="F175">
        <v>29769</v>
      </c>
      <c r="G175" t="s">
        <v>83</v>
      </c>
      <c r="H175" t="s">
        <v>187</v>
      </c>
      <c r="I175">
        <v>24400</v>
      </c>
      <c r="J175" s="12">
        <v>7500</v>
      </c>
      <c r="K175" t="s">
        <v>190</v>
      </c>
      <c r="L175">
        <v>13</v>
      </c>
      <c r="N175" t="s">
        <v>190</v>
      </c>
      <c r="O175">
        <v>95000</v>
      </c>
    </row>
    <row r="176" spans="1:15" hidden="1">
      <c r="A176" t="s">
        <v>76</v>
      </c>
      <c r="B176" t="s">
        <v>508</v>
      </c>
      <c r="C176">
        <v>34800</v>
      </c>
      <c r="D176" t="str">
        <f>TEXT(TabelaDirty[[#This Row],[cpf]],"000\.000\.000\-00")</f>
        <v>000.000.348-00</v>
      </c>
      <c r="E176">
        <v>26</v>
      </c>
      <c r="F176">
        <v>36596</v>
      </c>
      <c r="G176" t="s">
        <v>154</v>
      </c>
      <c r="H176" t="s">
        <v>176</v>
      </c>
      <c r="I176">
        <v>3500</v>
      </c>
      <c r="J176">
        <v>50000</v>
      </c>
      <c r="K176">
        <v>0</v>
      </c>
      <c r="L176">
        <v>40</v>
      </c>
      <c r="N176">
        <v>0</v>
      </c>
      <c r="O176">
        <v>46500</v>
      </c>
    </row>
    <row r="177" spans="1:15">
      <c r="A177" t="s">
        <v>76</v>
      </c>
      <c r="B177" t="s">
        <v>509</v>
      </c>
      <c r="C177" t="s">
        <v>510</v>
      </c>
      <c r="D177" t="str">
        <f>TEXT(TabelaDirty[[#This Row],[cpf]],"000\.000\.000\-00")</f>
        <v>000.000.301-00</v>
      </c>
      <c r="E177">
        <v>42</v>
      </c>
      <c r="F177">
        <v>30898</v>
      </c>
      <c r="G177" t="s">
        <v>103</v>
      </c>
      <c r="I177">
        <v>20800</v>
      </c>
      <c r="J177" s="12">
        <v>54000</v>
      </c>
      <c r="K177" t="s">
        <v>50</v>
      </c>
      <c r="L177">
        <v>4</v>
      </c>
      <c r="N177" t="s">
        <v>50</v>
      </c>
      <c r="O177">
        <v>73500</v>
      </c>
    </row>
    <row r="178" spans="1:15" hidden="1">
      <c r="A178" t="s">
        <v>81</v>
      </c>
      <c r="B178" t="s">
        <v>511</v>
      </c>
      <c r="C178" t="s">
        <v>512</v>
      </c>
      <c r="D178" t="str">
        <f>TEXT(TabelaDirty[[#This Row],[cpf]],"000\.000\.000\-00")</f>
        <v>000.000.045-00</v>
      </c>
      <c r="E178">
        <v>66</v>
      </c>
      <c r="F178" s="11">
        <v>21954</v>
      </c>
      <c r="G178" t="s">
        <v>223</v>
      </c>
      <c r="H178" t="s">
        <v>165</v>
      </c>
      <c r="I178">
        <v>3400</v>
      </c>
      <c r="J178">
        <v>78000</v>
      </c>
      <c r="K178" t="s">
        <v>50</v>
      </c>
      <c r="L178">
        <v>9</v>
      </c>
      <c r="N178" t="s">
        <v>50</v>
      </c>
      <c r="O178">
        <v>51500</v>
      </c>
    </row>
    <row r="179" spans="1:15" hidden="1">
      <c r="A179" t="s">
        <v>443</v>
      </c>
      <c r="B179" t="s">
        <v>513</v>
      </c>
      <c r="C179" t="s">
        <v>514</v>
      </c>
      <c r="D179" t="str">
        <f>TEXT(TabelaDirty[[#This Row],[cpf]],"000\.000\.000\-00")</f>
        <v>000.000.122-00</v>
      </c>
      <c r="E179">
        <v>49</v>
      </c>
      <c r="F179">
        <v>28049</v>
      </c>
      <c r="G179" t="s">
        <v>141</v>
      </c>
      <c r="H179" t="s">
        <v>142</v>
      </c>
      <c r="I179">
        <v>25200</v>
      </c>
      <c r="J179">
        <v>59500</v>
      </c>
      <c r="K179" t="s">
        <v>50</v>
      </c>
      <c r="L179">
        <v>37</v>
      </c>
      <c r="N179" t="s">
        <v>50</v>
      </c>
      <c r="O179">
        <v>86500</v>
      </c>
    </row>
    <row r="180" spans="1:15" hidden="1">
      <c r="A180" t="s">
        <v>76</v>
      </c>
      <c r="B180" t="s">
        <v>515</v>
      </c>
      <c r="C180" t="s">
        <v>516</v>
      </c>
      <c r="D180" t="str">
        <f>TEXT(TabelaDirty[[#This Row],[cpf]],"000\.000\.000\-00")</f>
        <v>000.000.354-00</v>
      </c>
      <c r="E180">
        <v>60</v>
      </c>
      <c r="F180" s="11">
        <v>24021</v>
      </c>
      <c r="G180" t="s">
        <v>210</v>
      </c>
      <c r="H180" t="s">
        <v>155</v>
      </c>
      <c r="I180">
        <v>22900</v>
      </c>
      <c r="J180">
        <v>4500</v>
      </c>
      <c r="K180" t="s">
        <v>51</v>
      </c>
      <c r="L180">
        <v>29</v>
      </c>
      <c r="N180" t="s">
        <v>51</v>
      </c>
      <c r="O180">
        <v>43500</v>
      </c>
    </row>
    <row r="181" spans="1:15">
      <c r="A181" t="s">
        <v>517</v>
      </c>
      <c r="B181" t="s">
        <v>518</v>
      </c>
      <c r="C181">
        <v>17500</v>
      </c>
      <c r="D181" t="str">
        <f>TEXT(TabelaDirty[[#This Row],[cpf]],"000\.000\.000\-00")</f>
        <v>000.000.175-00</v>
      </c>
      <c r="E181">
        <v>60</v>
      </c>
      <c r="F181" s="11">
        <v>24091</v>
      </c>
      <c r="G181" t="s">
        <v>103</v>
      </c>
      <c r="H181" t="s">
        <v>108</v>
      </c>
      <c r="I181">
        <v>10100</v>
      </c>
      <c r="J181">
        <v>55000</v>
      </c>
      <c r="K181" t="s">
        <v>50</v>
      </c>
      <c r="L181">
        <v>26</v>
      </c>
      <c r="N181" t="s">
        <v>50</v>
      </c>
      <c r="O181">
        <v>54000</v>
      </c>
    </row>
    <row r="182" spans="1:15" hidden="1">
      <c r="A182" t="s">
        <v>76</v>
      </c>
      <c r="B182" t="s">
        <v>519</v>
      </c>
      <c r="C182">
        <v>16300</v>
      </c>
      <c r="D182" t="str">
        <f>TEXT(TabelaDirty[[#This Row],[cpf]],"000\.000\.000\-00")</f>
        <v>000.000.163-00</v>
      </c>
      <c r="E182" t="s">
        <v>520</v>
      </c>
      <c r="F182" s="11">
        <v>36255</v>
      </c>
      <c r="G182" t="s">
        <v>141</v>
      </c>
      <c r="H182" t="s">
        <v>142</v>
      </c>
      <c r="I182">
        <v>14000</v>
      </c>
      <c r="J182">
        <v>63500</v>
      </c>
      <c r="K182" t="s">
        <v>50</v>
      </c>
      <c r="L182">
        <v>24</v>
      </c>
      <c r="N182" t="s">
        <v>50</v>
      </c>
      <c r="O182">
        <v>87000</v>
      </c>
    </row>
    <row r="183" spans="1:15" hidden="1">
      <c r="A183" t="s">
        <v>76</v>
      </c>
      <c r="B183" t="s">
        <v>521</v>
      </c>
      <c r="C183" t="s">
        <v>522</v>
      </c>
      <c r="D183" t="str">
        <f>TEXT(TabelaDirty[[#This Row],[cpf]],"000\.000\.000\-00")</f>
        <v>000.000.197-00</v>
      </c>
      <c r="E183">
        <v>53</v>
      </c>
      <c r="F183">
        <v>26898</v>
      </c>
      <c r="G183" t="s">
        <v>162</v>
      </c>
      <c r="H183" t="s">
        <v>142</v>
      </c>
      <c r="I183">
        <v>27100</v>
      </c>
      <c r="J183">
        <v>68000</v>
      </c>
      <c r="K183" t="s">
        <v>50</v>
      </c>
      <c r="L183" t="s">
        <v>523</v>
      </c>
      <c r="N183" t="s">
        <v>50</v>
      </c>
      <c r="O183">
        <v>49500</v>
      </c>
    </row>
    <row r="184" spans="1:15" hidden="1">
      <c r="A184" t="s">
        <v>76</v>
      </c>
      <c r="B184" t="s">
        <v>524</v>
      </c>
      <c r="C184" t="s">
        <v>525</v>
      </c>
      <c r="D184" t="str">
        <f>TEXT(TabelaDirty[[#This Row],[cpf]],"000\.000\.000\-00")</f>
        <v>000.000.168-00</v>
      </c>
      <c r="E184">
        <v>37</v>
      </c>
      <c r="F184">
        <v>32414</v>
      </c>
      <c r="G184" t="s">
        <v>526</v>
      </c>
      <c r="I184">
        <v>12800</v>
      </c>
      <c r="J184">
        <v>76500</v>
      </c>
      <c r="K184" t="s">
        <v>50</v>
      </c>
      <c r="L184" t="s">
        <v>466</v>
      </c>
      <c r="N184" t="s">
        <v>50</v>
      </c>
      <c r="O184">
        <v>18500</v>
      </c>
    </row>
    <row r="185" spans="1:15" hidden="1">
      <c r="A185" t="s">
        <v>76</v>
      </c>
      <c r="B185" t="s">
        <v>527</v>
      </c>
      <c r="C185">
        <v>35000</v>
      </c>
      <c r="D185" t="str">
        <f>TEXT(TabelaDirty[[#This Row],[cpf]],"000\.000\.000\-00")</f>
        <v>000.000.350-00</v>
      </c>
      <c r="E185">
        <v>18</v>
      </c>
      <c r="F185" s="11">
        <v>39342</v>
      </c>
      <c r="G185" t="s">
        <v>148</v>
      </c>
      <c r="H185" t="s">
        <v>149</v>
      </c>
      <c r="I185">
        <v>28900</v>
      </c>
      <c r="J185">
        <v>22000</v>
      </c>
      <c r="K185" t="s">
        <v>50</v>
      </c>
      <c r="L185">
        <v>23</v>
      </c>
      <c r="N185" t="s">
        <v>50</v>
      </c>
      <c r="O185">
        <v>90000</v>
      </c>
    </row>
    <row r="186" spans="1:15" hidden="1">
      <c r="A186" t="s">
        <v>76</v>
      </c>
      <c r="B186" t="s">
        <v>528</v>
      </c>
      <c r="C186" t="s">
        <v>529</v>
      </c>
      <c r="D186" t="str">
        <f>TEXT(TabelaDirty[[#This Row],[cpf]],"000\.000\.000\-00")</f>
        <v>000.000.037-00</v>
      </c>
      <c r="E186">
        <v>25</v>
      </c>
      <c r="F186">
        <v>36824</v>
      </c>
      <c r="G186" t="s">
        <v>141</v>
      </c>
      <c r="H186" t="s">
        <v>142</v>
      </c>
      <c r="I186">
        <v>18300</v>
      </c>
      <c r="J186">
        <v>41000</v>
      </c>
      <c r="K186" t="s">
        <v>50</v>
      </c>
      <c r="L186">
        <v>9</v>
      </c>
      <c r="N186" t="s">
        <v>50</v>
      </c>
      <c r="O186">
        <v>32500</v>
      </c>
    </row>
    <row r="187" spans="1:15" hidden="1">
      <c r="A187" t="s">
        <v>76</v>
      </c>
      <c r="B187" t="s">
        <v>530</v>
      </c>
      <c r="C187" t="s">
        <v>531</v>
      </c>
      <c r="D187" t="str">
        <f>TEXT(TabelaDirty[[#This Row],[cpf]],"000\.000\.000\-00")</f>
        <v>000.000.224-00</v>
      </c>
      <c r="E187">
        <v>55</v>
      </c>
      <c r="F187">
        <v>26103</v>
      </c>
      <c r="G187" t="s">
        <v>83</v>
      </c>
      <c r="H187" t="s">
        <v>84</v>
      </c>
      <c r="I187">
        <v>9600</v>
      </c>
      <c r="J187">
        <v>43000</v>
      </c>
      <c r="K187" t="s">
        <v>50</v>
      </c>
      <c r="L187">
        <v>36</v>
      </c>
      <c r="N187" t="s">
        <v>50</v>
      </c>
      <c r="O187">
        <v>67500</v>
      </c>
    </row>
    <row r="188" spans="1:15" hidden="1">
      <c r="A188" t="s">
        <v>76</v>
      </c>
      <c r="B188" t="s">
        <v>532</v>
      </c>
      <c r="C188" t="s">
        <v>533</v>
      </c>
      <c r="D188" t="str">
        <f>TEXT(TabelaDirty[[#This Row],[cpf]],"000\.000\.000\-00")</f>
        <v>000.000.031-00</v>
      </c>
      <c r="E188">
        <v>23</v>
      </c>
      <c r="F188">
        <v>37530</v>
      </c>
      <c r="G188" t="s">
        <v>96</v>
      </c>
      <c r="I188">
        <v>10700</v>
      </c>
      <c r="J188">
        <v>15000</v>
      </c>
      <c r="K188" t="s">
        <v>50</v>
      </c>
      <c r="L188">
        <v>42</v>
      </c>
      <c r="N188" t="s">
        <v>50</v>
      </c>
      <c r="O188">
        <v>81500</v>
      </c>
    </row>
    <row r="189" spans="1:15" hidden="1">
      <c r="A189" t="s">
        <v>81</v>
      </c>
      <c r="B189" t="s">
        <v>534</v>
      </c>
      <c r="C189" t="s">
        <v>535</v>
      </c>
      <c r="D189" t="str">
        <f>TEXT(TabelaDirty[[#This Row],[cpf]],"000\.000\.000\-00")</f>
        <v>000.000.009-00</v>
      </c>
      <c r="E189">
        <v>58</v>
      </c>
      <c r="F189">
        <v>24872</v>
      </c>
      <c r="G189" t="s">
        <v>112</v>
      </c>
      <c r="H189" t="s">
        <v>264</v>
      </c>
      <c r="I189" s="12">
        <v>12500</v>
      </c>
      <c r="J189" s="13">
        <v>44500</v>
      </c>
      <c r="K189" t="s">
        <v>244</v>
      </c>
      <c r="L189">
        <v>13</v>
      </c>
      <c r="N189" t="s">
        <v>244</v>
      </c>
      <c r="O189">
        <v>16000</v>
      </c>
    </row>
    <row r="190" spans="1:15" hidden="1">
      <c r="A190" t="s">
        <v>76</v>
      </c>
      <c r="B190" t="s">
        <v>536</v>
      </c>
      <c r="C190">
        <v>7700</v>
      </c>
      <c r="D190" t="str">
        <f>TEXT(TabelaDirty[[#This Row],[cpf]],"000\.000\.000\-00")</f>
        <v>000.000.077-00</v>
      </c>
      <c r="F190" s="11">
        <v>31337</v>
      </c>
      <c r="G190" t="s">
        <v>169</v>
      </c>
      <c r="H190" t="s">
        <v>139</v>
      </c>
      <c r="I190">
        <v>14000</v>
      </c>
      <c r="J190">
        <v>0</v>
      </c>
      <c r="K190" t="s">
        <v>190</v>
      </c>
      <c r="L190">
        <v>24</v>
      </c>
      <c r="N190" t="s">
        <v>190</v>
      </c>
      <c r="O190">
        <v>82000</v>
      </c>
    </row>
    <row r="191" spans="1:15">
      <c r="A191" t="s">
        <v>81</v>
      </c>
      <c r="B191" t="s">
        <v>537</v>
      </c>
      <c r="C191" t="s">
        <v>538</v>
      </c>
      <c r="D191" t="str">
        <f>TEXT(TabelaDirty[[#This Row],[cpf]],"000\.000\.000\-00")</f>
        <v>000.000.289-00</v>
      </c>
      <c r="E191">
        <v>74</v>
      </c>
      <c r="F191">
        <v>19073</v>
      </c>
      <c r="G191" t="s">
        <v>103</v>
      </c>
      <c r="I191">
        <v>7100</v>
      </c>
      <c r="J191">
        <v>61500</v>
      </c>
      <c r="K191" t="s">
        <v>50</v>
      </c>
      <c r="L191" t="s">
        <v>166</v>
      </c>
      <c r="N191" t="s">
        <v>50</v>
      </c>
      <c r="O191">
        <v>50500</v>
      </c>
    </row>
    <row r="192" spans="1:15" hidden="1">
      <c r="A192" t="s">
        <v>76</v>
      </c>
      <c r="B192" t="s">
        <v>539</v>
      </c>
      <c r="C192" t="s">
        <v>540</v>
      </c>
      <c r="D192" t="str">
        <f>TEXT(TabelaDirty[[#This Row],[cpf]],"000\.000\.000\-00")</f>
        <v>000.000.316-00</v>
      </c>
      <c r="E192">
        <v>64</v>
      </c>
      <c r="F192" s="11">
        <v>22886</v>
      </c>
      <c r="G192" t="s">
        <v>112</v>
      </c>
      <c r="H192" t="s">
        <v>132</v>
      </c>
      <c r="I192" s="13">
        <v>8800</v>
      </c>
      <c r="J192" s="12">
        <v>66000</v>
      </c>
      <c r="K192" t="s">
        <v>50</v>
      </c>
      <c r="L192">
        <v>28</v>
      </c>
      <c r="N192" t="s">
        <v>50</v>
      </c>
      <c r="O192">
        <v>5000</v>
      </c>
    </row>
    <row r="193" spans="1:15" hidden="1">
      <c r="A193" t="s">
        <v>76</v>
      </c>
      <c r="B193" t="s">
        <v>541</v>
      </c>
      <c r="C193">
        <v>23300</v>
      </c>
      <c r="D193" t="str">
        <f>TEXT(TabelaDirty[[#This Row],[cpf]],"000\.000\.000\-00")</f>
        <v>000.000.233-00</v>
      </c>
      <c r="E193">
        <v>38</v>
      </c>
      <c r="F193">
        <v>32066</v>
      </c>
      <c r="G193" t="s">
        <v>121</v>
      </c>
      <c r="H193" t="s">
        <v>122</v>
      </c>
      <c r="I193">
        <v>9700</v>
      </c>
      <c r="J193" s="13">
        <v>25000</v>
      </c>
      <c r="K193" t="s">
        <v>50</v>
      </c>
      <c r="L193">
        <v>0</v>
      </c>
      <c r="N193" t="s">
        <v>50</v>
      </c>
      <c r="O193">
        <v>55500</v>
      </c>
    </row>
    <row r="194" spans="1:15" hidden="1">
      <c r="A194" t="s">
        <v>76</v>
      </c>
      <c r="B194" t="s">
        <v>542</v>
      </c>
      <c r="C194">
        <v>9600</v>
      </c>
      <c r="D194" t="str">
        <f>TEXT(TabelaDirty[[#This Row],[cpf]],"000\.000\.000\-00")</f>
        <v>000.000.096-00</v>
      </c>
      <c r="E194">
        <v>49</v>
      </c>
      <c r="F194">
        <v>28330</v>
      </c>
      <c r="G194" t="s">
        <v>127</v>
      </c>
      <c r="H194" t="s">
        <v>122</v>
      </c>
      <c r="I194">
        <v>11500</v>
      </c>
      <c r="J194">
        <v>44500</v>
      </c>
      <c r="K194" t="s">
        <v>50</v>
      </c>
      <c r="L194">
        <v>45</v>
      </c>
      <c r="N194" t="s">
        <v>50</v>
      </c>
      <c r="O194">
        <v>3000</v>
      </c>
    </row>
    <row r="195" spans="1:15" hidden="1">
      <c r="A195" t="s">
        <v>76</v>
      </c>
      <c r="B195" t="s">
        <v>543</v>
      </c>
      <c r="C195">
        <v>19000</v>
      </c>
      <c r="D195" t="str">
        <f>TEXT(TabelaDirty[[#This Row],[cpf]],"000\.000\.000\-00")</f>
        <v>000.000.190-00</v>
      </c>
      <c r="E195">
        <v>42</v>
      </c>
      <c r="F195" s="11">
        <v>30724</v>
      </c>
      <c r="G195" t="s">
        <v>154</v>
      </c>
      <c r="H195" t="s">
        <v>142</v>
      </c>
      <c r="I195">
        <v>18500</v>
      </c>
      <c r="J195" s="12">
        <v>59000</v>
      </c>
      <c r="K195" t="s">
        <v>50</v>
      </c>
      <c r="L195">
        <v>44</v>
      </c>
      <c r="N195" t="s">
        <v>50</v>
      </c>
      <c r="O195">
        <v>16500</v>
      </c>
    </row>
    <row r="196" spans="1:15" hidden="1">
      <c r="A196" t="s">
        <v>76</v>
      </c>
      <c r="B196" t="s">
        <v>544</v>
      </c>
      <c r="C196" t="s">
        <v>545</v>
      </c>
      <c r="D196" t="str">
        <f>TEXT(TabelaDirty[[#This Row],[cpf]],"000\.000\.000\-00")</f>
        <v>000.000.304-00</v>
      </c>
      <c r="E196">
        <v>18</v>
      </c>
      <c r="F196">
        <v>39338</v>
      </c>
      <c r="G196" t="s">
        <v>162</v>
      </c>
      <c r="H196" t="s">
        <v>155</v>
      </c>
      <c r="I196" s="13">
        <v>14100</v>
      </c>
      <c r="J196">
        <v>38500</v>
      </c>
      <c r="K196" t="s">
        <v>50</v>
      </c>
      <c r="L196">
        <v>7</v>
      </c>
      <c r="N196" t="s">
        <v>50</v>
      </c>
      <c r="O196">
        <v>11000</v>
      </c>
    </row>
    <row r="197" spans="1:15" hidden="1">
      <c r="A197" t="s">
        <v>76</v>
      </c>
      <c r="B197" t="s">
        <v>546</v>
      </c>
      <c r="C197">
        <v>4900</v>
      </c>
      <c r="D197" t="str">
        <f>TEXT(TabelaDirty[[#This Row],[cpf]],"000\.000\.000\-00")</f>
        <v>000.000.049-00</v>
      </c>
      <c r="E197">
        <v>18</v>
      </c>
      <c r="F197">
        <v>39369</v>
      </c>
      <c r="G197" t="s">
        <v>121</v>
      </c>
      <c r="H197" t="s">
        <v>273</v>
      </c>
      <c r="I197">
        <v>18500</v>
      </c>
      <c r="J197">
        <v>74500</v>
      </c>
      <c r="K197" t="s">
        <v>51</v>
      </c>
      <c r="L197">
        <v>20</v>
      </c>
      <c r="N197" t="s">
        <v>51</v>
      </c>
      <c r="O197">
        <v>45500</v>
      </c>
    </row>
    <row r="198" spans="1:15" hidden="1">
      <c r="A198" t="s">
        <v>81</v>
      </c>
      <c r="B198" t="s">
        <v>547</v>
      </c>
      <c r="C198" t="s">
        <v>548</v>
      </c>
      <c r="D198" t="str">
        <f>TEXT(TabelaDirty[[#This Row],[cpf]],"000\.000\.000\-00")</f>
        <v>000.000.332-00</v>
      </c>
      <c r="E198">
        <v>66</v>
      </c>
      <c r="F198" s="11">
        <v>22039</v>
      </c>
      <c r="G198" t="s">
        <v>183</v>
      </c>
      <c r="H198" t="s">
        <v>296</v>
      </c>
      <c r="I198" t="s">
        <v>549</v>
      </c>
      <c r="J198" t="s">
        <v>550</v>
      </c>
      <c r="K198" t="s">
        <v>50</v>
      </c>
      <c r="L198">
        <v>28</v>
      </c>
      <c r="N198" t="s">
        <v>50</v>
      </c>
      <c r="O198">
        <v>74500</v>
      </c>
    </row>
    <row r="199" spans="1:15" hidden="1">
      <c r="A199" t="s">
        <v>76</v>
      </c>
      <c r="B199" t="s">
        <v>551</v>
      </c>
      <c r="C199" t="s">
        <v>552</v>
      </c>
      <c r="D199" t="str">
        <f>TEXT(TabelaDirty[[#This Row],[cpf]],"000\.000\.000\-00")</f>
        <v>000.000.056-00</v>
      </c>
      <c r="E199">
        <v>35</v>
      </c>
      <c r="F199" s="11">
        <v>33336</v>
      </c>
      <c r="G199" t="s">
        <v>79</v>
      </c>
      <c r="H199" t="s">
        <v>80</v>
      </c>
      <c r="I199" t="s">
        <v>553</v>
      </c>
      <c r="J199">
        <v>54000</v>
      </c>
      <c r="K199">
        <v>0</v>
      </c>
      <c r="L199">
        <v>44</v>
      </c>
      <c r="N199">
        <v>0</v>
      </c>
      <c r="O199">
        <v>18000</v>
      </c>
    </row>
    <row r="200" spans="1:15" hidden="1">
      <c r="A200" t="s">
        <v>76</v>
      </c>
      <c r="B200" t="s">
        <v>554</v>
      </c>
      <c r="C200">
        <v>27800</v>
      </c>
      <c r="D200" t="str">
        <f>TEXT(TabelaDirty[[#This Row],[cpf]],"000\.000\.000\-00")</f>
        <v>000.000.278-00</v>
      </c>
      <c r="E200">
        <v>38</v>
      </c>
      <c r="F200">
        <v>32152</v>
      </c>
      <c r="G200" t="s">
        <v>555</v>
      </c>
      <c r="I200">
        <v>2000</v>
      </c>
      <c r="J200">
        <v>60000</v>
      </c>
      <c r="K200" t="s">
        <v>50</v>
      </c>
      <c r="L200" t="s">
        <v>556</v>
      </c>
      <c r="N200" t="s">
        <v>50</v>
      </c>
      <c r="O200">
        <v>54000</v>
      </c>
    </row>
    <row r="201" spans="1:15" hidden="1">
      <c r="A201" t="s">
        <v>76</v>
      </c>
      <c r="B201" t="s">
        <v>557</v>
      </c>
      <c r="C201" t="s">
        <v>558</v>
      </c>
      <c r="D201" t="str">
        <f>TEXT(TabelaDirty[[#This Row],[cpf]],"000\.000\.000\-00")</f>
        <v>000.000.025-00</v>
      </c>
      <c r="E201">
        <v>72</v>
      </c>
      <c r="F201">
        <v>19800</v>
      </c>
      <c r="G201" t="s">
        <v>138</v>
      </c>
      <c r="H201" t="s">
        <v>139</v>
      </c>
      <c r="I201">
        <v>24300</v>
      </c>
      <c r="J201">
        <v>13500</v>
      </c>
      <c r="K201" t="s">
        <v>50</v>
      </c>
      <c r="L201">
        <v>33</v>
      </c>
      <c r="N201" t="s">
        <v>50</v>
      </c>
      <c r="O201">
        <v>14500</v>
      </c>
    </row>
    <row r="202" spans="1:15" hidden="1">
      <c r="A202" t="s">
        <v>76</v>
      </c>
      <c r="B202" t="s">
        <v>559</v>
      </c>
      <c r="C202" t="s">
        <v>560</v>
      </c>
      <c r="D202" t="str">
        <f>TEXT(TabelaDirty[[#This Row],[cpf]],"000\.000\.000\-00")</f>
        <v>000.000.041-00</v>
      </c>
      <c r="E202">
        <v>69</v>
      </c>
      <c r="G202" t="s">
        <v>127</v>
      </c>
      <c r="H202" t="s">
        <v>122</v>
      </c>
      <c r="I202" s="13">
        <v>4500</v>
      </c>
      <c r="J202">
        <v>0</v>
      </c>
      <c r="K202" t="s">
        <v>51</v>
      </c>
      <c r="L202">
        <v>32</v>
      </c>
      <c r="N202" t="s">
        <v>51</v>
      </c>
      <c r="O202">
        <v>56500</v>
      </c>
    </row>
    <row r="203" spans="1:15" hidden="1">
      <c r="A203" t="s">
        <v>76</v>
      </c>
      <c r="B203" t="s">
        <v>561</v>
      </c>
      <c r="C203" t="s">
        <v>562</v>
      </c>
      <c r="D203" t="str">
        <f>TEXT(TabelaDirty[[#This Row],[cpf]],"000\.000\.000\-00")</f>
        <v>000.000.146-00</v>
      </c>
      <c r="E203">
        <v>22</v>
      </c>
      <c r="F203">
        <v>38079</v>
      </c>
      <c r="G203" t="s">
        <v>83</v>
      </c>
      <c r="H203" t="s">
        <v>84</v>
      </c>
      <c r="I203">
        <v>9200</v>
      </c>
      <c r="J203" s="12">
        <v>5000</v>
      </c>
      <c r="K203" t="s">
        <v>50</v>
      </c>
      <c r="L203">
        <v>42</v>
      </c>
      <c r="N203" t="s">
        <v>50</v>
      </c>
      <c r="O203">
        <v>63500</v>
      </c>
    </row>
    <row r="204" spans="1:15" hidden="1">
      <c r="A204" t="s">
        <v>76</v>
      </c>
      <c r="B204" t="s">
        <v>563</v>
      </c>
      <c r="C204" t="s">
        <v>564</v>
      </c>
      <c r="D204" t="str">
        <f>TEXT(TabelaDirty[[#This Row],[cpf]],"000\.000\.000\-00")</f>
        <v>000.000.187-00</v>
      </c>
      <c r="E204">
        <v>39</v>
      </c>
      <c r="F204">
        <v>31972</v>
      </c>
      <c r="G204" t="s">
        <v>138</v>
      </c>
      <c r="H204" t="s">
        <v>146</v>
      </c>
      <c r="I204">
        <v>8700</v>
      </c>
      <c r="J204" t="s">
        <v>232</v>
      </c>
      <c r="K204" t="s">
        <v>50</v>
      </c>
      <c r="L204">
        <v>16</v>
      </c>
      <c r="N204" t="s">
        <v>50</v>
      </c>
      <c r="O204">
        <v>93500</v>
      </c>
    </row>
    <row r="205" spans="1:15" hidden="1">
      <c r="A205" t="s">
        <v>76</v>
      </c>
      <c r="B205" t="s">
        <v>565</v>
      </c>
      <c r="C205">
        <v>9800</v>
      </c>
      <c r="D205" t="str">
        <f>TEXT(TabelaDirty[[#This Row],[cpf]],"000\.000\.000\-00")</f>
        <v>000.000.098-00</v>
      </c>
      <c r="E205">
        <v>35</v>
      </c>
      <c r="F205" s="11">
        <v>33440</v>
      </c>
      <c r="G205" t="s">
        <v>112</v>
      </c>
      <c r="H205" t="s">
        <v>264</v>
      </c>
      <c r="I205" s="12">
        <v>2000</v>
      </c>
      <c r="J205" s="12">
        <v>5500</v>
      </c>
      <c r="K205" t="s">
        <v>50</v>
      </c>
      <c r="L205">
        <v>34</v>
      </c>
      <c r="N205" t="s">
        <v>50</v>
      </c>
      <c r="O205">
        <v>71000</v>
      </c>
    </row>
    <row r="206" spans="1:15">
      <c r="A206" t="s">
        <v>76</v>
      </c>
      <c r="B206" t="s">
        <v>566</v>
      </c>
      <c r="C206" t="s">
        <v>567</v>
      </c>
      <c r="D206" t="str">
        <f>TEXT(TabelaDirty[[#This Row],[cpf]],"000\.000\.000\-00")</f>
        <v>000.000.114-00</v>
      </c>
      <c r="E206">
        <v>72</v>
      </c>
      <c r="F206">
        <v>19623</v>
      </c>
      <c r="G206" t="s">
        <v>103</v>
      </c>
      <c r="H206" t="s">
        <v>108</v>
      </c>
      <c r="I206" s="13">
        <v>12600</v>
      </c>
      <c r="J206" s="13">
        <v>5500</v>
      </c>
      <c r="K206" t="s">
        <v>50</v>
      </c>
      <c r="L206">
        <v>35</v>
      </c>
      <c r="N206" t="s">
        <v>50</v>
      </c>
      <c r="O206">
        <v>21000</v>
      </c>
    </row>
    <row r="207" spans="1:15" hidden="1">
      <c r="A207" t="s">
        <v>76</v>
      </c>
      <c r="B207" t="s">
        <v>568</v>
      </c>
      <c r="C207" t="s">
        <v>569</v>
      </c>
      <c r="D207" t="str">
        <f>TEXT(TabelaDirty[[#This Row],[cpf]],"000\.000\.000\-00")</f>
        <v>000.000.303-00</v>
      </c>
      <c r="E207">
        <v>24</v>
      </c>
      <c r="G207" t="s">
        <v>141</v>
      </c>
      <c r="H207" t="s">
        <v>142</v>
      </c>
      <c r="I207">
        <v>29300</v>
      </c>
      <c r="J207">
        <v>32000</v>
      </c>
      <c r="K207" t="s">
        <v>51</v>
      </c>
      <c r="L207">
        <v>26</v>
      </c>
      <c r="N207" t="s">
        <v>51</v>
      </c>
      <c r="O207">
        <v>59000</v>
      </c>
    </row>
    <row r="208" spans="1:15" hidden="1">
      <c r="A208" t="s">
        <v>81</v>
      </c>
      <c r="B208" t="s">
        <v>570</v>
      </c>
      <c r="C208" t="s">
        <v>571</v>
      </c>
      <c r="D208" t="str">
        <f>TEXT(TabelaDirty[[#This Row],[cpf]],"000\.000\.000\-00")</f>
        <v>000.000.322-00</v>
      </c>
      <c r="E208">
        <v>26</v>
      </c>
      <c r="F208">
        <v>36540</v>
      </c>
      <c r="G208" t="s">
        <v>89</v>
      </c>
      <c r="H208" t="s">
        <v>165</v>
      </c>
      <c r="I208">
        <v>24000</v>
      </c>
      <c r="J208" t="s">
        <v>572</v>
      </c>
      <c r="K208" t="s">
        <v>50</v>
      </c>
      <c r="L208">
        <v>30</v>
      </c>
      <c r="N208" t="s">
        <v>50</v>
      </c>
      <c r="O208">
        <v>62500</v>
      </c>
    </row>
    <row r="209" spans="1:15" hidden="1">
      <c r="A209" t="s">
        <v>76</v>
      </c>
      <c r="B209" t="s">
        <v>573</v>
      </c>
      <c r="C209" t="s">
        <v>574</v>
      </c>
      <c r="D209" t="str">
        <f>TEXT(TabelaDirty[[#This Row],[cpf]],"000\.000\.000\-00")</f>
        <v>000.000.335-00</v>
      </c>
      <c r="E209">
        <v>35</v>
      </c>
      <c r="F209">
        <v>33309</v>
      </c>
      <c r="G209" t="s">
        <v>138</v>
      </c>
      <c r="H209" t="s">
        <v>139</v>
      </c>
      <c r="I209">
        <v>28500</v>
      </c>
      <c r="J209" s="12">
        <v>48500</v>
      </c>
      <c r="K209" t="s">
        <v>50</v>
      </c>
      <c r="L209">
        <v>24</v>
      </c>
      <c r="N209" t="s">
        <v>50</v>
      </c>
      <c r="O209">
        <v>80500</v>
      </c>
    </row>
    <row r="210" spans="1:15" hidden="1">
      <c r="A210" t="s">
        <v>76</v>
      </c>
      <c r="B210" t="s">
        <v>575</v>
      </c>
      <c r="C210" t="s">
        <v>576</v>
      </c>
      <c r="D210" t="str">
        <f>TEXT(TabelaDirty[[#This Row],[cpf]],"000\.000\.000\-00")</f>
        <v>000.000.003-00</v>
      </c>
      <c r="E210">
        <v>23</v>
      </c>
      <c r="F210" s="11">
        <v>37785</v>
      </c>
      <c r="G210" t="s">
        <v>223</v>
      </c>
      <c r="H210" t="s">
        <v>413</v>
      </c>
      <c r="I210" s="13">
        <v>17900</v>
      </c>
      <c r="J210">
        <v>28000</v>
      </c>
      <c r="K210" t="s">
        <v>50</v>
      </c>
      <c r="L210">
        <v>41</v>
      </c>
      <c r="N210" t="s">
        <v>50</v>
      </c>
      <c r="O210">
        <v>52500</v>
      </c>
    </row>
    <row r="211" spans="1:15" hidden="1">
      <c r="A211" t="s">
        <v>81</v>
      </c>
      <c r="B211" t="s">
        <v>577</v>
      </c>
      <c r="C211" t="s">
        <v>578</v>
      </c>
      <c r="D211" t="str">
        <f>TEXT(TabelaDirty[[#This Row],[cpf]],"000\.000\.000\-00")</f>
        <v>000.000.235-00</v>
      </c>
      <c r="E211">
        <v>33</v>
      </c>
      <c r="F211">
        <v>33902</v>
      </c>
      <c r="G211" t="s">
        <v>172</v>
      </c>
      <c r="H211" t="s">
        <v>216</v>
      </c>
      <c r="I211">
        <v>12500</v>
      </c>
      <c r="J211">
        <v>51500</v>
      </c>
      <c r="K211" t="s">
        <v>51</v>
      </c>
      <c r="L211">
        <v>44</v>
      </c>
      <c r="N211" t="s">
        <v>51</v>
      </c>
      <c r="O211">
        <v>24000</v>
      </c>
    </row>
    <row r="212" spans="1:15" hidden="1">
      <c r="A212" t="s">
        <v>81</v>
      </c>
      <c r="B212" t="s">
        <v>579</v>
      </c>
      <c r="C212" t="s">
        <v>580</v>
      </c>
      <c r="D212" t="str">
        <f>TEXT(TabelaDirty[[#This Row],[cpf]],"000\.000\.000\-00")</f>
        <v>000.000.260-00</v>
      </c>
      <c r="E212">
        <v>31</v>
      </c>
      <c r="F212" s="11">
        <v>34885</v>
      </c>
      <c r="G212" t="s">
        <v>89</v>
      </c>
      <c r="H212" t="s">
        <v>90</v>
      </c>
      <c r="I212" s="13">
        <v>16400</v>
      </c>
      <c r="J212" t="s">
        <v>581</v>
      </c>
      <c r="K212" t="s">
        <v>93</v>
      </c>
      <c r="L212">
        <v>6</v>
      </c>
      <c r="N212" t="s">
        <v>93</v>
      </c>
      <c r="O212">
        <v>49500</v>
      </c>
    </row>
    <row r="213" spans="1:15" hidden="1">
      <c r="A213" t="s">
        <v>76</v>
      </c>
      <c r="B213" t="s">
        <v>582</v>
      </c>
      <c r="C213">
        <v>21900</v>
      </c>
      <c r="D213" t="str">
        <f>TEXT(TabelaDirty[[#This Row],[cpf]],"000\.000\.000\-00")</f>
        <v>000.000.219-00</v>
      </c>
      <c r="E213">
        <v>67</v>
      </c>
      <c r="F213">
        <v>21619</v>
      </c>
      <c r="G213" t="s">
        <v>83</v>
      </c>
      <c r="H213" t="s">
        <v>135</v>
      </c>
      <c r="I213">
        <v>20200</v>
      </c>
      <c r="J213">
        <v>6500</v>
      </c>
      <c r="K213" t="s">
        <v>50</v>
      </c>
      <c r="L213">
        <v>1</v>
      </c>
      <c r="N213" t="s">
        <v>50</v>
      </c>
      <c r="O213">
        <v>98500</v>
      </c>
    </row>
    <row r="214" spans="1:15" hidden="1">
      <c r="A214" t="s">
        <v>76</v>
      </c>
      <c r="B214" t="s">
        <v>583</v>
      </c>
      <c r="C214" t="s">
        <v>584</v>
      </c>
      <c r="D214" t="str">
        <f>TEXT(TabelaDirty[[#This Row],[cpf]],"000\.000\.000\-00")</f>
        <v>000.000.001-00</v>
      </c>
      <c r="E214">
        <v>27</v>
      </c>
      <c r="F214" s="11">
        <v>36288</v>
      </c>
      <c r="G214" t="s">
        <v>210</v>
      </c>
      <c r="H214" t="s">
        <v>142</v>
      </c>
      <c r="I214">
        <v>29700</v>
      </c>
      <c r="J214">
        <v>12000</v>
      </c>
      <c r="K214" t="s">
        <v>50</v>
      </c>
      <c r="L214">
        <v>37</v>
      </c>
      <c r="N214" t="s">
        <v>50</v>
      </c>
      <c r="O214">
        <v>49000</v>
      </c>
    </row>
    <row r="215" spans="1:15" hidden="1">
      <c r="A215" t="s">
        <v>76</v>
      </c>
      <c r="B215" t="s">
        <v>585</v>
      </c>
      <c r="C215" t="s">
        <v>586</v>
      </c>
      <c r="D215" t="str">
        <f>TEXT(TabelaDirty[[#This Row],[cpf]],"000\.000\.000\-00")</f>
        <v>000.000.227-00</v>
      </c>
      <c r="E215">
        <v>25</v>
      </c>
      <c r="F215" s="11">
        <v>37056</v>
      </c>
      <c r="G215" t="s">
        <v>162</v>
      </c>
      <c r="H215" t="s">
        <v>142</v>
      </c>
      <c r="I215">
        <v>25400</v>
      </c>
      <c r="J215">
        <v>4000</v>
      </c>
      <c r="K215" t="s">
        <v>50</v>
      </c>
      <c r="L215">
        <v>4</v>
      </c>
      <c r="N215" t="s">
        <v>50</v>
      </c>
      <c r="O215">
        <v>8500</v>
      </c>
    </row>
    <row r="216" spans="1:15" hidden="1">
      <c r="A216" t="s">
        <v>76</v>
      </c>
      <c r="B216" t="s">
        <v>587</v>
      </c>
      <c r="C216" t="s">
        <v>588</v>
      </c>
      <c r="D216" t="str">
        <f>TEXT(TabelaDirty[[#This Row],[cpf]],"000\.000\.000\-00")</f>
        <v>000.000.266-00</v>
      </c>
      <c r="E216">
        <v>70</v>
      </c>
      <c r="F216">
        <v>20533</v>
      </c>
      <c r="G216" t="s">
        <v>242</v>
      </c>
      <c r="H216" t="s">
        <v>456</v>
      </c>
      <c r="I216">
        <v>9100</v>
      </c>
      <c r="J216">
        <v>40500</v>
      </c>
      <c r="K216" t="s">
        <v>50</v>
      </c>
      <c r="L216">
        <v>35</v>
      </c>
      <c r="N216" t="s">
        <v>50</v>
      </c>
      <c r="O216">
        <v>53000</v>
      </c>
    </row>
    <row r="217" spans="1:15" hidden="1">
      <c r="A217" t="s">
        <v>81</v>
      </c>
      <c r="B217" t="s">
        <v>589</v>
      </c>
      <c r="C217" t="s">
        <v>590</v>
      </c>
      <c r="D217" t="str">
        <f>TEXT(TabelaDirty[[#This Row],[cpf]],"000\.000\.000\-00")</f>
        <v>000.000.158-00</v>
      </c>
      <c r="E217">
        <v>57</v>
      </c>
      <c r="F217" s="11">
        <v>25324</v>
      </c>
      <c r="G217" t="s">
        <v>154</v>
      </c>
      <c r="H217" t="s">
        <v>155</v>
      </c>
      <c r="I217">
        <v>9500</v>
      </c>
      <c r="J217">
        <v>58000</v>
      </c>
      <c r="K217" t="s">
        <v>190</v>
      </c>
      <c r="L217">
        <v>23</v>
      </c>
      <c r="N217" t="s">
        <v>190</v>
      </c>
      <c r="O217">
        <v>81500</v>
      </c>
    </row>
    <row r="218" spans="1:15" hidden="1">
      <c r="A218" t="s">
        <v>81</v>
      </c>
      <c r="B218" t="s">
        <v>591</v>
      </c>
      <c r="C218">
        <v>6400</v>
      </c>
      <c r="D218" t="str">
        <f>TEXT(TabelaDirty[[#This Row],[cpf]],"000\.000\.000\-00")</f>
        <v>000.000.064-00</v>
      </c>
      <c r="E218">
        <v>57</v>
      </c>
      <c r="F218">
        <v>25206</v>
      </c>
      <c r="G218" t="s">
        <v>138</v>
      </c>
      <c r="H218" t="s">
        <v>353</v>
      </c>
      <c r="I218">
        <v>3400</v>
      </c>
      <c r="J218">
        <v>0</v>
      </c>
      <c r="K218" t="s">
        <v>50</v>
      </c>
      <c r="L218">
        <v>20</v>
      </c>
      <c r="N218" t="s">
        <v>50</v>
      </c>
      <c r="O218">
        <v>19500</v>
      </c>
    </row>
    <row r="219" spans="1:15" hidden="1">
      <c r="A219" t="s">
        <v>76</v>
      </c>
      <c r="B219" t="s">
        <v>592</v>
      </c>
      <c r="C219" t="s">
        <v>593</v>
      </c>
      <c r="D219" t="str">
        <f>TEXT(TabelaDirty[[#This Row],[cpf]],"000\.000\.000\-00")</f>
        <v>000.000.220-00</v>
      </c>
      <c r="E219">
        <v>65</v>
      </c>
      <c r="F219" s="11">
        <v>22366</v>
      </c>
      <c r="G219" t="s">
        <v>172</v>
      </c>
      <c r="H219" t="s">
        <v>216</v>
      </c>
      <c r="I219" s="13">
        <v>18000</v>
      </c>
      <c r="J219">
        <v>0</v>
      </c>
      <c r="K219" t="s">
        <v>50</v>
      </c>
      <c r="L219">
        <v>27</v>
      </c>
      <c r="N219" t="s">
        <v>50</v>
      </c>
      <c r="O219">
        <v>38500</v>
      </c>
    </row>
    <row r="220" spans="1:15" hidden="1">
      <c r="A220" t="s">
        <v>76</v>
      </c>
      <c r="B220" t="s">
        <v>594</v>
      </c>
      <c r="C220" t="s">
        <v>595</v>
      </c>
      <c r="D220" t="str">
        <f>TEXT(TabelaDirty[[#This Row],[cpf]],"000\.000\.000\-00")</f>
        <v>000.000.256-00</v>
      </c>
      <c r="E220">
        <v>39</v>
      </c>
      <c r="F220" s="11">
        <v>31814</v>
      </c>
      <c r="G220" t="s">
        <v>154</v>
      </c>
      <c r="H220" t="s">
        <v>142</v>
      </c>
      <c r="I220" s="12">
        <v>9300</v>
      </c>
      <c r="J220" s="12">
        <v>36500</v>
      </c>
      <c r="K220" t="s">
        <v>50</v>
      </c>
      <c r="N220" t="s">
        <v>50</v>
      </c>
      <c r="O220">
        <v>3000</v>
      </c>
    </row>
    <row r="221" spans="1:15" hidden="1">
      <c r="A221" t="s">
        <v>76</v>
      </c>
      <c r="B221" t="s">
        <v>596</v>
      </c>
      <c r="C221">
        <v>30500</v>
      </c>
      <c r="D221" t="str">
        <f>TEXT(TabelaDirty[[#This Row],[cpf]],"000\.000\.000\-00")</f>
        <v>000.000.305-00</v>
      </c>
      <c r="E221">
        <v>62</v>
      </c>
      <c r="F221">
        <v>23278</v>
      </c>
      <c r="G221" t="s">
        <v>141</v>
      </c>
      <c r="H221" t="s">
        <v>142</v>
      </c>
      <c r="I221">
        <v>17000</v>
      </c>
      <c r="J221">
        <v>64000</v>
      </c>
      <c r="K221" t="s">
        <v>51</v>
      </c>
      <c r="L221">
        <v>21</v>
      </c>
      <c r="N221" t="s">
        <v>51</v>
      </c>
      <c r="O221">
        <v>19000</v>
      </c>
    </row>
    <row r="222" spans="1:15" hidden="1">
      <c r="A222" t="s">
        <v>81</v>
      </c>
      <c r="B222" t="s">
        <v>597</v>
      </c>
      <c r="C222" t="s">
        <v>598</v>
      </c>
      <c r="D222" t="str">
        <f>TEXT(TabelaDirty[[#This Row],[cpf]],"000\.000\.000\-00")</f>
        <v>000.000.074-00</v>
      </c>
      <c r="E222">
        <v>69</v>
      </c>
      <c r="F222">
        <v>20785</v>
      </c>
      <c r="G222" t="s">
        <v>141</v>
      </c>
      <c r="H222" t="s">
        <v>155</v>
      </c>
      <c r="I222">
        <v>16000</v>
      </c>
      <c r="J222" s="12">
        <v>48000</v>
      </c>
      <c r="K222" t="s">
        <v>50</v>
      </c>
      <c r="L222">
        <v>29</v>
      </c>
      <c r="N222" t="s">
        <v>50</v>
      </c>
      <c r="O222">
        <v>74500</v>
      </c>
    </row>
    <row r="223" spans="1:15" hidden="1">
      <c r="A223" t="s">
        <v>81</v>
      </c>
      <c r="B223" t="s">
        <v>599</v>
      </c>
      <c r="C223">
        <v>27100</v>
      </c>
      <c r="D223" t="str">
        <f>TEXT(TabelaDirty[[#This Row],[cpf]],"000\.000\.000\-00")</f>
        <v>000.000.271-00</v>
      </c>
      <c r="E223">
        <v>55</v>
      </c>
      <c r="F223" s="11">
        <v>25895</v>
      </c>
      <c r="G223" t="s">
        <v>121</v>
      </c>
      <c r="H223" t="s">
        <v>122</v>
      </c>
      <c r="I223">
        <v>6800</v>
      </c>
      <c r="J223">
        <v>12000</v>
      </c>
      <c r="K223" t="s">
        <v>50</v>
      </c>
      <c r="L223">
        <v>6</v>
      </c>
      <c r="N223" t="s">
        <v>50</v>
      </c>
      <c r="O223">
        <v>11000</v>
      </c>
    </row>
    <row r="224" spans="1:15" hidden="1">
      <c r="A224" t="s">
        <v>76</v>
      </c>
      <c r="B224" t="s">
        <v>600</v>
      </c>
      <c r="C224" t="s">
        <v>601</v>
      </c>
      <c r="D224" t="str">
        <f>TEXT(TabelaDirty[[#This Row],[cpf]],"000\.000\.000\-00")</f>
        <v>000.000.144-00</v>
      </c>
      <c r="E224">
        <v>25</v>
      </c>
      <c r="F224" s="11">
        <v>37026</v>
      </c>
      <c r="G224" t="s">
        <v>302</v>
      </c>
      <c r="H224" t="s">
        <v>84</v>
      </c>
      <c r="I224">
        <v>28200</v>
      </c>
      <c r="J224">
        <v>0</v>
      </c>
      <c r="K224" t="s">
        <v>50</v>
      </c>
      <c r="L224">
        <v>29</v>
      </c>
      <c r="N224" t="s">
        <v>50</v>
      </c>
      <c r="O224">
        <v>92500</v>
      </c>
    </row>
    <row r="225" spans="1:15" hidden="1">
      <c r="A225" t="s">
        <v>76</v>
      </c>
      <c r="B225" t="s">
        <v>602</v>
      </c>
      <c r="C225" t="s">
        <v>603</v>
      </c>
      <c r="D225" t="str">
        <f>TEXT(TabelaDirty[[#This Row],[cpf]],"000\.000\.000\-00")</f>
        <v>000.000.126-00</v>
      </c>
      <c r="E225">
        <v>53</v>
      </c>
      <c r="F225">
        <v>26620</v>
      </c>
      <c r="G225" t="s">
        <v>79</v>
      </c>
      <c r="H225" t="s">
        <v>100</v>
      </c>
      <c r="I225" s="12">
        <v>21300</v>
      </c>
      <c r="J225">
        <v>79500</v>
      </c>
      <c r="K225" t="s">
        <v>50</v>
      </c>
      <c r="L225" t="s">
        <v>556</v>
      </c>
      <c r="N225" t="s">
        <v>50</v>
      </c>
      <c r="O225">
        <v>19000</v>
      </c>
    </row>
    <row r="226" spans="1:15" hidden="1">
      <c r="A226" t="s">
        <v>76</v>
      </c>
      <c r="B226" t="s">
        <v>604</v>
      </c>
      <c r="C226" t="s">
        <v>605</v>
      </c>
      <c r="D226" t="str">
        <f>TEXT(TabelaDirty[[#This Row],[cpf]],"000\.000\.000\-00")</f>
        <v>000.000.236-00</v>
      </c>
      <c r="E226">
        <v>69</v>
      </c>
      <c r="F226" s="11">
        <v>20943</v>
      </c>
      <c r="G226" t="s">
        <v>526</v>
      </c>
      <c r="I226">
        <v>13800</v>
      </c>
      <c r="J226">
        <v>62000</v>
      </c>
      <c r="K226" t="s">
        <v>50</v>
      </c>
      <c r="L226">
        <v>31</v>
      </c>
      <c r="N226" t="s">
        <v>50</v>
      </c>
      <c r="O226">
        <v>60500</v>
      </c>
    </row>
    <row r="227" spans="1:15" hidden="1">
      <c r="A227" t="s">
        <v>76</v>
      </c>
      <c r="B227" t="s">
        <v>606</v>
      </c>
      <c r="C227" t="s">
        <v>607</v>
      </c>
      <c r="D227" t="str">
        <f>TEXT(TabelaDirty[[#This Row],[cpf]],"000\.000\.000\-00")</f>
        <v>000.000.043-00</v>
      </c>
      <c r="E227">
        <v>27</v>
      </c>
      <c r="F227">
        <v>36316</v>
      </c>
      <c r="G227" t="s">
        <v>148</v>
      </c>
      <c r="H227" t="s">
        <v>216</v>
      </c>
      <c r="I227" s="13">
        <v>10700</v>
      </c>
      <c r="J227" t="s">
        <v>608</v>
      </c>
      <c r="K227" t="s">
        <v>50</v>
      </c>
      <c r="L227">
        <v>44</v>
      </c>
      <c r="N227" t="s">
        <v>50</v>
      </c>
      <c r="O227">
        <v>48000</v>
      </c>
    </row>
    <row r="228" spans="1:15" hidden="1">
      <c r="A228" t="s">
        <v>76</v>
      </c>
      <c r="B228" t="s">
        <v>609</v>
      </c>
      <c r="C228">
        <v>19300</v>
      </c>
      <c r="D228" t="str">
        <f>TEXT(TabelaDirty[[#This Row],[cpf]],"000\.000\.000\-00")</f>
        <v>000.000.193-00</v>
      </c>
      <c r="E228">
        <v>74</v>
      </c>
      <c r="F228" s="11">
        <v>19131</v>
      </c>
      <c r="G228" t="s">
        <v>223</v>
      </c>
      <c r="H228" t="s">
        <v>331</v>
      </c>
      <c r="I228">
        <v>20700</v>
      </c>
      <c r="J228" s="12">
        <v>17500</v>
      </c>
      <c r="K228" t="s">
        <v>50</v>
      </c>
      <c r="L228">
        <v>35</v>
      </c>
      <c r="N228" t="s">
        <v>50</v>
      </c>
      <c r="O228">
        <v>65000</v>
      </c>
    </row>
    <row r="229" spans="1:15" hidden="1">
      <c r="A229" t="s">
        <v>257</v>
      </c>
      <c r="B229" t="s">
        <v>610</v>
      </c>
      <c r="C229" t="s">
        <v>611</v>
      </c>
      <c r="D229" t="str">
        <f>TEXT(TabelaDirty[[#This Row],[cpf]],"000\.000\.000\-00")</f>
        <v>000.000.155-00</v>
      </c>
      <c r="F229">
        <v>39230</v>
      </c>
      <c r="G229" t="s">
        <v>172</v>
      </c>
      <c r="H229" t="s">
        <v>149</v>
      </c>
      <c r="I229" t="s">
        <v>612</v>
      </c>
      <c r="J229" s="13">
        <v>49500</v>
      </c>
      <c r="K229" t="s">
        <v>50</v>
      </c>
      <c r="L229">
        <v>25</v>
      </c>
      <c r="N229" t="s">
        <v>50</v>
      </c>
      <c r="O229">
        <v>46500</v>
      </c>
    </row>
    <row r="230" spans="1:15" hidden="1">
      <c r="A230" t="s">
        <v>76</v>
      </c>
      <c r="B230" t="s">
        <v>613</v>
      </c>
      <c r="C230" t="s">
        <v>614</v>
      </c>
      <c r="D230" t="str">
        <f>TEXT(TabelaDirty[[#This Row],[cpf]],"000\.000\.000\-00")</f>
        <v>000.000.265-00</v>
      </c>
      <c r="E230">
        <v>47</v>
      </c>
      <c r="F230" s="11">
        <v>28841</v>
      </c>
      <c r="G230" t="s">
        <v>183</v>
      </c>
      <c r="H230" t="s">
        <v>183</v>
      </c>
      <c r="I230" t="s">
        <v>615</v>
      </c>
      <c r="J230" s="13">
        <v>62000</v>
      </c>
      <c r="K230" t="s">
        <v>51</v>
      </c>
      <c r="L230">
        <v>37</v>
      </c>
      <c r="N230" t="s">
        <v>51</v>
      </c>
      <c r="O230">
        <v>92500</v>
      </c>
    </row>
    <row r="231" spans="1:15" hidden="1">
      <c r="A231" t="s">
        <v>76</v>
      </c>
      <c r="B231" t="s">
        <v>616</v>
      </c>
      <c r="C231" t="s">
        <v>617</v>
      </c>
      <c r="D231" t="str">
        <f>TEXT(TabelaDirty[[#This Row],[cpf]],"000\.000\.000\-00")</f>
        <v>000.000.378-00</v>
      </c>
      <c r="E231">
        <v>34</v>
      </c>
      <c r="F231">
        <v>33746</v>
      </c>
      <c r="G231" t="s">
        <v>183</v>
      </c>
      <c r="H231" t="s">
        <v>183</v>
      </c>
      <c r="I231">
        <v>28900</v>
      </c>
      <c r="J231">
        <v>37000</v>
      </c>
      <c r="K231" t="s">
        <v>50</v>
      </c>
      <c r="L231">
        <v>21</v>
      </c>
      <c r="N231" t="s">
        <v>50</v>
      </c>
      <c r="O231">
        <v>97500</v>
      </c>
    </row>
    <row r="232" spans="1:15" hidden="1">
      <c r="A232" t="s">
        <v>76</v>
      </c>
      <c r="B232" t="s">
        <v>618</v>
      </c>
      <c r="C232" t="s">
        <v>619</v>
      </c>
      <c r="D232" t="str">
        <f>TEXT(TabelaDirty[[#This Row],[cpf]],"000\.000\.000\-00")</f>
        <v>000.000.313-00</v>
      </c>
      <c r="E232">
        <v>30</v>
      </c>
      <c r="F232" s="11">
        <v>35180</v>
      </c>
      <c r="G232" t="s">
        <v>154</v>
      </c>
      <c r="H232" t="s">
        <v>142</v>
      </c>
      <c r="I232" s="12">
        <v>13800</v>
      </c>
      <c r="J232">
        <v>42000</v>
      </c>
      <c r="L232">
        <v>29</v>
      </c>
      <c r="O232">
        <v>7000</v>
      </c>
    </row>
    <row r="233" spans="1:15" hidden="1">
      <c r="A233" t="s">
        <v>81</v>
      </c>
      <c r="B233" t="s">
        <v>620</v>
      </c>
      <c r="C233" t="s">
        <v>621</v>
      </c>
      <c r="D233" t="str">
        <f>TEXT(TabelaDirty[[#This Row],[cpf]],"000\.000\.000\-00")</f>
        <v>000.000.100-00</v>
      </c>
      <c r="E233">
        <v>67</v>
      </c>
      <c r="F233" s="11">
        <v>21674</v>
      </c>
      <c r="G233" t="s">
        <v>242</v>
      </c>
      <c r="H233" t="s">
        <v>456</v>
      </c>
      <c r="I233">
        <v>15200</v>
      </c>
      <c r="J233">
        <v>67500</v>
      </c>
      <c r="K233" t="s">
        <v>50</v>
      </c>
      <c r="L233">
        <v>12</v>
      </c>
      <c r="N233" t="s">
        <v>50</v>
      </c>
      <c r="O233">
        <v>97500</v>
      </c>
    </row>
    <row r="234" spans="1:15" hidden="1">
      <c r="A234" t="s">
        <v>76</v>
      </c>
      <c r="B234" t="s">
        <v>622</v>
      </c>
      <c r="C234" t="s">
        <v>623</v>
      </c>
      <c r="D234" t="str">
        <f>TEXT(TabelaDirty[[#This Row],[cpf]],"000\.000\.000\-00")</f>
        <v>000.000.379-00</v>
      </c>
      <c r="E234">
        <v>59</v>
      </c>
      <c r="F234" s="11">
        <v>24578</v>
      </c>
      <c r="G234" t="s">
        <v>242</v>
      </c>
      <c r="I234">
        <v>6600</v>
      </c>
      <c r="J234">
        <v>50000</v>
      </c>
      <c r="K234" t="s">
        <v>51</v>
      </c>
      <c r="L234">
        <v>9</v>
      </c>
      <c r="N234" t="s">
        <v>51</v>
      </c>
      <c r="O234">
        <v>25000</v>
      </c>
    </row>
    <row r="235" spans="1:15">
      <c r="A235" t="s">
        <v>81</v>
      </c>
      <c r="B235" t="s">
        <v>624</v>
      </c>
      <c r="C235">
        <v>24300</v>
      </c>
      <c r="D235" t="str">
        <f>TEXT(TabelaDirty[[#This Row],[cpf]],"000\.000\.000\-00")</f>
        <v>000.000.243-00</v>
      </c>
      <c r="E235">
        <v>25</v>
      </c>
      <c r="F235">
        <v>37131</v>
      </c>
      <c r="G235" t="s">
        <v>103</v>
      </c>
      <c r="H235" t="s">
        <v>108</v>
      </c>
      <c r="I235" s="12">
        <v>24500</v>
      </c>
      <c r="J235" t="s">
        <v>92</v>
      </c>
      <c r="K235">
        <v>0</v>
      </c>
      <c r="L235">
        <v>0</v>
      </c>
      <c r="N235">
        <v>0</v>
      </c>
      <c r="O235">
        <v>55000</v>
      </c>
    </row>
    <row r="236" spans="1:15" hidden="1">
      <c r="A236" t="s">
        <v>76</v>
      </c>
      <c r="B236" t="s">
        <v>625</v>
      </c>
      <c r="C236" t="s">
        <v>626</v>
      </c>
      <c r="D236" t="str">
        <f>TEXT(TabelaDirty[[#This Row],[cpf]],"000\.000\.000\-00")</f>
        <v>000.000.128-00</v>
      </c>
      <c r="F236">
        <v>32796</v>
      </c>
      <c r="G236" t="s">
        <v>89</v>
      </c>
      <c r="H236" t="s">
        <v>90</v>
      </c>
      <c r="I236">
        <v>28600</v>
      </c>
      <c r="K236" t="s">
        <v>50</v>
      </c>
      <c r="L236">
        <v>19</v>
      </c>
      <c r="N236" t="s">
        <v>50</v>
      </c>
      <c r="O236">
        <v>90000</v>
      </c>
    </row>
    <row r="237" spans="1:15" hidden="1">
      <c r="A237" t="s">
        <v>81</v>
      </c>
      <c r="B237" t="s">
        <v>627</v>
      </c>
      <c r="C237" t="s">
        <v>628</v>
      </c>
      <c r="D237" t="str">
        <f>TEXT(TabelaDirty[[#This Row],[cpf]],"000\.000\.000\-00")</f>
        <v>000.000.380-00</v>
      </c>
      <c r="E237">
        <v>36</v>
      </c>
      <c r="F237">
        <v>32914</v>
      </c>
      <c r="G237" t="s">
        <v>242</v>
      </c>
      <c r="H237" t="s">
        <v>456</v>
      </c>
      <c r="I237">
        <v>27600</v>
      </c>
      <c r="J237">
        <v>37000</v>
      </c>
      <c r="K237" t="s">
        <v>50</v>
      </c>
      <c r="L237">
        <v>15</v>
      </c>
      <c r="N237" t="s">
        <v>50</v>
      </c>
      <c r="O237">
        <v>41500</v>
      </c>
    </row>
    <row r="238" spans="1:15" hidden="1">
      <c r="A238" t="s">
        <v>81</v>
      </c>
      <c r="B238" t="s">
        <v>629</v>
      </c>
      <c r="C238">
        <v>17100</v>
      </c>
      <c r="D238" t="str">
        <f>TEXT(TabelaDirty[[#This Row],[cpf]],"000\.000\.000\-00")</f>
        <v>000.000.171-00</v>
      </c>
      <c r="E238">
        <v>45</v>
      </c>
      <c r="F238">
        <v>29506</v>
      </c>
      <c r="G238" t="s">
        <v>302</v>
      </c>
      <c r="H238" t="s">
        <v>84</v>
      </c>
      <c r="I238">
        <v>5100</v>
      </c>
      <c r="J238" s="12">
        <v>25000</v>
      </c>
      <c r="K238" t="s">
        <v>50</v>
      </c>
      <c r="L238">
        <v>29</v>
      </c>
      <c r="N238" t="s">
        <v>50</v>
      </c>
      <c r="O238">
        <v>88000</v>
      </c>
    </row>
    <row r="239" spans="1:15" hidden="1">
      <c r="A239" t="s">
        <v>105</v>
      </c>
      <c r="B239" t="s">
        <v>630</v>
      </c>
      <c r="C239" t="s">
        <v>631</v>
      </c>
      <c r="D239" t="str">
        <f>TEXT(TabelaDirty[[#This Row],[cpf]],"000\.000\.000\-00")</f>
        <v>000.000.093-00</v>
      </c>
      <c r="E239">
        <v>56</v>
      </c>
      <c r="F239">
        <v>25551</v>
      </c>
      <c r="G239" t="s">
        <v>183</v>
      </c>
      <c r="H239" t="s">
        <v>183</v>
      </c>
      <c r="I239" s="13">
        <v>22600</v>
      </c>
      <c r="J239">
        <v>63000</v>
      </c>
      <c r="K239" t="s">
        <v>50</v>
      </c>
      <c r="L239">
        <v>33</v>
      </c>
      <c r="N239" t="s">
        <v>50</v>
      </c>
      <c r="O239">
        <v>53000</v>
      </c>
    </row>
    <row r="240" spans="1:15" hidden="1">
      <c r="A240" t="s">
        <v>76</v>
      </c>
      <c r="B240" t="s">
        <v>632</v>
      </c>
      <c r="C240" t="s">
        <v>633</v>
      </c>
      <c r="D240" t="str">
        <f>TEXT(TabelaDirty[[#This Row],[cpf]],"000\.000\.000\-00")</f>
        <v>000.000.111-00</v>
      </c>
      <c r="E240">
        <v>47</v>
      </c>
      <c r="F240" s="11">
        <v>29007</v>
      </c>
      <c r="G240" t="s">
        <v>121</v>
      </c>
      <c r="H240" t="s">
        <v>122</v>
      </c>
      <c r="I240">
        <v>5000</v>
      </c>
      <c r="J240" s="13">
        <v>75500</v>
      </c>
      <c r="K240" t="s">
        <v>51</v>
      </c>
      <c r="L240">
        <v>2</v>
      </c>
      <c r="N240" t="s">
        <v>51</v>
      </c>
      <c r="O240">
        <v>89500</v>
      </c>
    </row>
    <row r="241" spans="1:15" hidden="1">
      <c r="A241" t="s">
        <v>76</v>
      </c>
      <c r="B241" t="s">
        <v>634</v>
      </c>
      <c r="C241">
        <v>15900</v>
      </c>
      <c r="D241" t="str">
        <f>TEXT(TabelaDirty[[#This Row],[cpf]],"000\.000\.000\-00")</f>
        <v>000.000.159-00</v>
      </c>
      <c r="E241">
        <v>26</v>
      </c>
      <c r="F241" s="11">
        <v>36411</v>
      </c>
      <c r="G241" t="s">
        <v>138</v>
      </c>
      <c r="H241" t="s">
        <v>139</v>
      </c>
      <c r="I241" t="s">
        <v>635</v>
      </c>
      <c r="J241" s="12">
        <v>68500</v>
      </c>
      <c r="K241" t="s">
        <v>50</v>
      </c>
      <c r="L241">
        <v>27</v>
      </c>
      <c r="N241" t="s">
        <v>50</v>
      </c>
      <c r="O241">
        <v>7000</v>
      </c>
    </row>
    <row r="242" spans="1:15" hidden="1">
      <c r="A242" t="s">
        <v>81</v>
      </c>
      <c r="B242" t="s">
        <v>636</v>
      </c>
      <c r="C242" t="s">
        <v>637</v>
      </c>
      <c r="D242" t="str">
        <f>TEXT(TabelaDirty[[#This Row],[cpf]],"000\.000\.000\-00")</f>
        <v>000.000.324-00</v>
      </c>
      <c r="E242">
        <v>49</v>
      </c>
      <c r="F242" s="11">
        <v>28286</v>
      </c>
      <c r="G242" t="s">
        <v>112</v>
      </c>
      <c r="H242" t="s">
        <v>113</v>
      </c>
      <c r="I242">
        <v>21900</v>
      </c>
      <c r="J242">
        <v>69000</v>
      </c>
      <c r="K242" t="s">
        <v>50</v>
      </c>
      <c r="L242" t="s">
        <v>638</v>
      </c>
      <c r="N242" t="s">
        <v>50</v>
      </c>
      <c r="O242">
        <v>80500</v>
      </c>
    </row>
    <row r="243" spans="1:15" hidden="1">
      <c r="A243" t="s">
        <v>76</v>
      </c>
      <c r="B243" t="s">
        <v>639</v>
      </c>
      <c r="C243" t="s">
        <v>640</v>
      </c>
      <c r="D243" t="str">
        <f>TEXT(TabelaDirty[[#This Row],[cpf]],"000\.000\.000\-00")</f>
        <v>000.000.296-00</v>
      </c>
      <c r="E243">
        <v>71</v>
      </c>
      <c r="F243">
        <v>20187</v>
      </c>
      <c r="G243" t="s">
        <v>127</v>
      </c>
      <c r="H243" t="s">
        <v>122</v>
      </c>
      <c r="I243">
        <v>29200</v>
      </c>
      <c r="J243">
        <v>73500</v>
      </c>
      <c r="K243" t="s">
        <v>50</v>
      </c>
      <c r="L243">
        <v>2</v>
      </c>
      <c r="N243" t="s">
        <v>50</v>
      </c>
      <c r="O243">
        <v>33000</v>
      </c>
    </row>
    <row r="244" spans="1:15" hidden="1">
      <c r="A244" t="s">
        <v>76</v>
      </c>
      <c r="B244" t="s">
        <v>641</v>
      </c>
      <c r="C244" t="s">
        <v>642</v>
      </c>
      <c r="D244" t="str">
        <f>TEXT(TabelaDirty[[#This Row],[cpf]],"000\.000\.000\-00")</f>
        <v>000.000.112-00</v>
      </c>
      <c r="E244">
        <v>65</v>
      </c>
      <c r="F244">
        <v>22314</v>
      </c>
      <c r="G244" t="s">
        <v>83</v>
      </c>
      <c r="H244" t="s">
        <v>303</v>
      </c>
      <c r="I244">
        <v>6100</v>
      </c>
      <c r="J244">
        <v>40000</v>
      </c>
      <c r="K244" t="s">
        <v>50</v>
      </c>
      <c r="L244" t="s">
        <v>643</v>
      </c>
      <c r="N244" t="s">
        <v>50</v>
      </c>
      <c r="O244">
        <v>22500</v>
      </c>
    </row>
    <row r="245" spans="1:15">
      <c r="A245" t="s">
        <v>76</v>
      </c>
      <c r="B245" t="s">
        <v>644</v>
      </c>
      <c r="C245" t="s">
        <v>645</v>
      </c>
      <c r="D245" t="str">
        <f>TEXT(TabelaDirty[[#This Row],[cpf]],"000\.000\.000\-00")</f>
        <v>000.000.130-00</v>
      </c>
      <c r="E245">
        <v>65</v>
      </c>
      <c r="F245">
        <v>22297</v>
      </c>
      <c r="G245" t="s">
        <v>103</v>
      </c>
      <c r="H245" t="s">
        <v>108</v>
      </c>
      <c r="I245" s="13">
        <v>27300</v>
      </c>
      <c r="J245">
        <v>48500</v>
      </c>
      <c r="K245" t="s">
        <v>50</v>
      </c>
      <c r="L245">
        <v>29</v>
      </c>
      <c r="N245" t="s">
        <v>50</v>
      </c>
      <c r="O245">
        <v>94000</v>
      </c>
    </row>
    <row r="246" spans="1:15" hidden="1">
      <c r="A246" t="s">
        <v>76</v>
      </c>
      <c r="B246" t="s">
        <v>646</v>
      </c>
      <c r="C246" t="s">
        <v>647</v>
      </c>
      <c r="D246" t="str">
        <f>TEXT(TabelaDirty[[#This Row],[cpf]],"000\.000\.000\-00")</f>
        <v>000.000.315-00</v>
      </c>
      <c r="E246">
        <v>57</v>
      </c>
      <c r="F246">
        <v>25350</v>
      </c>
      <c r="G246" t="s">
        <v>169</v>
      </c>
      <c r="H246" t="s">
        <v>139</v>
      </c>
      <c r="I246">
        <v>20600</v>
      </c>
      <c r="J246">
        <v>52500</v>
      </c>
      <c r="L246">
        <v>16</v>
      </c>
      <c r="O246">
        <v>97000</v>
      </c>
    </row>
    <row r="247" spans="1:15" hidden="1">
      <c r="A247" t="s">
        <v>76</v>
      </c>
      <c r="B247" t="s">
        <v>648</v>
      </c>
      <c r="C247">
        <v>2800</v>
      </c>
      <c r="D247" t="str">
        <f>TEXT(TabelaDirty[[#This Row],[cpf]],"000\.000\.000\-00")</f>
        <v>000.000.028-00</v>
      </c>
      <c r="E247">
        <v>24</v>
      </c>
      <c r="F247">
        <v>37470</v>
      </c>
      <c r="G247" t="s">
        <v>302</v>
      </c>
      <c r="H247" t="s">
        <v>187</v>
      </c>
      <c r="I247">
        <v>16900</v>
      </c>
      <c r="J247">
        <v>42500</v>
      </c>
      <c r="K247" t="s">
        <v>51</v>
      </c>
      <c r="L247" t="s">
        <v>649</v>
      </c>
      <c r="N247" t="s">
        <v>51</v>
      </c>
      <c r="O247">
        <v>12500</v>
      </c>
    </row>
    <row r="248" spans="1:15" hidden="1">
      <c r="A248" t="s">
        <v>81</v>
      </c>
      <c r="B248" t="s">
        <v>650</v>
      </c>
      <c r="C248" t="s">
        <v>651</v>
      </c>
      <c r="D248" t="str">
        <f>TEXT(TabelaDirty[[#This Row],[cpf]],"000\.000\.000\-00")</f>
        <v>000.000.238-00</v>
      </c>
      <c r="E248">
        <v>55</v>
      </c>
      <c r="F248" s="11">
        <v>25848</v>
      </c>
      <c r="G248" t="s">
        <v>121</v>
      </c>
      <c r="H248" t="s">
        <v>122</v>
      </c>
      <c r="J248">
        <v>5000</v>
      </c>
      <c r="K248" t="s">
        <v>50</v>
      </c>
      <c r="L248">
        <v>8</v>
      </c>
      <c r="N248" t="s">
        <v>50</v>
      </c>
      <c r="O248">
        <v>11000</v>
      </c>
    </row>
    <row r="249" spans="1:15" hidden="1">
      <c r="A249" t="s">
        <v>76</v>
      </c>
      <c r="B249" t="s">
        <v>652</v>
      </c>
      <c r="C249">
        <v>15600</v>
      </c>
      <c r="D249" t="str">
        <f>TEXT(TabelaDirty[[#This Row],[cpf]],"000\.000\.000\-00")</f>
        <v>000.000.156-00</v>
      </c>
      <c r="E249">
        <v>44</v>
      </c>
      <c r="F249">
        <v>29843</v>
      </c>
      <c r="G249" t="s">
        <v>89</v>
      </c>
      <c r="H249" t="s">
        <v>90</v>
      </c>
      <c r="I249">
        <v>11300</v>
      </c>
      <c r="J249">
        <v>55000</v>
      </c>
      <c r="K249" t="s">
        <v>50</v>
      </c>
      <c r="L249">
        <v>38</v>
      </c>
      <c r="N249" t="s">
        <v>50</v>
      </c>
      <c r="O249">
        <v>68500</v>
      </c>
    </row>
    <row r="250" spans="1:15" hidden="1">
      <c r="A250" t="s">
        <v>76</v>
      </c>
      <c r="B250" t="s">
        <v>653</v>
      </c>
      <c r="C250" t="s">
        <v>654</v>
      </c>
      <c r="D250" t="str">
        <f>TEXT(TabelaDirty[[#This Row],[cpf]],"000\.000\.000\-00")</f>
        <v>000.000.110-00</v>
      </c>
      <c r="E250">
        <v>33</v>
      </c>
      <c r="F250">
        <v>34070</v>
      </c>
      <c r="G250" t="s">
        <v>302</v>
      </c>
      <c r="H250" t="s">
        <v>187</v>
      </c>
      <c r="I250">
        <v>29300</v>
      </c>
      <c r="J250">
        <v>69000</v>
      </c>
      <c r="K250" t="s">
        <v>51</v>
      </c>
      <c r="L250">
        <v>0</v>
      </c>
      <c r="N250" t="s">
        <v>51</v>
      </c>
      <c r="O250">
        <v>4500</v>
      </c>
    </row>
    <row r="251" spans="1:15" hidden="1">
      <c r="A251" t="s">
        <v>76</v>
      </c>
      <c r="B251" t="s">
        <v>655</v>
      </c>
      <c r="C251" t="s">
        <v>656</v>
      </c>
      <c r="D251" t="str">
        <f>TEXT(TabelaDirty[[#This Row],[cpf]],"000\.000\.000\-00")</f>
        <v>000.000.153-00</v>
      </c>
      <c r="E251">
        <v>24</v>
      </c>
      <c r="F251">
        <v>37394</v>
      </c>
      <c r="G251" t="s">
        <v>657</v>
      </c>
      <c r="I251">
        <v>14200</v>
      </c>
      <c r="J251">
        <v>71000</v>
      </c>
      <c r="K251" t="s">
        <v>50</v>
      </c>
      <c r="L251">
        <v>10</v>
      </c>
      <c r="N251" t="s">
        <v>50</v>
      </c>
      <c r="O251">
        <v>91500</v>
      </c>
    </row>
    <row r="252" spans="1:15" hidden="1">
      <c r="A252" t="s">
        <v>76</v>
      </c>
      <c r="B252" t="s">
        <v>658</v>
      </c>
      <c r="C252">
        <v>31900</v>
      </c>
      <c r="D252" t="str">
        <f>TEXT(TabelaDirty[[#This Row],[cpf]],"000\.000\.000\-00")</f>
        <v>000.000.319-00</v>
      </c>
      <c r="E252">
        <v>20</v>
      </c>
      <c r="F252">
        <v>38678</v>
      </c>
      <c r="G252" t="s">
        <v>127</v>
      </c>
      <c r="H252" t="s">
        <v>122</v>
      </c>
      <c r="I252" s="13">
        <v>9300</v>
      </c>
      <c r="J252" s="13">
        <v>35000</v>
      </c>
      <c r="K252" t="s">
        <v>50</v>
      </c>
      <c r="L252">
        <v>5</v>
      </c>
      <c r="N252" t="s">
        <v>50</v>
      </c>
      <c r="O252">
        <v>10500</v>
      </c>
    </row>
    <row r="253" spans="1:15" hidden="1">
      <c r="A253" t="s">
        <v>81</v>
      </c>
      <c r="B253" t="s">
        <v>659</v>
      </c>
      <c r="C253" t="s">
        <v>660</v>
      </c>
      <c r="D253" t="str">
        <f>TEXT(TabelaDirty[[#This Row],[cpf]],"000\.000\.000\-00")</f>
        <v>000.000.106-00</v>
      </c>
      <c r="E253">
        <v>20</v>
      </c>
      <c r="F253" s="11">
        <v>38704</v>
      </c>
      <c r="G253" t="s">
        <v>302</v>
      </c>
      <c r="H253" t="s">
        <v>135</v>
      </c>
      <c r="I253">
        <v>12900</v>
      </c>
      <c r="J253" s="12">
        <v>26500</v>
      </c>
      <c r="K253" t="s">
        <v>50</v>
      </c>
      <c r="L253">
        <v>13</v>
      </c>
      <c r="N253" t="s">
        <v>50</v>
      </c>
      <c r="O253">
        <v>2000</v>
      </c>
    </row>
    <row r="254" spans="1:15" hidden="1">
      <c r="A254" t="s">
        <v>76</v>
      </c>
      <c r="B254" t="s">
        <v>661</v>
      </c>
      <c r="C254" t="s">
        <v>662</v>
      </c>
      <c r="D254" t="str">
        <f>TEXT(TabelaDirty[[#This Row],[cpf]],"000\.000\.000\-00")</f>
        <v>000.000.055-00</v>
      </c>
      <c r="F254">
        <v>36337</v>
      </c>
      <c r="G254" t="s">
        <v>210</v>
      </c>
      <c r="H254" t="s">
        <v>142</v>
      </c>
      <c r="I254">
        <v>22500</v>
      </c>
      <c r="J254">
        <v>55500</v>
      </c>
      <c r="K254" t="s">
        <v>50</v>
      </c>
      <c r="L254">
        <v>32</v>
      </c>
      <c r="N254" t="s">
        <v>50</v>
      </c>
      <c r="O254">
        <v>91500</v>
      </c>
    </row>
    <row r="255" spans="1:15" hidden="1">
      <c r="A255" t="s">
        <v>76</v>
      </c>
      <c r="B255" t="s">
        <v>663</v>
      </c>
      <c r="C255">
        <v>29500</v>
      </c>
      <c r="D255" t="str">
        <f>TEXT(TabelaDirty[[#This Row],[cpf]],"000\.000\.000\-00")</f>
        <v>000.000.295-00</v>
      </c>
      <c r="E255">
        <v>68</v>
      </c>
      <c r="F255" s="11">
        <v>21079</v>
      </c>
      <c r="G255" t="s">
        <v>242</v>
      </c>
      <c r="H255" t="s">
        <v>247</v>
      </c>
      <c r="I255" t="s">
        <v>664</v>
      </c>
      <c r="J255">
        <v>64500</v>
      </c>
      <c r="K255" t="s">
        <v>51</v>
      </c>
      <c r="L255">
        <v>32</v>
      </c>
      <c r="N255" t="s">
        <v>51</v>
      </c>
      <c r="O255">
        <v>35500</v>
      </c>
    </row>
    <row r="256" spans="1:15" hidden="1">
      <c r="A256" t="s">
        <v>76</v>
      </c>
      <c r="B256" t="s">
        <v>665</v>
      </c>
      <c r="C256" t="s">
        <v>666</v>
      </c>
      <c r="D256" t="str">
        <f>TEXT(TabelaDirty[[#This Row],[cpf]],"000\.000\.000\-00")</f>
        <v>000.000.058-00</v>
      </c>
      <c r="E256">
        <v>62</v>
      </c>
      <c r="G256" t="s">
        <v>172</v>
      </c>
      <c r="H256" t="s">
        <v>149</v>
      </c>
      <c r="I256">
        <v>1900</v>
      </c>
      <c r="J256">
        <v>3500</v>
      </c>
      <c r="K256" t="s">
        <v>50</v>
      </c>
      <c r="L256">
        <v>19</v>
      </c>
      <c r="N256" t="s">
        <v>50</v>
      </c>
      <c r="O256">
        <v>62000</v>
      </c>
    </row>
    <row r="257" spans="1:15" hidden="1">
      <c r="A257" t="s">
        <v>76</v>
      </c>
      <c r="B257" t="s">
        <v>667</v>
      </c>
      <c r="C257" t="s">
        <v>668</v>
      </c>
      <c r="D257" t="str">
        <f>TEXT(TabelaDirty[[#This Row],[cpf]],"000\.000\.000\-00")</f>
        <v>000.000.095-00</v>
      </c>
      <c r="E257">
        <v>61</v>
      </c>
      <c r="F257" s="11">
        <v>23964</v>
      </c>
      <c r="G257" t="s">
        <v>154</v>
      </c>
      <c r="H257" t="s">
        <v>155</v>
      </c>
      <c r="I257">
        <v>7000</v>
      </c>
      <c r="J257">
        <v>1500</v>
      </c>
      <c r="K257" t="s">
        <v>51</v>
      </c>
      <c r="L257">
        <v>32</v>
      </c>
      <c r="N257" t="s">
        <v>51</v>
      </c>
      <c r="O257">
        <v>53000</v>
      </c>
    </row>
    <row r="258" spans="1:15" hidden="1">
      <c r="A258" t="s">
        <v>76</v>
      </c>
      <c r="B258" t="s">
        <v>669</v>
      </c>
      <c r="C258" t="s">
        <v>670</v>
      </c>
      <c r="D258" t="str">
        <f>TEXT(TabelaDirty[[#This Row],[cpf]],"000\.000\.000\-00")</f>
        <v>000.000.105-00</v>
      </c>
      <c r="E258">
        <v>25</v>
      </c>
      <c r="F258">
        <v>37118</v>
      </c>
      <c r="G258" t="s">
        <v>172</v>
      </c>
      <c r="H258" t="s">
        <v>149</v>
      </c>
      <c r="I258" t="s">
        <v>671</v>
      </c>
      <c r="J258">
        <v>1500</v>
      </c>
      <c r="K258">
        <v>1</v>
      </c>
      <c r="L258">
        <v>33</v>
      </c>
      <c r="N258">
        <v>1</v>
      </c>
      <c r="O258">
        <v>14000</v>
      </c>
    </row>
    <row r="259" spans="1:15" hidden="1">
      <c r="A259" t="s">
        <v>257</v>
      </c>
      <c r="B259" t="s">
        <v>672</v>
      </c>
      <c r="C259" t="s">
        <v>673</v>
      </c>
      <c r="D259" t="str">
        <f>TEXT(TabelaDirty[[#This Row],[cpf]],"000\.000\.000\-00")</f>
        <v>000.000.208-00</v>
      </c>
      <c r="E259">
        <v>52</v>
      </c>
      <c r="F259">
        <v>27088</v>
      </c>
      <c r="G259" t="s">
        <v>83</v>
      </c>
      <c r="H259" t="s">
        <v>303</v>
      </c>
      <c r="I259">
        <v>24900</v>
      </c>
      <c r="J259">
        <v>0</v>
      </c>
      <c r="K259" t="s">
        <v>50</v>
      </c>
      <c r="L259" t="s">
        <v>358</v>
      </c>
      <c r="N259" t="s">
        <v>50</v>
      </c>
      <c r="O259">
        <v>16000</v>
      </c>
    </row>
    <row r="260" spans="1:15" hidden="1">
      <c r="A260" t="s">
        <v>81</v>
      </c>
      <c r="B260" t="s">
        <v>674</v>
      </c>
      <c r="C260" t="s">
        <v>675</v>
      </c>
      <c r="D260" t="str">
        <f>TEXT(TabelaDirty[[#This Row],[cpf]],"000\.000\.000\-00")</f>
        <v>000.000.263-00</v>
      </c>
      <c r="E260">
        <v>33</v>
      </c>
      <c r="F260">
        <v>33989</v>
      </c>
      <c r="G260" t="s">
        <v>223</v>
      </c>
      <c r="H260" t="s">
        <v>165</v>
      </c>
      <c r="I260">
        <v>23400</v>
      </c>
      <c r="J260">
        <v>59000</v>
      </c>
      <c r="K260" t="s">
        <v>181</v>
      </c>
      <c r="L260">
        <v>35</v>
      </c>
      <c r="N260" t="s">
        <v>181</v>
      </c>
      <c r="O260">
        <v>39000</v>
      </c>
    </row>
    <row r="261" spans="1:15" hidden="1">
      <c r="A261" t="s">
        <v>81</v>
      </c>
      <c r="B261" t="s">
        <v>676</v>
      </c>
      <c r="C261" t="s">
        <v>677</v>
      </c>
      <c r="D261" t="str">
        <f>TEXT(TabelaDirty[[#This Row],[cpf]],"000\.000\.000\-00")</f>
        <v>000.000.229-00</v>
      </c>
      <c r="E261">
        <v>48</v>
      </c>
      <c r="F261">
        <v>28737</v>
      </c>
      <c r="G261" t="s">
        <v>223</v>
      </c>
      <c r="H261" t="s">
        <v>90</v>
      </c>
      <c r="I261">
        <v>12400</v>
      </c>
      <c r="J261">
        <v>0</v>
      </c>
      <c r="K261" t="s">
        <v>50</v>
      </c>
      <c r="L261">
        <v>25</v>
      </c>
      <c r="N261" t="s">
        <v>50</v>
      </c>
      <c r="O261">
        <v>65500</v>
      </c>
    </row>
    <row r="262" spans="1:15" hidden="1">
      <c r="A262" t="s">
        <v>81</v>
      </c>
      <c r="B262" t="s">
        <v>678</v>
      </c>
      <c r="C262" t="s">
        <v>679</v>
      </c>
      <c r="D262" t="str">
        <f>TEXT(TabelaDirty[[#This Row],[cpf]],"000\.000\.000\-00")</f>
        <v>000.000.015-00</v>
      </c>
      <c r="E262">
        <v>55</v>
      </c>
      <c r="F262" s="11">
        <v>26142</v>
      </c>
      <c r="G262" t="s">
        <v>79</v>
      </c>
      <c r="H262" t="s">
        <v>436</v>
      </c>
      <c r="I262" t="s">
        <v>680</v>
      </c>
      <c r="J262" t="s">
        <v>550</v>
      </c>
      <c r="K262" t="s">
        <v>51</v>
      </c>
      <c r="L262">
        <v>14</v>
      </c>
      <c r="N262" t="s">
        <v>51</v>
      </c>
      <c r="O262">
        <v>27000</v>
      </c>
    </row>
    <row r="263" spans="1:15" hidden="1">
      <c r="A263" t="s">
        <v>76</v>
      </c>
      <c r="B263" t="s">
        <v>681</v>
      </c>
      <c r="C263" t="s">
        <v>682</v>
      </c>
      <c r="D263" t="str">
        <f>TEXT(TabelaDirty[[#This Row],[cpf]],"000\.000\.000\-00")</f>
        <v>000.000.232-00</v>
      </c>
      <c r="E263">
        <v>28</v>
      </c>
      <c r="G263" t="s">
        <v>127</v>
      </c>
      <c r="H263" t="s">
        <v>122</v>
      </c>
      <c r="I263">
        <v>14500</v>
      </c>
      <c r="J263">
        <v>39500</v>
      </c>
      <c r="K263" t="s">
        <v>50</v>
      </c>
      <c r="L263">
        <v>18</v>
      </c>
      <c r="N263" t="s">
        <v>50</v>
      </c>
      <c r="O263">
        <v>32000</v>
      </c>
    </row>
    <row r="264" spans="1:15" hidden="1">
      <c r="A264" t="s">
        <v>76</v>
      </c>
      <c r="B264" t="s">
        <v>683</v>
      </c>
      <c r="C264" t="s">
        <v>684</v>
      </c>
      <c r="D264" t="str">
        <f>TEXT(TabelaDirty[[#This Row],[cpf]],"000\.000\.000\-00")</f>
        <v>000.000.147-00</v>
      </c>
      <c r="E264">
        <v>52</v>
      </c>
      <c r="F264" s="11">
        <v>26921</v>
      </c>
      <c r="G264" t="s">
        <v>154</v>
      </c>
      <c r="H264" t="s">
        <v>142</v>
      </c>
      <c r="I264">
        <v>7300</v>
      </c>
      <c r="J264" t="s">
        <v>685</v>
      </c>
      <c r="K264" t="s">
        <v>50</v>
      </c>
      <c r="L264">
        <v>40</v>
      </c>
      <c r="N264" t="s">
        <v>50</v>
      </c>
      <c r="O264">
        <v>34500</v>
      </c>
    </row>
    <row r="265" spans="1:15" hidden="1">
      <c r="A265" t="s">
        <v>76</v>
      </c>
      <c r="B265" t="s">
        <v>686</v>
      </c>
      <c r="C265" t="s">
        <v>687</v>
      </c>
      <c r="D265" t="str">
        <f>TEXT(TabelaDirty[[#This Row],[cpf]],"000\.000\.000\-00")</f>
        <v>000.000.062-00</v>
      </c>
      <c r="E265">
        <v>63</v>
      </c>
      <c r="F265" s="11">
        <v>23006</v>
      </c>
      <c r="G265" t="s">
        <v>688</v>
      </c>
      <c r="I265">
        <v>11200</v>
      </c>
      <c r="L265">
        <v>41</v>
      </c>
      <c r="O265">
        <v>83500</v>
      </c>
    </row>
    <row r="266" spans="1:15" hidden="1">
      <c r="A266" t="s">
        <v>76</v>
      </c>
      <c r="B266" t="s">
        <v>689</v>
      </c>
      <c r="C266" t="s">
        <v>690</v>
      </c>
      <c r="D266" t="str">
        <f>TEXT(TabelaDirty[[#This Row],[cpf]],"000\.000\.000\-00")</f>
        <v>000.000.202-00</v>
      </c>
      <c r="E266">
        <v>53</v>
      </c>
      <c r="F266" s="11">
        <v>26840</v>
      </c>
      <c r="G266" t="s">
        <v>691</v>
      </c>
      <c r="I266">
        <v>9500</v>
      </c>
      <c r="J266" s="13">
        <v>66500</v>
      </c>
      <c r="K266" t="s">
        <v>51</v>
      </c>
      <c r="L266">
        <v>38</v>
      </c>
      <c r="N266" t="s">
        <v>51</v>
      </c>
      <c r="O266">
        <v>42500</v>
      </c>
    </row>
    <row r="267" spans="1:15">
      <c r="A267" t="s">
        <v>76</v>
      </c>
      <c r="B267" t="s">
        <v>692</v>
      </c>
      <c r="C267" t="s">
        <v>693</v>
      </c>
      <c r="D267" t="str">
        <f>TEXT(TabelaDirty[[#This Row],[cpf]],"000\.000\.000\-00")</f>
        <v>000.000.351-00</v>
      </c>
      <c r="E267">
        <v>71</v>
      </c>
      <c r="F267">
        <v>20275</v>
      </c>
      <c r="G267" t="s">
        <v>103</v>
      </c>
      <c r="H267" t="s">
        <v>108</v>
      </c>
      <c r="I267">
        <v>14200</v>
      </c>
      <c r="J267">
        <v>51000</v>
      </c>
      <c r="K267" t="s">
        <v>50</v>
      </c>
      <c r="L267">
        <v>10</v>
      </c>
      <c r="N267" t="s">
        <v>50</v>
      </c>
      <c r="O267">
        <v>90500</v>
      </c>
    </row>
    <row r="268" spans="1:15" hidden="1">
      <c r="A268" t="s">
        <v>76</v>
      </c>
      <c r="B268" t="s">
        <v>694</v>
      </c>
      <c r="C268" t="s">
        <v>695</v>
      </c>
      <c r="D268" t="str">
        <f>TEXT(TabelaDirty[[#This Row],[cpf]],"000\.000\.000\-00")</f>
        <v>000.000.101-00</v>
      </c>
      <c r="E268">
        <v>22</v>
      </c>
      <c r="F268">
        <v>37936</v>
      </c>
      <c r="G268" t="s">
        <v>79</v>
      </c>
      <c r="H268" t="s">
        <v>100</v>
      </c>
      <c r="I268" s="13">
        <v>4100</v>
      </c>
      <c r="J268">
        <v>2000</v>
      </c>
      <c r="K268" t="s">
        <v>50</v>
      </c>
      <c r="L268">
        <v>8</v>
      </c>
      <c r="N268" t="s">
        <v>50</v>
      </c>
      <c r="O268">
        <v>4000</v>
      </c>
    </row>
    <row r="269" spans="1:15" hidden="1">
      <c r="A269" t="s">
        <v>76</v>
      </c>
      <c r="B269" t="s">
        <v>696</v>
      </c>
      <c r="C269" t="s">
        <v>697</v>
      </c>
      <c r="D269" t="str">
        <f>TEXT(TabelaDirty[[#This Row],[cpf]],"000\.000\.000\-00")</f>
        <v>000.000.172-00</v>
      </c>
      <c r="E269">
        <v>37</v>
      </c>
      <c r="F269">
        <v>32680</v>
      </c>
      <c r="G269" t="s">
        <v>127</v>
      </c>
      <c r="H269" t="s">
        <v>122</v>
      </c>
      <c r="I269">
        <v>28900</v>
      </c>
      <c r="J269">
        <v>71000</v>
      </c>
      <c r="K269" t="s">
        <v>50</v>
      </c>
      <c r="L269">
        <v>28</v>
      </c>
      <c r="N269" t="s">
        <v>50</v>
      </c>
      <c r="O269">
        <v>36500</v>
      </c>
    </row>
    <row r="270" spans="1:15" hidden="1">
      <c r="A270" t="s">
        <v>76</v>
      </c>
      <c r="B270" t="s">
        <v>698</v>
      </c>
      <c r="C270">
        <v>13200</v>
      </c>
      <c r="D270" t="str">
        <f>TEXT(TabelaDirty[[#This Row],[cpf]],"000\.000\.000\-00")</f>
        <v>000.000.132-00</v>
      </c>
      <c r="E270">
        <v>29</v>
      </c>
      <c r="F270">
        <v>35334</v>
      </c>
      <c r="G270" t="s">
        <v>112</v>
      </c>
      <c r="H270" t="s">
        <v>132</v>
      </c>
      <c r="I270">
        <v>19500</v>
      </c>
      <c r="J270" s="12">
        <v>57000</v>
      </c>
      <c r="K270" t="s">
        <v>50</v>
      </c>
      <c r="L270">
        <v>12</v>
      </c>
      <c r="N270" t="s">
        <v>50</v>
      </c>
      <c r="O270">
        <v>20500</v>
      </c>
    </row>
    <row r="271" spans="1:15">
      <c r="A271" t="s">
        <v>81</v>
      </c>
      <c r="B271" t="s">
        <v>699</v>
      </c>
      <c r="C271" t="s">
        <v>700</v>
      </c>
      <c r="D271" t="str">
        <f>TEXT(TabelaDirty[[#This Row],[cpf]],"000\.000\.000\-00")</f>
        <v>000.000.353-00</v>
      </c>
      <c r="E271">
        <v>74</v>
      </c>
      <c r="F271" s="11">
        <v>19047</v>
      </c>
      <c r="G271" t="s">
        <v>103</v>
      </c>
      <c r="H271" t="s">
        <v>108</v>
      </c>
      <c r="I271">
        <v>24000</v>
      </c>
      <c r="J271">
        <v>35000</v>
      </c>
      <c r="K271" t="s">
        <v>50</v>
      </c>
      <c r="L271" t="s">
        <v>701</v>
      </c>
      <c r="N271" t="s">
        <v>50</v>
      </c>
      <c r="O271">
        <v>29500</v>
      </c>
    </row>
    <row r="272" spans="1:15" hidden="1">
      <c r="A272" t="s">
        <v>76</v>
      </c>
      <c r="B272" t="s">
        <v>702</v>
      </c>
      <c r="C272" t="s">
        <v>703</v>
      </c>
      <c r="D272" t="str">
        <f>TEXT(TabelaDirty[[#This Row],[cpf]],"000\.000\.000\-00")</f>
        <v>000.000.347-00</v>
      </c>
      <c r="E272">
        <v>19</v>
      </c>
      <c r="F272">
        <v>39016</v>
      </c>
      <c r="G272" t="s">
        <v>112</v>
      </c>
      <c r="H272" t="s">
        <v>264</v>
      </c>
      <c r="I272" s="13">
        <v>14900</v>
      </c>
      <c r="J272">
        <v>17000</v>
      </c>
      <c r="K272" t="s">
        <v>50</v>
      </c>
      <c r="L272">
        <v>20</v>
      </c>
      <c r="N272" t="s">
        <v>50</v>
      </c>
      <c r="O272">
        <v>29500</v>
      </c>
    </row>
    <row r="273" spans="1:15" hidden="1">
      <c r="A273" t="s">
        <v>81</v>
      </c>
      <c r="B273" t="s">
        <v>704</v>
      </c>
      <c r="C273">
        <v>19200</v>
      </c>
      <c r="D273" t="str">
        <f>TEXT(TabelaDirty[[#This Row],[cpf]],"000\.000\.000\-00")</f>
        <v>000.000.192-00</v>
      </c>
      <c r="E273">
        <v>50</v>
      </c>
      <c r="F273">
        <v>27833</v>
      </c>
      <c r="G273" t="s">
        <v>705</v>
      </c>
      <c r="I273">
        <v>16200</v>
      </c>
      <c r="J273" s="12">
        <v>25000</v>
      </c>
      <c r="K273" t="s">
        <v>244</v>
      </c>
      <c r="L273">
        <v>26</v>
      </c>
      <c r="N273" t="s">
        <v>244</v>
      </c>
      <c r="O273">
        <v>65000</v>
      </c>
    </row>
    <row r="274" spans="1:15" hidden="1">
      <c r="A274" t="s">
        <v>76</v>
      </c>
      <c r="B274" t="s">
        <v>706</v>
      </c>
      <c r="C274">
        <v>13700</v>
      </c>
      <c r="D274" t="str">
        <f>TEXT(TabelaDirty[[#This Row],[cpf]],"000\.000\.000\-00")</f>
        <v>000.000.137-00</v>
      </c>
      <c r="E274">
        <v>73</v>
      </c>
      <c r="F274" s="11">
        <v>19323</v>
      </c>
      <c r="G274" t="s">
        <v>242</v>
      </c>
      <c r="H274" t="s">
        <v>456</v>
      </c>
      <c r="I274">
        <v>18100</v>
      </c>
      <c r="J274">
        <v>0</v>
      </c>
      <c r="K274" t="s">
        <v>50</v>
      </c>
      <c r="L274">
        <v>36</v>
      </c>
      <c r="N274" t="s">
        <v>50</v>
      </c>
      <c r="O274">
        <v>89000</v>
      </c>
    </row>
    <row r="275" spans="1:15" hidden="1">
      <c r="A275" t="s">
        <v>173</v>
      </c>
      <c r="B275" t="s">
        <v>707</v>
      </c>
      <c r="C275">
        <v>33100</v>
      </c>
      <c r="D275" t="str">
        <f>TEXT(TabelaDirty[[#This Row],[cpf]],"000\.000\.000\-00")</f>
        <v>000.000.331-00</v>
      </c>
      <c r="F275">
        <v>36759</v>
      </c>
      <c r="G275" t="s">
        <v>183</v>
      </c>
      <c r="H275" t="s">
        <v>183</v>
      </c>
      <c r="I275">
        <v>23200</v>
      </c>
      <c r="J275">
        <v>54500</v>
      </c>
      <c r="K275">
        <v>1</v>
      </c>
      <c r="L275">
        <v>26</v>
      </c>
      <c r="N275">
        <v>1</v>
      </c>
      <c r="O275">
        <v>75000</v>
      </c>
    </row>
    <row r="276" spans="1:15" hidden="1">
      <c r="A276" t="s">
        <v>76</v>
      </c>
      <c r="B276" t="s">
        <v>708</v>
      </c>
      <c r="C276" t="s">
        <v>709</v>
      </c>
      <c r="D276" t="str">
        <f>TEXT(TabelaDirty[[#This Row],[cpf]],"000\.000\.000\-00")</f>
        <v>000.000.312-00</v>
      </c>
      <c r="E276">
        <v>25</v>
      </c>
      <c r="F276" s="11">
        <v>36792</v>
      </c>
      <c r="G276" t="s">
        <v>79</v>
      </c>
      <c r="H276" t="s">
        <v>80</v>
      </c>
      <c r="I276">
        <v>22100</v>
      </c>
      <c r="J276">
        <v>30500</v>
      </c>
      <c r="K276" t="s">
        <v>50</v>
      </c>
      <c r="L276" t="s">
        <v>268</v>
      </c>
      <c r="N276" t="s">
        <v>50</v>
      </c>
      <c r="O276">
        <v>48000</v>
      </c>
    </row>
    <row r="277" spans="1:15" hidden="1">
      <c r="A277" t="s">
        <v>105</v>
      </c>
      <c r="B277" t="s">
        <v>710</v>
      </c>
      <c r="C277" t="s">
        <v>711</v>
      </c>
      <c r="D277" t="str">
        <f>TEXT(TabelaDirty[[#This Row],[cpf]],"000\.000\.000\-00")</f>
        <v>000.000.275-00</v>
      </c>
      <c r="E277">
        <v>36</v>
      </c>
      <c r="F277">
        <v>33117</v>
      </c>
      <c r="G277" t="s">
        <v>242</v>
      </c>
      <c r="H277" t="s">
        <v>456</v>
      </c>
      <c r="I277">
        <v>11600</v>
      </c>
      <c r="J277">
        <v>78500</v>
      </c>
      <c r="K277" t="s">
        <v>50</v>
      </c>
      <c r="L277">
        <v>1</v>
      </c>
      <c r="N277" t="s">
        <v>50</v>
      </c>
      <c r="O277">
        <v>42000</v>
      </c>
    </row>
    <row r="278" spans="1:15" hidden="1">
      <c r="A278" t="s">
        <v>81</v>
      </c>
      <c r="B278" t="s">
        <v>712</v>
      </c>
      <c r="C278">
        <v>16600</v>
      </c>
      <c r="D278" t="str">
        <f>TEXT(TabelaDirty[[#This Row],[cpf]],"000\.000\.000\-00")</f>
        <v>000.000.166-00</v>
      </c>
      <c r="E278">
        <v>35</v>
      </c>
      <c r="F278">
        <v>33417</v>
      </c>
      <c r="G278" t="s">
        <v>172</v>
      </c>
      <c r="H278" t="s">
        <v>216</v>
      </c>
      <c r="I278" s="12">
        <v>12400</v>
      </c>
      <c r="J278">
        <v>0</v>
      </c>
      <c r="K278" t="s">
        <v>50</v>
      </c>
      <c r="L278">
        <v>3</v>
      </c>
      <c r="N278" t="s">
        <v>50</v>
      </c>
      <c r="O278">
        <v>83500</v>
      </c>
    </row>
    <row r="279" spans="1:15" hidden="1">
      <c r="A279" t="s">
        <v>76</v>
      </c>
      <c r="B279" t="s">
        <v>713</v>
      </c>
      <c r="C279" t="s">
        <v>714</v>
      </c>
      <c r="D279" t="str">
        <f>TEXT(TabelaDirty[[#This Row],[cpf]],"000\.000\.000\-00")</f>
        <v>000.000.109-00</v>
      </c>
      <c r="E279">
        <v>64</v>
      </c>
      <c r="F279" s="11">
        <v>22845</v>
      </c>
      <c r="G279" t="s">
        <v>162</v>
      </c>
      <c r="H279" t="s">
        <v>176</v>
      </c>
      <c r="I279">
        <v>12700</v>
      </c>
      <c r="J279">
        <v>0</v>
      </c>
      <c r="K279" t="s">
        <v>50</v>
      </c>
      <c r="L279">
        <v>21</v>
      </c>
      <c r="N279" t="s">
        <v>50</v>
      </c>
      <c r="O279">
        <v>50500</v>
      </c>
    </row>
    <row r="280" spans="1:15" hidden="1">
      <c r="A280" t="s">
        <v>76</v>
      </c>
      <c r="B280" t="s">
        <v>715</v>
      </c>
      <c r="C280" t="s">
        <v>716</v>
      </c>
      <c r="D280" t="str">
        <f>TEXT(TabelaDirty[[#This Row],[cpf]],"000\.000\.000\-00")</f>
        <v>000.000.204-00</v>
      </c>
      <c r="E280">
        <v>49</v>
      </c>
      <c r="F280">
        <v>28147</v>
      </c>
      <c r="G280" t="s">
        <v>223</v>
      </c>
      <c r="H280" t="s">
        <v>413</v>
      </c>
      <c r="I280">
        <v>28400</v>
      </c>
      <c r="J280" s="13">
        <v>38500</v>
      </c>
      <c r="K280" t="s">
        <v>190</v>
      </c>
      <c r="L280" t="s">
        <v>649</v>
      </c>
      <c r="N280" t="s">
        <v>190</v>
      </c>
      <c r="O280">
        <v>51000</v>
      </c>
    </row>
    <row r="281" spans="1:15" hidden="1">
      <c r="A281" t="s">
        <v>76</v>
      </c>
      <c r="B281" t="s">
        <v>717</v>
      </c>
      <c r="C281" t="s">
        <v>718</v>
      </c>
      <c r="D281" t="str">
        <f>TEXT(TabelaDirty[[#This Row],[cpf]],"000\.000\.000\-00")</f>
        <v>000.000.085-00</v>
      </c>
      <c r="E281">
        <v>50</v>
      </c>
      <c r="F281" s="11">
        <v>27886</v>
      </c>
      <c r="G281" t="s">
        <v>183</v>
      </c>
      <c r="H281" t="s">
        <v>183</v>
      </c>
      <c r="I281">
        <v>16100</v>
      </c>
      <c r="J281" s="13">
        <v>8000</v>
      </c>
      <c r="K281" t="s">
        <v>51</v>
      </c>
      <c r="L281">
        <v>30</v>
      </c>
      <c r="N281" t="s">
        <v>51</v>
      </c>
      <c r="O281">
        <v>27000</v>
      </c>
    </row>
    <row r="282" spans="1:15" hidden="1">
      <c r="B282" t="s">
        <v>719</v>
      </c>
      <c r="C282" t="s">
        <v>720</v>
      </c>
      <c r="D282" t="str">
        <f>TEXT(TabelaDirty[[#This Row],[cpf]],"000\.000\.000\-00")</f>
        <v>000.000.261-00</v>
      </c>
      <c r="F282" s="11">
        <v>33188</v>
      </c>
      <c r="G282" t="s">
        <v>127</v>
      </c>
      <c r="H282" t="s">
        <v>122</v>
      </c>
      <c r="I282">
        <v>29900</v>
      </c>
      <c r="J282" s="12">
        <v>64500</v>
      </c>
      <c r="K282" t="s">
        <v>50</v>
      </c>
      <c r="L282">
        <v>34</v>
      </c>
      <c r="N282" t="s">
        <v>50</v>
      </c>
      <c r="O282">
        <v>48500</v>
      </c>
    </row>
    <row r="283" spans="1:15" hidden="1">
      <c r="A283" t="s">
        <v>76</v>
      </c>
      <c r="B283" t="s">
        <v>721</v>
      </c>
      <c r="C283" t="s">
        <v>722</v>
      </c>
      <c r="D283" t="str">
        <f>TEXT(TabelaDirty[[#This Row],[cpf]],"000\.000\.000\-00")</f>
        <v>000.000.189-00</v>
      </c>
      <c r="E283">
        <v>39</v>
      </c>
      <c r="F283" s="11">
        <v>31968</v>
      </c>
      <c r="G283" t="s">
        <v>691</v>
      </c>
      <c r="I283">
        <v>8000</v>
      </c>
      <c r="J283" s="13">
        <v>69000</v>
      </c>
      <c r="K283" t="s">
        <v>50</v>
      </c>
      <c r="L283">
        <v>15</v>
      </c>
      <c r="N283" t="s">
        <v>50</v>
      </c>
      <c r="O283">
        <v>39500</v>
      </c>
    </row>
    <row r="284" spans="1:15" hidden="1">
      <c r="A284" t="s">
        <v>105</v>
      </c>
      <c r="B284" t="s">
        <v>723</v>
      </c>
      <c r="C284" t="s">
        <v>724</v>
      </c>
      <c r="D284" t="str">
        <f>TEXT(TabelaDirty[[#This Row],[cpf]],"000\.000\.000\-00")</f>
        <v>000.000.298-00</v>
      </c>
      <c r="E284">
        <v>19</v>
      </c>
      <c r="F284" s="11">
        <v>39003</v>
      </c>
      <c r="G284" t="s">
        <v>154</v>
      </c>
      <c r="H284" t="s">
        <v>142</v>
      </c>
      <c r="I284" t="s">
        <v>725</v>
      </c>
      <c r="J284" s="13">
        <v>29500</v>
      </c>
      <c r="K284" t="s">
        <v>51</v>
      </c>
      <c r="L284">
        <v>13</v>
      </c>
      <c r="N284" t="s">
        <v>51</v>
      </c>
      <c r="O284">
        <v>5000</v>
      </c>
    </row>
    <row r="285" spans="1:15" hidden="1">
      <c r="A285" t="s">
        <v>76</v>
      </c>
      <c r="B285" t="s">
        <v>726</v>
      </c>
      <c r="C285">
        <v>17900</v>
      </c>
      <c r="D285" t="str">
        <f>TEXT(TabelaDirty[[#This Row],[cpf]],"000\.000\.000\-00")</f>
        <v>000.000.179-00</v>
      </c>
      <c r="E285">
        <v>44</v>
      </c>
      <c r="F285" s="11">
        <v>29991</v>
      </c>
      <c r="G285" t="s">
        <v>223</v>
      </c>
      <c r="I285">
        <v>6700</v>
      </c>
      <c r="J285">
        <v>16500</v>
      </c>
      <c r="K285" t="s">
        <v>51</v>
      </c>
      <c r="L285">
        <v>38</v>
      </c>
      <c r="N285" t="s">
        <v>51</v>
      </c>
      <c r="O285">
        <v>15500</v>
      </c>
    </row>
    <row r="286" spans="1:15" hidden="1">
      <c r="A286" t="s">
        <v>76</v>
      </c>
      <c r="B286" t="s">
        <v>727</v>
      </c>
      <c r="C286">
        <v>25200</v>
      </c>
      <c r="D286" t="str">
        <f>TEXT(TabelaDirty[[#This Row],[cpf]],"000\.000\.000\-00")</f>
        <v>000.000.252-00</v>
      </c>
      <c r="E286">
        <v>44</v>
      </c>
      <c r="F286" s="11">
        <v>30081</v>
      </c>
      <c r="G286" t="s">
        <v>127</v>
      </c>
      <c r="H286" t="s">
        <v>122</v>
      </c>
      <c r="I286">
        <v>9600</v>
      </c>
      <c r="J286" s="13">
        <v>66000</v>
      </c>
      <c r="L286">
        <v>11</v>
      </c>
      <c r="O286">
        <v>4500</v>
      </c>
    </row>
    <row r="287" spans="1:15" hidden="1">
      <c r="A287" t="s">
        <v>76</v>
      </c>
      <c r="B287" t="s">
        <v>728</v>
      </c>
      <c r="C287">
        <v>29900</v>
      </c>
      <c r="D287" t="str">
        <f>TEXT(TabelaDirty[[#This Row],[cpf]],"000\.000\.000\-00")</f>
        <v>000.000.299-00</v>
      </c>
      <c r="E287" t="s">
        <v>262</v>
      </c>
      <c r="G287" t="s">
        <v>141</v>
      </c>
      <c r="H287" t="s">
        <v>142</v>
      </c>
      <c r="I287">
        <v>21300</v>
      </c>
      <c r="J287">
        <v>60500</v>
      </c>
      <c r="L287">
        <v>15</v>
      </c>
      <c r="O287">
        <v>74500</v>
      </c>
    </row>
    <row r="288" spans="1:15" hidden="1">
      <c r="A288" t="s">
        <v>76</v>
      </c>
      <c r="B288" t="s">
        <v>729</v>
      </c>
      <c r="C288" t="s">
        <v>730</v>
      </c>
      <c r="D288" t="str">
        <f>TEXT(TabelaDirty[[#This Row],[cpf]],"000\.000\.000\-00")</f>
        <v>000.000.118-00</v>
      </c>
      <c r="E288">
        <v>69</v>
      </c>
      <c r="F288">
        <v>21054</v>
      </c>
      <c r="G288" t="s">
        <v>172</v>
      </c>
      <c r="H288" t="s">
        <v>149</v>
      </c>
      <c r="I288" s="13">
        <v>23800</v>
      </c>
      <c r="J288" t="s">
        <v>92</v>
      </c>
      <c r="L288">
        <v>26</v>
      </c>
      <c r="O288">
        <v>89000</v>
      </c>
    </row>
    <row r="289" spans="1:15" hidden="1">
      <c r="A289" t="s">
        <v>76</v>
      </c>
      <c r="B289" t="s">
        <v>731</v>
      </c>
      <c r="C289" t="s">
        <v>732</v>
      </c>
      <c r="D289" t="str">
        <f>TEXT(TabelaDirty[[#This Row],[cpf]],"000\.000\.000\-00")</f>
        <v>000.000.355-00</v>
      </c>
      <c r="E289">
        <v>67</v>
      </c>
      <c r="F289">
        <v>21522</v>
      </c>
      <c r="G289" t="s">
        <v>302</v>
      </c>
      <c r="H289" t="s">
        <v>303</v>
      </c>
      <c r="I289">
        <v>11300</v>
      </c>
      <c r="J289">
        <v>49500</v>
      </c>
      <c r="K289" t="s">
        <v>50</v>
      </c>
      <c r="L289">
        <v>12</v>
      </c>
      <c r="N289" t="s">
        <v>50</v>
      </c>
      <c r="O289">
        <v>34500</v>
      </c>
    </row>
    <row r="290" spans="1:15" hidden="1">
      <c r="A290" t="s">
        <v>76</v>
      </c>
      <c r="B290" t="s">
        <v>733</v>
      </c>
      <c r="C290" t="s">
        <v>734</v>
      </c>
      <c r="D290" t="str">
        <f>TEXT(TabelaDirty[[#This Row],[cpf]],"000\.000\.000\-00")</f>
        <v>000.000.019-00</v>
      </c>
      <c r="E290" t="s">
        <v>735</v>
      </c>
      <c r="F290" s="11">
        <v>27378</v>
      </c>
      <c r="G290" t="s">
        <v>183</v>
      </c>
      <c r="H290" t="s">
        <v>183</v>
      </c>
      <c r="I290" s="12">
        <v>11600</v>
      </c>
      <c r="J290">
        <v>41000</v>
      </c>
      <c r="K290" t="s">
        <v>50</v>
      </c>
      <c r="L290" t="s">
        <v>736</v>
      </c>
      <c r="N290" t="s">
        <v>50</v>
      </c>
      <c r="O290">
        <v>67000</v>
      </c>
    </row>
    <row r="291" spans="1:15" hidden="1">
      <c r="A291" t="s">
        <v>76</v>
      </c>
      <c r="B291" t="s">
        <v>737</v>
      </c>
      <c r="C291" t="s">
        <v>738</v>
      </c>
      <c r="D291" t="str">
        <f>TEXT(TabelaDirty[[#This Row],[cpf]],"000\.000\.000\-00")</f>
        <v>000.000.302-00</v>
      </c>
      <c r="E291">
        <v>49</v>
      </c>
      <c r="F291" s="11">
        <v>28067</v>
      </c>
      <c r="G291" t="s">
        <v>112</v>
      </c>
      <c r="H291" t="s">
        <v>132</v>
      </c>
      <c r="I291">
        <v>29800</v>
      </c>
      <c r="J291" s="13">
        <v>54500</v>
      </c>
      <c r="K291" t="s">
        <v>50</v>
      </c>
      <c r="L291">
        <v>34</v>
      </c>
      <c r="N291" t="s">
        <v>50</v>
      </c>
      <c r="O291">
        <v>72000</v>
      </c>
    </row>
    <row r="292" spans="1:15" hidden="1">
      <c r="A292" t="s">
        <v>76</v>
      </c>
      <c r="B292" t="s">
        <v>739</v>
      </c>
      <c r="C292" t="s">
        <v>740</v>
      </c>
      <c r="D292" t="str">
        <f>TEXT(TabelaDirty[[#This Row],[cpf]],"000\.000\.000\-00")</f>
        <v>000.000.213-00</v>
      </c>
      <c r="E292">
        <v>68</v>
      </c>
      <c r="F292" s="11">
        <v>21145</v>
      </c>
      <c r="G292" t="s">
        <v>83</v>
      </c>
      <c r="H292" t="s">
        <v>84</v>
      </c>
      <c r="I292">
        <v>24500</v>
      </c>
      <c r="J292">
        <v>16500</v>
      </c>
      <c r="K292" t="s">
        <v>50</v>
      </c>
      <c r="L292">
        <v>22</v>
      </c>
      <c r="N292" t="s">
        <v>50</v>
      </c>
      <c r="O292">
        <v>34500</v>
      </c>
    </row>
    <row r="293" spans="1:15" hidden="1">
      <c r="A293" t="s">
        <v>81</v>
      </c>
      <c r="B293" t="s">
        <v>741</v>
      </c>
      <c r="C293" t="s">
        <v>742</v>
      </c>
      <c r="D293" t="str">
        <f>TEXT(TabelaDirty[[#This Row],[cpf]],"000\.000\.000\-00")</f>
        <v>000.000.345-00</v>
      </c>
      <c r="E293">
        <v>73</v>
      </c>
      <c r="G293" t="s">
        <v>141</v>
      </c>
      <c r="H293" t="s">
        <v>142</v>
      </c>
      <c r="I293" t="s">
        <v>743</v>
      </c>
      <c r="J293">
        <v>47000</v>
      </c>
      <c r="K293" t="s">
        <v>50</v>
      </c>
      <c r="L293">
        <v>19</v>
      </c>
      <c r="N293" t="s">
        <v>50</v>
      </c>
      <c r="O293">
        <v>20500</v>
      </c>
    </row>
    <row r="294" spans="1:15" hidden="1">
      <c r="A294" t="s">
        <v>76</v>
      </c>
      <c r="B294" t="s">
        <v>744</v>
      </c>
      <c r="C294" t="s">
        <v>745</v>
      </c>
      <c r="D294" t="str">
        <f>TEXT(TabelaDirty[[#This Row],[cpf]],"000\.000\.000\-00")</f>
        <v>000.000.367-00</v>
      </c>
      <c r="E294">
        <v>67</v>
      </c>
      <c r="F294" s="11">
        <v>21497</v>
      </c>
      <c r="G294" t="s">
        <v>96</v>
      </c>
      <c r="I294" t="s">
        <v>746</v>
      </c>
      <c r="J294" s="12">
        <v>73500</v>
      </c>
      <c r="K294" t="s">
        <v>51</v>
      </c>
      <c r="L294">
        <v>7</v>
      </c>
      <c r="N294" t="s">
        <v>51</v>
      </c>
      <c r="O294">
        <v>24500</v>
      </c>
    </row>
    <row r="295" spans="1:15" hidden="1">
      <c r="A295" t="s">
        <v>76</v>
      </c>
      <c r="B295" t="s">
        <v>747</v>
      </c>
      <c r="C295" t="s">
        <v>748</v>
      </c>
      <c r="D295" t="str">
        <f>TEXT(TabelaDirty[[#This Row],[cpf]],"000\.000\.000\-00")</f>
        <v>000.000.149-00</v>
      </c>
      <c r="E295">
        <v>54</v>
      </c>
      <c r="F295" s="11">
        <v>26230</v>
      </c>
      <c r="G295" t="s">
        <v>162</v>
      </c>
      <c r="H295" t="s">
        <v>155</v>
      </c>
      <c r="I295">
        <v>18700</v>
      </c>
      <c r="J295">
        <v>46000</v>
      </c>
      <c r="K295" t="s">
        <v>51</v>
      </c>
      <c r="L295">
        <v>4</v>
      </c>
      <c r="N295" t="s">
        <v>51</v>
      </c>
      <c r="O295">
        <v>27500</v>
      </c>
    </row>
    <row r="296" spans="1:15" hidden="1">
      <c r="A296" t="s">
        <v>81</v>
      </c>
      <c r="B296" t="s">
        <v>749</v>
      </c>
      <c r="C296">
        <v>32500</v>
      </c>
      <c r="D296" t="str">
        <f>TEXT(TabelaDirty[[#This Row],[cpf]],"000\.000\.000\-00")</f>
        <v>000.000.325-00</v>
      </c>
      <c r="E296">
        <v>48</v>
      </c>
      <c r="F296">
        <v>28446</v>
      </c>
      <c r="G296" t="s">
        <v>89</v>
      </c>
      <c r="H296" t="s">
        <v>331</v>
      </c>
      <c r="I296">
        <v>6900</v>
      </c>
      <c r="J296">
        <v>52500</v>
      </c>
      <c r="K296" t="s">
        <v>51</v>
      </c>
      <c r="L296">
        <v>0</v>
      </c>
      <c r="N296" t="s">
        <v>51</v>
      </c>
      <c r="O296">
        <v>66000</v>
      </c>
    </row>
    <row r="297" spans="1:15" hidden="1">
      <c r="A297" t="s">
        <v>76</v>
      </c>
      <c r="B297" t="s">
        <v>750</v>
      </c>
      <c r="C297" t="s">
        <v>751</v>
      </c>
      <c r="D297" t="str">
        <f>TEXT(TabelaDirty[[#This Row],[cpf]],"000\.000\.000\-00")</f>
        <v>000.000.199-00</v>
      </c>
      <c r="E297">
        <v>69</v>
      </c>
      <c r="G297" t="s">
        <v>302</v>
      </c>
      <c r="H297" t="s">
        <v>187</v>
      </c>
      <c r="I297">
        <v>11400</v>
      </c>
      <c r="J297">
        <v>0</v>
      </c>
      <c r="K297" t="s">
        <v>181</v>
      </c>
      <c r="L297">
        <v>13</v>
      </c>
      <c r="N297" t="s">
        <v>181</v>
      </c>
      <c r="O297">
        <v>79000</v>
      </c>
    </row>
    <row r="298" spans="1:15" hidden="1">
      <c r="A298" t="s">
        <v>76</v>
      </c>
      <c r="B298" t="s">
        <v>752</v>
      </c>
      <c r="C298" t="s">
        <v>753</v>
      </c>
      <c r="D298" t="str">
        <f>TEXT(TabelaDirty[[#This Row],[cpf]],"000\.000\.000\-00")</f>
        <v>000.000.164-00</v>
      </c>
      <c r="E298">
        <v>62</v>
      </c>
      <c r="F298">
        <v>23317</v>
      </c>
      <c r="G298" t="s">
        <v>210</v>
      </c>
      <c r="H298" t="s">
        <v>142</v>
      </c>
      <c r="I298">
        <v>10500</v>
      </c>
      <c r="J298">
        <v>0</v>
      </c>
      <c r="K298" t="s">
        <v>51</v>
      </c>
      <c r="L298" t="s">
        <v>638</v>
      </c>
      <c r="N298" t="s">
        <v>51</v>
      </c>
      <c r="O298">
        <v>54500</v>
      </c>
    </row>
    <row r="299" spans="1:15" hidden="1">
      <c r="A299" t="s">
        <v>76</v>
      </c>
      <c r="B299" t="s">
        <v>754</v>
      </c>
      <c r="C299">
        <v>25700</v>
      </c>
      <c r="D299" t="str">
        <f>TEXT(TabelaDirty[[#This Row],[cpf]],"000\.000\.000\-00")</f>
        <v>000.000.257-00</v>
      </c>
      <c r="E299">
        <v>27</v>
      </c>
      <c r="F299">
        <v>36152</v>
      </c>
      <c r="G299" t="s">
        <v>172</v>
      </c>
      <c r="H299" t="s">
        <v>213</v>
      </c>
      <c r="I299">
        <v>30000</v>
      </c>
      <c r="J299" s="13">
        <v>27000</v>
      </c>
      <c r="K299" t="s">
        <v>93</v>
      </c>
      <c r="L299">
        <v>28</v>
      </c>
      <c r="N299" t="s">
        <v>93</v>
      </c>
      <c r="O299">
        <v>28500</v>
      </c>
    </row>
    <row r="300" spans="1:15">
      <c r="A300" t="s">
        <v>76</v>
      </c>
      <c r="B300" t="s">
        <v>755</v>
      </c>
      <c r="C300" t="s">
        <v>756</v>
      </c>
      <c r="D300" t="str">
        <f>TEXT(TabelaDirty[[#This Row],[cpf]],"000\.000\.000\-00")</f>
        <v>000.000.071-00</v>
      </c>
      <c r="F300" s="11">
        <v>34769</v>
      </c>
      <c r="G300" t="s">
        <v>103</v>
      </c>
      <c r="H300" t="s">
        <v>193</v>
      </c>
      <c r="I300">
        <v>9000</v>
      </c>
      <c r="J300">
        <v>66000</v>
      </c>
      <c r="K300" t="s">
        <v>50</v>
      </c>
      <c r="L300">
        <v>24</v>
      </c>
      <c r="N300" t="s">
        <v>50</v>
      </c>
      <c r="O300">
        <v>72000</v>
      </c>
    </row>
    <row r="301" spans="1:15" hidden="1">
      <c r="A301" t="s">
        <v>76</v>
      </c>
      <c r="B301" t="s">
        <v>757</v>
      </c>
      <c r="C301" t="s">
        <v>758</v>
      </c>
      <c r="D301" t="str">
        <f>TEXT(TabelaDirty[[#This Row],[cpf]],"000\.000\.000\-00")</f>
        <v>000.000.120-00</v>
      </c>
      <c r="E301">
        <v>29</v>
      </c>
      <c r="F301" s="11">
        <v>35392</v>
      </c>
      <c r="G301" t="s">
        <v>242</v>
      </c>
      <c r="I301" t="s">
        <v>759</v>
      </c>
      <c r="J301">
        <v>19500</v>
      </c>
      <c r="K301" t="s">
        <v>50</v>
      </c>
      <c r="L301">
        <v>30</v>
      </c>
      <c r="N301" t="s">
        <v>50</v>
      </c>
      <c r="O301">
        <v>51000</v>
      </c>
    </row>
    <row r="302" spans="1:15" hidden="1">
      <c r="A302" t="s">
        <v>76</v>
      </c>
      <c r="B302" t="s">
        <v>760</v>
      </c>
      <c r="C302" t="s">
        <v>761</v>
      </c>
      <c r="D302" t="str">
        <f>TEXT(TabelaDirty[[#This Row],[cpf]],"000\.000\.000\-00")</f>
        <v>000.000.113-00</v>
      </c>
      <c r="E302">
        <v>55</v>
      </c>
      <c r="F302">
        <v>25844</v>
      </c>
      <c r="G302" t="s">
        <v>172</v>
      </c>
      <c r="H302" t="s">
        <v>213</v>
      </c>
      <c r="I302" s="13">
        <v>17400</v>
      </c>
      <c r="J302" s="12">
        <v>75500</v>
      </c>
      <c r="K302" t="s">
        <v>50</v>
      </c>
      <c r="L302">
        <v>9</v>
      </c>
      <c r="N302" t="s">
        <v>50</v>
      </c>
      <c r="O302">
        <v>52000</v>
      </c>
    </row>
    <row r="303" spans="1:15" hidden="1">
      <c r="A303" t="s">
        <v>76</v>
      </c>
      <c r="B303" t="s">
        <v>762</v>
      </c>
      <c r="C303">
        <v>2200</v>
      </c>
      <c r="D303" t="str">
        <f>TEXT(TabelaDirty[[#This Row],[cpf]],"000\.000\.000\-00")</f>
        <v>000.000.022-00</v>
      </c>
      <c r="E303">
        <v>58</v>
      </c>
      <c r="F303">
        <v>24840</v>
      </c>
      <c r="G303" t="s">
        <v>242</v>
      </c>
      <c r="H303" t="s">
        <v>243</v>
      </c>
      <c r="I303" s="12">
        <v>2800</v>
      </c>
      <c r="J303" s="12">
        <v>35000</v>
      </c>
      <c r="K303" t="s">
        <v>50</v>
      </c>
      <c r="L303">
        <v>36</v>
      </c>
      <c r="N303" t="s">
        <v>50</v>
      </c>
      <c r="O303">
        <v>9000</v>
      </c>
    </row>
    <row r="304" spans="1:15" hidden="1">
      <c r="A304" t="s">
        <v>76</v>
      </c>
      <c r="B304" t="s">
        <v>763</v>
      </c>
      <c r="C304" t="s">
        <v>764</v>
      </c>
      <c r="D304" t="str">
        <f>TEXT(TabelaDirty[[#This Row],[cpf]],"000\.000\.000\-00")</f>
        <v>000.000.246-00</v>
      </c>
      <c r="F304" s="11">
        <v>35600</v>
      </c>
      <c r="G304" t="s">
        <v>169</v>
      </c>
      <c r="H304" t="s">
        <v>139</v>
      </c>
      <c r="I304">
        <v>9600</v>
      </c>
      <c r="J304" s="12">
        <v>41000</v>
      </c>
      <c r="K304" t="s">
        <v>50</v>
      </c>
      <c r="L304">
        <v>27</v>
      </c>
      <c r="N304" t="s">
        <v>50</v>
      </c>
      <c r="O304">
        <v>25000</v>
      </c>
    </row>
    <row r="305" spans="1:15" hidden="1">
      <c r="A305" t="s">
        <v>81</v>
      </c>
      <c r="B305" t="s">
        <v>765</v>
      </c>
      <c r="C305">
        <v>11600</v>
      </c>
      <c r="D305" t="str">
        <f>TEXT(TabelaDirty[[#This Row],[cpf]],"000\.000\.000\-00")</f>
        <v>000.000.116-00</v>
      </c>
      <c r="F305">
        <v>32890</v>
      </c>
      <c r="G305" t="s">
        <v>138</v>
      </c>
      <c r="H305" t="s">
        <v>353</v>
      </c>
      <c r="I305" s="13">
        <v>28100</v>
      </c>
      <c r="J305" s="13">
        <v>36500</v>
      </c>
      <c r="K305" t="s">
        <v>50</v>
      </c>
      <c r="L305">
        <v>13</v>
      </c>
      <c r="N305" t="s">
        <v>50</v>
      </c>
      <c r="O305">
        <v>5000</v>
      </c>
    </row>
    <row r="306" spans="1:15" hidden="1">
      <c r="A306" t="s">
        <v>76</v>
      </c>
      <c r="B306" t="s">
        <v>766</v>
      </c>
      <c r="C306" t="s">
        <v>767</v>
      </c>
      <c r="D306" t="str">
        <f>TEXT(TabelaDirty[[#This Row],[cpf]],"000\.000\.000\-00")</f>
        <v>000.000.013-00</v>
      </c>
      <c r="E306">
        <v>60</v>
      </c>
      <c r="F306">
        <v>24202</v>
      </c>
      <c r="G306" t="s">
        <v>302</v>
      </c>
      <c r="H306" t="s">
        <v>84</v>
      </c>
      <c r="I306" s="12">
        <v>5500</v>
      </c>
      <c r="J306">
        <v>0</v>
      </c>
      <c r="K306" t="s">
        <v>190</v>
      </c>
      <c r="L306">
        <v>26</v>
      </c>
      <c r="N306" t="s">
        <v>190</v>
      </c>
      <c r="O306">
        <v>52500</v>
      </c>
    </row>
    <row r="307" spans="1:15" hidden="1">
      <c r="A307" t="s">
        <v>76</v>
      </c>
      <c r="B307" t="s">
        <v>768</v>
      </c>
      <c r="C307" t="s">
        <v>769</v>
      </c>
      <c r="D307" t="str">
        <f>TEXT(TabelaDirty[[#This Row],[cpf]],"000\.000\.000\-00")</f>
        <v>000.000.286-00</v>
      </c>
      <c r="E307">
        <v>43</v>
      </c>
      <c r="F307">
        <v>30437</v>
      </c>
      <c r="G307" t="s">
        <v>223</v>
      </c>
      <c r="H307" t="s">
        <v>90</v>
      </c>
      <c r="I307">
        <v>14600</v>
      </c>
      <c r="J307">
        <v>18500</v>
      </c>
      <c r="K307" t="s">
        <v>181</v>
      </c>
      <c r="L307">
        <v>22</v>
      </c>
      <c r="N307" t="s">
        <v>181</v>
      </c>
      <c r="O307">
        <v>16500</v>
      </c>
    </row>
    <row r="308" spans="1:15" hidden="1">
      <c r="A308" t="s">
        <v>173</v>
      </c>
      <c r="B308" t="s">
        <v>770</v>
      </c>
      <c r="C308" t="s">
        <v>771</v>
      </c>
      <c r="D308" t="str">
        <f>TEXT(TabelaDirty[[#This Row],[cpf]],"000\.000\.000\-00")</f>
        <v>000.000.123-00</v>
      </c>
      <c r="E308">
        <v>19</v>
      </c>
      <c r="F308" s="11">
        <v>39209</v>
      </c>
      <c r="G308" t="s">
        <v>215</v>
      </c>
      <c r="H308" t="s">
        <v>149</v>
      </c>
      <c r="I308" s="12">
        <v>7200</v>
      </c>
      <c r="J308">
        <v>16000</v>
      </c>
      <c r="K308" t="s">
        <v>50</v>
      </c>
      <c r="L308">
        <v>5</v>
      </c>
      <c r="N308" t="s">
        <v>50</v>
      </c>
      <c r="O308">
        <v>52000</v>
      </c>
    </row>
    <row r="309" spans="1:15" hidden="1">
      <c r="A309" t="s">
        <v>81</v>
      </c>
      <c r="B309" t="s">
        <v>772</v>
      </c>
      <c r="C309">
        <v>11700</v>
      </c>
      <c r="D309" t="str">
        <f>TEXT(TabelaDirty[[#This Row],[cpf]],"000\.000\.000\-00")</f>
        <v>000.000.117-00</v>
      </c>
      <c r="E309">
        <v>27</v>
      </c>
      <c r="F309">
        <v>36151</v>
      </c>
      <c r="G309" t="s">
        <v>210</v>
      </c>
      <c r="H309" t="s">
        <v>142</v>
      </c>
      <c r="I309" s="12">
        <v>25900</v>
      </c>
      <c r="J309">
        <v>0</v>
      </c>
      <c r="K309" t="s">
        <v>51</v>
      </c>
      <c r="L309">
        <v>10</v>
      </c>
      <c r="N309" t="s">
        <v>51</v>
      </c>
      <c r="O309">
        <v>5000</v>
      </c>
    </row>
    <row r="310" spans="1:15">
      <c r="A310" t="s">
        <v>76</v>
      </c>
      <c r="B310" t="s">
        <v>773</v>
      </c>
      <c r="C310" t="s">
        <v>774</v>
      </c>
      <c r="D310" t="str">
        <f>TEXT(TabelaDirty[[#This Row],[cpf]],"000\.000\.000\-00")</f>
        <v>000.000.134-00</v>
      </c>
      <c r="E310">
        <v>44</v>
      </c>
      <c r="F310">
        <v>29892</v>
      </c>
      <c r="G310" t="s">
        <v>103</v>
      </c>
      <c r="H310" t="s">
        <v>108</v>
      </c>
      <c r="I310">
        <v>20600</v>
      </c>
      <c r="J310">
        <v>8000</v>
      </c>
      <c r="K310" t="s">
        <v>50</v>
      </c>
      <c r="L310">
        <v>39</v>
      </c>
      <c r="N310" t="s">
        <v>50</v>
      </c>
      <c r="O310">
        <v>36000</v>
      </c>
    </row>
    <row r="311" spans="1:15" hidden="1">
      <c r="A311" t="s">
        <v>76</v>
      </c>
      <c r="B311" t="s">
        <v>775</v>
      </c>
      <c r="C311" t="s">
        <v>776</v>
      </c>
      <c r="D311" t="str">
        <f>TEXT(TabelaDirty[[#This Row],[cpf]],"000\.000\.000\-00")</f>
        <v>000.000.060-00</v>
      </c>
      <c r="E311">
        <v>48</v>
      </c>
      <c r="F311">
        <v>28689</v>
      </c>
      <c r="G311" t="s">
        <v>83</v>
      </c>
      <c r="H311" t="s">
        <v>84</v>
      </c>
      <c r="I311" s="12">
        <v>18700</v>
      </c>
      <c r="J311">
        <v>11000</v>
      </c>
      <c r="K311" t="s">
        <v>50</v>
      </c>
      <c r="L311">
        <v>28</v>
      </c>
      <c r="N311" t="s">
        <v>50</v>
      </c>
      <c r="O311">
        <v>18000</v>
      </c>
    </row>
    <row r="312" spans="1:15" hidden="1">
      <c r="A312" t="s">
        <v>76</v>
      </c>
      <c r="B312" t="s">
        <v>777</v>
      </c>
      <c r="C312">
        <v>8200</v>
      </c>
      <c r="D312" t="str">
        <f>TEXT(TabelaDirty[[#This Row],[cpf]],"000\.000\.000\-00")</f>
        <v>000.000.082-00</v>
      </c>
      <c r="E312">
        <v>20</v>
      </c>
      <c r="F312">
        <v>38894</v>
      </c>
      <c r="G312" t="s">
        <v>154</v>
      </c>
      <c r="H312" t="s">
        <v>176</v>
      </c>
      <c r="I312">
        <v>24900</v>
      </c>
      <c r="J312">
        <v>0</v>
      </c>
      <c r="K312" t="s">
        <v>51</v>
      </c>
      <c r="L312">
        <v>14</v>
      </c>
      <c r="N312" t="s">
        <v>51</v>
      </c>
      <c r="O312">
        <v>49500</v>
      </c>
    </row>
    <row r="313" spans="1:15" hidden="1">
      <c r="A313" t="s">
        <v>81</v>
      </c>
      <c r="B313" t="s">
        <v>778</v>
      </c>
      <c r="C313">
        <v>23000</v>
      </c>
      <c r="D313" t="str">
        <f>TEXT(TabelaDirty[[#This Row],[cpf]],"000\.000\.000\-00")</f>
        <v>000.000.230-00</v>
      </c>
      <c r="E313">
        <v>53</v>
      </c>
      <c r="F313">
        <v>26744</v>
      </c>
      <c r="G313" t="s">
        <v>112</v>
      </c>
      <c r="H313" t="s">
        <v>132</v>
      </c>
      <c r="I313" s="12">
        <v>26400</v>
      </c>
      <c r="J313">
        <v>9500</v>
      </c>
      <c r="K313" t="s">
        <v>93</v>
      </c>
      <c r="L313">
        <v>21</v>
      </c>
      <c r="N313" t="s">
        <v>93</v>
      </c>
      <c r="O313">
        <v>16000</v>
      </c>
    </row>
    <row r="314" spans="1:15" hidden="1">
      <c r="A314" t="s">
        <v>81</v>
      </c>
      <c r="B314" t="s">
        <v>779</v>
      </c>
      <c r="C314" t="s">
        <v>780</v>
      </c>
      <c r="D314" t="str">
        <f>TEXT(TabelaDirty[[#This Row],[cpf]],"000\.000\.000\-00")</f>
        <v>000.000.107-00</v>
      </c>
      <c r="E314">
        <v>31</v>
      </c>
      <c r="F314">
        <v>34824</v>
      </c>
      <c r="G314" t="s">
        <v>302</v>
      </c>
      <c r="H314" t="s">
        <v>84</v>
      </c>
      <c r="I314" s="12">
        <v>29500</v>
      </c>
      <c r="J314">
        <v>5000</v>
      </c>
      <c r="K314" t="s">
        <v>50</v>
      </c>
      <c r="L314">
        <v>22</v>
      </c>
      <c r="N314" t="s">
        <v>50</v>
      </c>
      <c r="O314">
        <v>18000</v>
      </c>
    </row>
    <row r="315" spans="1:15" hidden="1">
      <c r="A315" t="s">
        <v>76</v>
      </c>
      <c r="B315" t="s">
        <v>781</v>
      </c>
      <c r="C315" t="s">
        <v>782</v>
      </c>
      <c r="D315" t="str">
        <f>TEXT(TabelaDirty[[#This Row],[cpf]],"000\.000\.000\-00")</f>
        <v>000.000.046-00</v>
      </c>
      <c r="E315">
        <v>32</v>
      </c>
      <c r="F315">
        <v>34508</v>
      </c>
      <c r="G315" t="s">
        <v>183</v>
      </c>
      <c r="H315" t="s">
        <v>183</v>
      </c>
      <c r="I315">
        <v>9800</v>
      </c>
      <c r="J315">
        <v>0</v>
      </c>
      <c r="K315" t="s">
        <v>50</v>
      </c>
      <c r="L315">
        <v>23</v>
      </c>
      <c r="N315" t="s">
        <v>50</v>
      </c>
      <c r="O315">
        <v>68000</v>
      </c>
    </row>
    <row r="316" spans="1:15" hidden="1">
      <c r="A316" t="s">
        <v>81</v>
      </c>
      <c r="B316" t="s">
        <v>783</v>
      </c>
      <c r="C316" t="s">
        <v>784</v>
      </c>
      <c r="D316" t="str">
        <f>TEXT(TabelaDirty[[#This Row],[cpf]],"000\.000\.000\-00")</f>
        <v>000.000.281-00</v>
      </c>
      <c r="E316">
        <v>51</v>
      </c>
      <c r="F316">
        <v>27590</v>
      </c>
      <c r="G316" t="s">
        <v>215</v>
      </c>
      <c r="H316" t="s">
        <v>149</v>
      </c>
      <c r="I316" t="s">
        <v>785</v>
      </c>
      <c r="J316">
        <v>0</v>
      </c>
      <c r="K316" t="s">
        <v>50</v>
      </c>
      <c r="L316">
        <v>17</v>
      </c>
      <c r="N316" t="s">
        <v>50</v>
      </c>
      <c r="O316">
        <v>55500</v>
      </c>
    </row>
    <row r="317" spans="1:15" hidden="1">
      <c r="B317" t="s">
        <v>786</v>
      </c>
      <c r="C317" t="s">
        <v>787</v>
      </c>
      <c r="D317" t="str">
        <f>TEXT(TabelaDirty[[#This Row],[cpf]],"000\.000\.000\-00")</f>
        <v>000.000.080-00</v>
      </c>
      <c r="E317">
        <v>54</v>
      </c>
      <c r="F317" s="11">
        <v>26403</v>
      </c>
      <c r="G317" t="s">
        <v>215</v>
      </c>
      <c r="H317" t="s">
        <v>149</v>
      </c>
      <c r="I317" t="s">
        <v>788</v>
      </c>
      <c r="J317" t="s">
        <v>414</v>
      </c>
      <c r="K317" t="s">
        <v>190</v>
      </c>
      <c r="L317">
        <v>32</v>
      </c>
      <c r="N317" t="s">
        <v>190</v>
      </c>
      <c r="O317">
        <v>31500</v>
      </c>
    </row>
    <row r="318" spans="1:15" hidden="1">
      <c r="A318" t="s">
        <v>81</v>
      </c>
      <c r="B318" t="s">
        <v>789</v>
      </c>
      <c r="C318" t="s">
        <v>790</v>
      </c>
      <c r="D318" t="str">
        <f>TEXT(TabelaDirty[[#This Row],[cpf]],"000\.000\.000\-00")</f>
        <v>000.000.356-00</v>
      </c>
      <c r="E318">
        <v>66</v>
      </c>
      <c r="F318" s="11">
        <v>22101</v>
      </c>
      <c r="G318" t="s">
        <v>121</v>
      </c>
      <c r="H318" t="s">
        <v>256</v>
      </c>
      <c r="I318">
        <v>16800</v>
      </c>
      <c r="J318">
        <v>79500</v>
      </c>
      <c r="K318" t="s">
        <v>50</v>
      </c>
      <c r="L318">
        <v>36</v>
      </c>
      <c r="N318" t="s">
        <v>50</v>
      </c>
      <c r="O318">
        <v>1500</v>
      </c>
    </row>
    <row r="319" spans="1:15" hidden="1">
      <c r="A319" t="s">
        <v>76</v>
      </c>
      <c r="B319" t="s">
        <v>791</v>
      </c>
      <c r="C319" t="s">
        <v>792</v>
      </c>
      <c r="D319" t="str">
        <f>TEXT(TabelaDirty[[#This Row],[cpf]],"000\.000\.000\-00")</f>
        <v>000.000.329-00</v>
      </c>
      <c r="E319">
        <v>22</v>
      </c>
      <c r="F319" s="11">
        <v>38204</v>
      </c>
      <c r="G319" t="s">
        <v>79</v>
      </c>
      <c r="H319" t="s">
        <v>80</v>
      </c>
      <c r="I319">
        <v>10500</v>
      </c>
      <c r="J319" s="13">
        <v>50500</v>
      </c>
      <c r="K319" t="s">
        <v>50</v>
      </c>
      <c r="L319">
        <v>16</v>
      </c>
      <c r="N319" t="s">
        <v>50</v>
      </c>
      <c r="O319">
        <v>41500</v>
      </c>
    </row>
    <row r="320" spans="1:15" hidden="1">
      <c r="A320" t="s">
        <v>76</v>
      </c>
      <c r="B320" t="s">
        <v>793</v>
      </c>
      <c r="C320">
        <v>21400</v>
      </c>
      <c r="D320" t="str">
        <f>TEXT(TabelaDirty[[#This Row],[cpf]],"000\.000\.000\-00")</f>
        <v>000.000.214-00</v>
      </c>
      <c r="E320">
        <v>67</v>
      </c>
      <c r="F320" s="11">
        <v>21689</v>
      </c>
      <c r="G320" t="s">
        <v>121</v>
      </c>
      <c r="H320" t="s">
        <v>122</v>
      </c>
      <c r="I320">
        <v>10700</v>
      </c>
      <c r="J320" s="12">
        <v>9000</v>
      </c>
      <c r="K320" t="s">
        <v>50</v>
      </c>
      <c r="L320">
        <v>37</v>
      </c>
      <c r="N320" t="s">
        <v>50</v>
      </c>
      <c r="O320">
        <v>53000</v>
      </c>
    </row>
    <row r="321" spans="1:15" hidden="1">
      <c r="A321" t="s">
        <v>76</v>
      </c>
      <c r="B321" t="s">
        <v>794</v>
      </c>
      <c r="C321" t="s">
        <v>795</v>
      </c>
      <c r="D321" t="str">
        <f>TEXT(TabelaDirty[[#This Row],[cpf]],"000\.000\.000\-00")</f>
        <v>000.000.269-00</v>
      </c>
      <c r="E321">
        <v>53</v>
      </c>
      <c r="F321" s="11">
        <v>26790</v>
      </c>
      <c r="G321" t="s">
        <v>127</v>
      </c>
      <c r="H321" t="s">
        <v>122</v>
      </c>
      <c r="I321" t="s">
        <v>184</v>
      </c>
      <c r="J321" s="12">
        <v>21500</v>
      </c>
      <c r="K321" t="s">
        <v>51</v>
      </c>
      <c r="L321">
        <v>44</v>
      </c>
      <c r="N321" t="s">
        <v>51</v>
      </c>
      <c r="O321">
        <v>3500</v>
      </c>
    </row>
    <row r="322" spans="1:15" hidden="1">
      <c r="A322" t="s">
        <v>81</v>
      </c>
      <c r="B322" t="s">
        <v>796</v>
      </c>
      <c r="C322">
        <v>3200</v>
      </c>
      <c r="D322" t="str">
        <f>TEXT(TabelaDirty[[#This Row],[cpf]],"000\.000\.000\-00")</f>
        <v>000.000.032-00</v>
      </c>
      <c r="E322">
        <v>31</v>
      </c>
      <c r="F322">
        <v>34746</v>
      </c>
      <c r="G322" t="s">
        <v>127</v>
      </c>
      <c r="H322" t="s">
        <v>256</v>
      </c>
      <c r="I322" s="12">
        <v>18200</v>
      </c>
      <c r="J322">
        <v>78500</v>
      </c>
      <c r="K322" t="s">
        <v>50</v>
      </c>
      <c r="L322">
        <v>9</v>
      </c>
      <c r="N322" t="s">
        <v>50</v>
      </c>
      <c r="O322">
        <v>73000</v>
      </c>
    </row>
    <row r="323" spans="1:15" hidden="1">
      <c r="A323" t="s">
        <v>76</v>
      </c>
      <c r="B323" t="s">
        <v>797</v>
      </c>
      <c r="C323" t="s">
        <v>798</v>
      </c>
      <c r="D323" t="str">
        <f>TEXT(TabelaDirty[[#This Row],[cpf]],"000\.000\.000\-00")</f>
        <v>000.000.253-00</v>
      </c>
      <c r="E323">
        <v>60</v>
      </c>
      <c r="F323">
        <v>24272</v>
      </c>
      <c r="G323" t="s">
        <v>215</v>
      </c>
      <c r="H323" t="s">
        <v>213</v>
      </c>
      <c r="I323">
        <v>17300</v>
      </c>
      <c r="J323" s="12">
        <v>15000</v>
      </c>
      <c r="K323" t="s">
        <v>50</v>
      </c>
      <c r="L323">
        <v>17</v>
      </c>
      <c r="N323" t="s">
        <v>50</v>
      </c>
      <c r="O323">
        <v>69000</v>
      </c>
    </row>
    <row r="324" spans="1:15" hidden="1">
      <c r="A324" t="s">
        <v>76</v>
      </c>
      <c r="B324" t="s">
        <v>799</v>
      </c>
      <c r="C324" t="s">
        <v>800</v>
      </c>
      <c r="D324" t="str">
        <f>TEXT(TabelaDirty[[#This Row],[cpf]],"000\.000\.000\-00")</f>
        <v>000.000.036-00</v>
      </c>
      <c r="E324">
        <v>49</v>
      </c>
      <c r="F324" s="11">
        <v>28136</v>
      </c>
      <c r="G324" t="s">
        <v>172</v>
      </c>
      <c r="H324" t="s">
        <v>216</v>
      </c>
      <c r="I324">
        <v>20300</v>
      </c>
      <c r="J324" s="13">
        <v>12000</v>
      </c>
      <c r="K324" t="s">
        <v>51</v>
      </c>
      <c r="L324">
        <v>27</v>
      </c>
      <c r="N324" t="s">
        <v>51</v>
      </c>
      <c r="O324">
        <v>67500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F3A8-9693-4AA7-8C10-223642A3B64B}">
  <dimension ref="A1:BC427"/>
  <sheetViews>
    <sheetView workbookViewId="0">
      <selection activeCell="G2" sqref="G2"/>
    </sheetView>
  </sheetViews>
  <sheetFormatPr defaultColWidth="9.140625" defaultRowHeight="15"/>
  <cols>
    <col min="1" max="1" width="9.42578125" style="24" customWidth="1"/>
    <col min="2" max="2" width="24.5703125" style="17" customWidth="1"/>
    <col min="3" max="3" width="15" style="25" bestFit="1" customWidth="1"/>
    <col min="4" max="4" width="15" style="54" customWidth="1"/>
    <col min="5" max="5" width="19" style="30" bestFit="1" customWidth="1"/>
    <col min="6" max="6" width="23.140625" style="25" bestFit="1" customWidth="1"/>
    <col min="7" max="7" width="21" style="25" bestFit="1" customWidth="1"/>
    <col min="8" max="8" width="31.85546875" style="25" hidden="1" customWidth="1"/>
    <col min="9" max="9" width="23.42578125" style="25" hidden="1" customWidth="1"/>
    <col min="10" max="12" width="31.85546875" style="25" hidden="1" customWidth="1"/>
    <col min="13" max="13" width="23.42578125" style="26" bestFit="1" customWidth="1"/>
    <col min="14" max="14" width="18.85546875" style="78" bestFit="1" customWidth="1"/>
    <col min="15" max="15" width="20" style="1" bestFit="1" customWidth="1"/>
    <col min="16" max="16" width="20" style="1" customWidth="1"/>
    <col min="17" max="17" width="20" style="84" customWidth="1"/>
    <col min="18" max="18" width="16.42578125" style="1" bestFit="1" customWidth="1"/>
    <col min="19" max="19" width="16.42578125" style="1" customWidth="1"/>
    <col min="20" max="20" width="21" style="26" bestFit="1" customWidth="1"/>
    <col min="21" max="23" width="21" style="26" customWidth="1"/>
    <col min="24" max="24" width="17.7109375" bestFit="1" customWidth="1"/>
    <col min="25" max="30" width="0" hidden="1" customWidth="1"/>
    <col min="31" max="32" width="15" hidden="1" customWidth="1"/>
    <col min="33" max="35" width="0" hidden="1" customWidth="1"/>
    <col min="36" max="36" width="14.140625" style="22" hidden="1" customWidth="1"/>
    <col min="37" max="37" width="14.140625" hidden="1" customWidth="1"/>
    <col min="38" max="38" width="0" hidden="1" customWidth="1"/>
    <col min="39" max="39" width="15.7109375" style="22" hidden="1" customWidth="1"/>
    <col min="40" max="53" width="0" hidden="1" customWidth="1"/>
    <col min="54" max="54" width="23.42578125" style="26" bestFit="1" customWidth="1"/>
    <col min="55" max="55" width="21" style="26" customWidth="1"/>
  </cols>
  <sheetData>
    <row r="1" spans="1:55">
      <c r="A1" s="32" t="s">
        <v>61</v>
      </c>
      <c r="B1" s="33" t="s">
        <v>62</v>
      </c>
      <c r="C1" s="34" t="s">
        <v>63</v>
      </c>
      <c r="D1" s="83" t="s">
        <v>65</v>
      </c>
      <c r="E1" s="35" t="s">
        <v>66</v>
      </c>
      <c r="F1" s="34" t="s">
        <v>67</v>
      </c>
      <c r="G1" s="34" t="s">
        <v>68</v>
      </c>
      <c r="H1" s="34" t="s">
        <v>801</v>
      </c>
      <c r="I1" s="34" t="s">
        <v>802</v>
      </c>
      <c r="J1" s="34" t="s">
        <v>803</v>
      </c>
      <c r="K1" s="34" t="s">
        <v>804</v>
      </c>
      <c r="L1" s="34" t="s">
        <v>805</v>
      </c>
      <c r="M1" s="36" t="s">
        <v>69</v>
      </c>
      <c r="N1" s="77" t="s">
        <v>70</v>
      </c>
      <c r="O1" s="33" t="s">
        <v>71</v>
      </c>
      <c r="P1" s="33" t="s">
        <v>806</v>
      </c>
      <c r="Q1" s="37" t="s">
        <v>72</v>
      </c>
      <c r="R1" s="33" t="s">
        <v>73</v>
      </c>
      <c r="S1" s="33" t="s">
        <v>807</v>
      </c>
      <c r="T1" s="36" t="s">
        <v>75</v>
      </c>
      <c r="U1" s="42" t="s">
        <v>808</v>
      </c>
      <c r="V1" s="36"/>
      <c r="W1" s="33"/>
      <c r="Y1" s="16" t="s">
        <v>68</v>
      </c>
      <c r="AB1" t="s">
        <v>76</v>
      </c>
      <c r="AE1" t="s">
        <v>63</v>
      </c>
      <c r="AJ1" s="22" t="s">
        <v>69</v>
      </c>
      <c r="AM1" s="19"/>
      <c r="AN1" t="s">
        <v>809</v>
      </c>
      <c r="BB1" s="36" t="s">
        <v>69</v>
      </c>
      <c r="BC1" s="42" t="s">
        <v>808</v>
      </c>
    </row>
    <row r="2" spans="1:55">
      <c r="A2" s="24" t="s">
        <v>81</v>
      </c>
      <c r="B2" s="17" t="s">
        <v>420</v>
      </c>
      <c r="C2" s="25" t="s">
        <v>810</v>
      </c>
      <c r="D2" s="54">
        <v>54</v>
      </c>
      <c r="E2" s="30">
        <v>26453</v>
      </c>
      <c r="F2" s="24" t="str">
        <f>TabelaClean14[[#This Row],[CidadeCPF]]</f>
        <v>Atalaia da Água Cinzenta</v>
      </c>
      <c r="G2" s="17" t="str">
        <f>TabelaClean14[[#This Row],[RegiaoCPF]]</f>
        <v>Gargalo</v>
      </c>
      <c r="H2" s="17" t="str">
        <f>_xlfn.XLOOKUP(TabelaClean14[[#This Row],[cpf]],TabelaDirty[cpfclean],TabelaDirty[cidade])</f>
        <v>Atalaia da Água Cinzenta</v>
      </c>
      <c r="I2" s="17" t="str">
        <f>_xlfn.XLOOKUP(TabelaClean14[[#This Row],[cpf]],TabelaDirty[cpfclean],TabelaDirty[regiao])</f>
        <v>gargalo</v>
      </c>
      <c r="J2" s="17" t="str">
        <f>PROPER(TabelaClean14[[#This Row],[Coluna1]])</f>
        <v>Gargalo</v>
      </c>
      <c r="K2" s="17" t="e">
        <f>_xlfn.TEXTBEFORE(TabelaClean14[[#This Row],[CidadeCPF]]," | ")</f>
        <v>#N/A</v>
      </c>
      <c r="L2" s="24" t="e">
        <f>_xlfn.TEXTAFTER(TabelaClean14[[#This Row],[CidadeCPF]]," | ")</f>
        <v>#N/A</v>
      </c>
      <c r="M2" s="26">
        <v>3900</v>
      </c>
      <c r="N2" s="78">
        <v>80000</v>
      </c>
      <c r="O2" s="1" t="s">
        <v>50</v>
      </c>
      <c r="P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" s="84">
        <v>41</v>
      </c>
      <c r="R2" s="1" t="str" cm="1">
        <f t="array" ref="R2">_xlfn.IFS(TabelaClean14[[#This Row],[qtde_batalhas]]&lt;=10,"Baixo",TabelaClean14[[#This Row],[qtde_batalhas]]&gt;=26,"Alto",TabelaClean14[[#This Row],[qtde_batalhas]]&lt;26,"Médio")</f>
        <v>Alto</v>
      </c>
      <c r="S2" s="1" t="str">
        <f>IF(AND(TabelaClean14[[#This Row],[nivel_risco]]="Alto",TabelaClean14[[#This Row],[flag_inadimplente]]="Sim"),"Arriscado","Ok")</f>
        <v>Ok</v>
      </c>
      <c r="T2" s="26">
        <v>30000</v>
      </c>
      <c r="U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" s="1"/>
      <c r="X2" s="23"/>
      <c r="Y2" t="s">
        <v>809</v>
      </c>
      <c r="AB2" t="s">
        <v>81</v>
      </c>
      <c r="AE2">
        <v>200</v>
      </c>
      <c r="AF2" t="str">
        <f>TEXT(AE2,"000\.000\.000\-00")</f>
        <v>000.000.002-00</v>
      </c>
      <c r="AJ2" s="22">
        <v>28400</v>
      </c>
      <c r="AK2">
        <v>28400</v>
      </c>
      <c r="AM2" s="21">
        <v>78000</v>
      </c>
      <c r="AN2">
        <v>78000</v>
      </c>
      <c r="AO2">
        <v>78000</v>
      </c>
      <c r="AQ2" t="s">
        <v>103</v>
      </c>
      <c r="AZ2" s="38" t="s">
        <v>811</v>
      </c>
      <c r="BA2" t="s">
        <v>103</v>
      </c>
      <c r="BB2" s="26">
        <v>3900</v>
      </c>
      <c r="BC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" spans="1:55">
      <c r="A3" s="24" t="s">
        <v>81</v>
      </c>
      <c r="B3" s="17" t="s">
        <v>459</v>
      </c>
      <c r="C3" s="25" t="s">
        <v>460</v>
      </c>
      <c r="D3" s="54" t="s">
        <v>809</v>
      </c>
      <c r="E3" s="30">
        <v>38001</v>
      </c>
      <c r="F3" s="24" t="str">
        <f>TabelaClean14[[#This Row],[CidadeCPF]]</f>
        <v>Fosso Cailin</v>
      </c>
      <c r="G3" s="17" t="str">
        <f>TabelaClean14[[#This Row],[RegiaoCPF]]</f>
        <v>Norte</v>
      </c>
      <c r="H3" s="17" t="str">
        <f>_xlfn.XLOOKUP(TabelaClean14[[#This Row],[cpf]],TabelaDirty[cpfclean],TabelaDirty[cidade])</f>
        <v>Fosso Cailin</v>
      </c>
      <c r="I3" s="17" t="str">
        <f>_xlfn.XLOOKUP(TabelaClean14[[#This Row],[cpf]],TabelaDirty[cpfclean],TabelaDirty[regiao])</f>
        <v>NORTE</v>
      </c>
      <c r="J3" s="17" t="str">
        <f>PROPER(TabelaClean14[[#This Row],[Coluna1]])</f>
        <v>Norte</v>
      </c>
      <c r="K3" s="17" t="e">
        <f>_xlfn.TEXTBEFORE(TabelaClean14[[#This Row],[CidadeCPF]]," | ")</f>
        <v>#N/A</v>
      </c>
      <c r="L3" s="24" t="e">
        <f>_xlfn.TEXTAFTER(TabelaClean14[[#This Row],[CidadeCPF]]," | ")</f>
        <v>#N/A</v>
      </c>
      <c r="M3" s="26">
        <v>2100</v>
      </c>
      <c r="N3" s="78">
        <v>79500</v>
      </c>
      <c r="O3" s="1" t="s">
        <v>51</v>
      </c>
      <c r="P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3" s="84">
        <v>29</v>
      </c>
      <c r="R3" s="1" t="str" cm="1">
        <f t="array" ref="R3">_xlfn.IFS(TabelaClean14[[#This Row],[qtde_batalhas]]&lt;=10,"Baixo",TabelaClean14[[#This Row],[qtde_batalhas]]&gt;=26,"Alto",TabelaClean14[[#This Row],[qtde_batalhas]]&lt;26,"Médio")</f>
        <v>Alto</v>
      </c>
      <c r="S3" s="1" t="str">
        <f>IF(AND(TabelaClean14[[#This Row],[nivel_risco]]="Alto",TabelaClean14[[#This Row],[flag_inadimplente]]="Sim"),"Arriscado","Ok")</f>
        <v>Arriscado</v>
      </c>
      <c r="T3" s="26">
        <v>64000</v>
      </c>
      <c r="U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" s="1"/>
      <c r="X3" s="23"/>
      <c r="Y3" t="s">
        <v>149</v>
      </c>
      <c r="Z3" t="str">
        <f>PROPER(Y3)</f>
        <v>Campina</v>
      </c>
      <c r="AE3">
        <v>2200</v>
      </c>
      <c r="AF3" t="str">
        <f>TEXT(AE3,"000\.000\.000\-00")</f>
        <v>000.000.022-00</v>
      </c>
      <c r="AJ3" s="22">
        <v>23800</v>
      </c>
      <c r="AK3">
        <v>23800</v>
      </c>
      <c r="AM3" s="20" t="s">
        <v>92</v>
      </c>
      <c r="AN3" t="s">
        <v>809</v>
      </c>
      <c r="AO3" t="s">
        <v>809</v>
      </c>
      <c r="AQ3" t="s">
        <v>79</v>
      </c>
      <c r="AZ3" s="39" t="s">
        <v>679</v>
      </c>
      <c r="BA3" t="s">
        <v>79</v>
      </c>
      <c r="BB3" s="26">
        <v>2100</v>
      </c>
      <c r="BC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4" spans="1:55">
      <c r="A4" s="24" t="s">
        <v>76</v>
      </c>
      <c r="B4" s="17" t="s">
        <v>382</v>
      </c>
      <c r="C4" s="27" t="s">
        <v>809</v>
      </c>
      <c r="D4" s="54">
        <v>73</v>
      </c>
      <c r="E4" s="30">
        <v>19538</v>
      </c>
      <c r="F4" s="24" t="s">
        <v>812</v>
      </c>
      <c r="G4" s="17" t="str">
        <f>TabelaClean14[[#This Row],[RegiaoCPF]]</f>
        <v>Null</v>
      </c>
      <c r="H4" s="17" t="e">
        <f>_xlfn.XLOOKUP(TabelaClean14[[#This Row],[cpf]],TabelaDirty[cpfclean],TabelaDirty[cidade])</f>
        <v>#N/A</v>
      </c>
      <c r="I4" s="17" t="e">
        <f>_xlfn.XLOOKUP(TabelaClean14[[#This Row],[cpf]],TabelaDirty[cpfclean],TabelaDirty[regiao])</f>
        <v>#N/A</v>
      </c>
      <c r="J4" s="17" t="s">
        <v>812</v>
      </c>
      <c r="K4" s="17" t="e">
        <f>_xlfn.TEXTBEFORE(TabelaClean14[[#This Row],[CidadeCPF]]," | ")</f>
        <v>#N/A</v>
      </c>
      <c r="L4" s="24" t="e">
        <f>_xlfn.TEXTAFTER(TabelaClean14[[#This Row],[CidadeCPF]]," | ")</f>
        <v>#N/A</v>
      </c>
      <c r="M4" s="26">
        <v>12700</v>
      </c>
      <c r="N4" s="78">
        <v>79500</v>
      </c>
      <c r="O4" s="1" t="s">
        <v>809</v>
      </c>
      <c r="P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" s="84">
        <v>35</v>
      </c>
      <c r="R4" s="1" t="str" cm="1">
        <f t="array" ref="R4">_xlfn.IFS(TabelaClean14[[#This Row],[qtde_batalhas]]&lt;=10,"Baixo",TabelaClean14[[#This Row],[qtde_batalhas]]&gt;=26,"Alto",TabelaClean14[[#This Row],[qtde_batalhas]]&lt;26,"Médio")</f>
        <v>Alto</v>
      </c>
      <c r="S4" s="1" t="str">
        <f>IF(AND(TabelaClean14[[#This Row],[nivel_risco]]="Alto",TabelaClean14[[#This Row],[flag_inadimplente]]="Sim"),"Arriscado","Ok")</f>
        <v>Ok</v>
      </c>
      <c r="T4" s="26">
        <v>39000</v>
      </c>
      <c r="U4" s="81">
        <f>IF(AND(TabelaClean14[[#This Row],[analise_risco]]="Arriscado",TabelaClean14[[#This Row],[analise_credito]]="Reprovado"),0,IF(TabelaClean14[[#This Row],[status]]="Ativo",TabelaClean14[[#This Row],[valor_solicitado]]*1.08,0))</f>
        <v>42120</v>
      </c>
      <c r="W4" s="1"/>
      <c r="X4" s="23"/>
      <c r="Y4" t="s">
        <v>353</v>
      </c>
      <c r="Z4" t="str">
        <f t="shared" ref="Z4:Z67" si="0">PROPER(Y4)</f>
        <v>Terras Fluviais</v>
      </c>
      <c r="AE4">
        <v>2800</v>
      </c>
      <c r="AF4" t="str">
        <f>TEXT(AE4,"000\.000\.000\-00")</f>
        <v>000.000.028-00</v>
      </c>
      <c r="AJ4" s="22">
        <v>8100</v>
      </c>
      <c r="AK4">
        <v>8100</v>
      </c>
      <c r="AM4" s="21">
        <v>27500</v>
      </c>
      <c r="AN4">
        <v>27500</v>
      </c>
      <c r="AO4">
        <v>27500</v>
      </c>
      <c r="AQ4" t="s">
        <v>172</v>
      </c>
      <c r="AZ4" s="38" t="s">
        <v>438</v>
      </c>
      <c r="BA4" t="s">
        <v>172</v>
      </c>
      <c r="BB4" s="26">
        <v>12700</v>
      </c>
      <c r="BC4" s="81">
        <f>IF(AND(TabelaClean14[[#This Row],[analise_risco]]="Arriscado",TabelaClean14[[#This Row],[analise_credito]]="Reprovado"),0,IF(TabelaClean14[[#This Row],[status]]="Ativo",TabelaClean14[[#This Row],[valor_solicitado]]*1.08,0))</f>
        <v>42120</v>
      </c>
    </row>
    <row r="5" spans="1:55">
      <c r="A5" s="24" t="s">
        <v>81</v>
      </c>
      <c r="B5" s="17" t="s">
        <v>789</v>
      </c>
      <c r="C5" s="25" t="s">
        <v>790</v>
      </c>
      <c r="D5" s="54">
        <v>66</v>
      </c>
      <c r="E5" s="30">
        <v>22101</v>
      </c>
      <c r="F5" s="24" t="str">
        <f>TabelaClean14[[#This Row],[CidadeCPF]]</f>
        <v>Meereen</v>
      </c>
      <c r="G5" s="17" t="str">
        <f>TabelaClean14[[#This Row],[RegiaoCPF]]</f>
        <v>Essos</v>
      </c>
      <c r="H5" s="17" t="str">
        <f>_xlfn.XLOOKUP(TabelaClean14[[#This Row],[cpf]],TabelaDirty[cpfclean],TabelaDirty[cidade])</f>
        <v>Meereen</v>
      </c>
      <c r="I5" s="17" t="str">
        <f>_xlfn.XLOOKUP(TabelaClean14[[#This Row],[cpf]],TabelaDirty[cpfclean],TabelaDirty[regiao])</f>
        <v>ESSOS</v>
      </c>
      <c r="J5" s="17" t="str">
        <f>PROPER(TabelaClean14[[#This Row],[Coluna1]])</f>
        <v>Essos</v>
      </c>
      <c r="K5" s="17" t="e">
        <f>_xlfn.TEXTBEFORE(TabelaClean14[[#This Row],[CidadeCPF]]," | ")</f>
        <v>#N/A</v>
      </c>
      <c r="L5" s="24" t="e">
        <f>_xlfn.TEXTAFTER(TabelaClean14[[#This Row],[CidadeCPF]]," | ")</f>
        <v>#N/A</v>
      </c>
      <c r="M5" s="26">
        <v>16800</v>
      </c>
      <c r="N5" s="78">
        <v>79500</v>
      </c>
      <c r="O5" s="1" t="s">
        <v>50</v>
      </c>
      <c r="P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" s="84">
        <v>36</v>
      </c>
      <c r="R5" s="1" t="str" cm="1">
        <f t="array" ref="R5">_xlfn.IFS(TabelaClean14[[#This Row],[qtde_batalhas]]&lt;=10,"Baixo",TabelaClean14[[#This Row],[qtde_batalhas]]&gt;=26,"Alto",TabelaClean14[[#This Row],[qtde_batalhas]]&lt;26,"Médio")</f>
        <v>Alto</v>
      </c>
      <c r="S5" s="1" t="str">
        <f>IF(AND(TabelaClean14[[#This Row],[nivel_risco]]="Alto",TabelaClean14[[#This Row],[flag_inadimplente]]="Sim"),"Arriscado","Ok")</f>
        <v>Ok</v>
      </c>
      <c r="T5" s="26">
        <v>1500</v>
      </c>
      <c r="U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5" s="1"/>
      <c r="X5" s="23"/>
      <c r="Y5" t="s">
        <v>809</v>
      </c>
      <c r="Z5" t="str">
        <f t="shared" si="0"/>
        <v>Null</v>
      </c>
      <c r="AE5">
        <v>3200</v>
      </c>
      <c r="AF5" t="str">
        <f>TEXT(AE5,"000\.000\.000\-00")</f>
        <v>000.000.032-00</v>
      </c>
      <c r="AJ5" s="22">
        <v>6800</v>
      </c>
      <c r="AK5">
        <v>6800</v>
      </c>
      <c r="AM5" s="20">
        <v>12000</v>
      </c>
      <c r="AN5">
        <v>12000</v>
      </c>
      <c r="AO5">
        <v>12000</v>
      </c>
      <c r="AQ5" t="s">
        <v>242</v>
      </c>
      <c r="AZ5" s="39" t="s">
        <v>623</v>
      </c>
      <c r="BA5" t="s">
        <v>242</v>
      </c>
      <c r="BB5" s="26">
        <v>16800</v>
      </c>
      <c r="BC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6" spans="1:55">
      <c r="A6" s="24" t="s">
        <v>76</v>
      </c>
      <c r="B6" s="17" t="s">
        <v>397</v>
      </c>
      <c r="C6" s="25" t="s">
        <v>398</v>
      </c>
      <c r="D6" s="54">
        <v>53</v>
      </c>
      <c r="E6" s="30">
        <v>26584</v>
      </c>
      <c r="F6" s="24" t="str">
        <f>TabelaClean14[[#This Row],[CidadeCPF]]</f>
        <v>Fosso Cailin</v>
      </c>
      <c r="G6" s="17" t="str">
        <f>TabelaClean14[[#This Row],[RegiaoCPF]]</f>
        <v>Norte</v>
      </c>
      <c r="H6" s="17" t="str">
        <f>_xlfn.XLOOKUP(TabelaClean14[[#This Row],[cpf]],TabelaDirty[cpfclean],TabelaDirty[cidade])</f>
        <v>Fosso Cailin</v>
      </c>
      <c r="I6" s="17" t="str">
        <f>_xlfn.XLOOKUP(TabelaClean14[[#This Row],[cpf]],TabelaDirty[cpfclean],TabelaDirty[regiao])</f>
        <v>Norte</v>
      </c>
      <c r="J6" s="17" t="str">
        <f>PROPER(TabelaClean14[[#This Row],[Coluna1]])</f>
        <v>Norte</v>
      </c>
      <c r="K6" s="17" t="e">
        <f>_xlfn.TEXTBEFORE(TabelaClean14[[#This Row],[CidadeCPF]]," | ")</f>
        <v>#N/A</v>
      </c>
      <c r="L6" s="24" t="e">
        <f>_xlfn.TEXTAFTER(TabelaClean14[[#This Row],[CidadeCPF]]," | ")</f>
        <v>#N/A</v>
      </c>
      <c r="M6" s="26">
        <v>12200</v>
      </c>
      <c r="N6" s="78">
        <v>79500</v>
      </c>
      <c r="O6" s="1" t="s">
        <v>50</v>
      </c>
      <c r="P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" s="84">
        <v>45</v>
      </c>
      <c r="R6" s="1" t="str" cm="1">
        <f t="array" ref="R6">_xlfn.IFS(TabelaClean14[[#This Row],[qtde_batalhas]]&lt;=10,"Baixo",TabelaClean14[[#This Row],[qtde_batalhas]]&gt;=26,"Alto",TabelaClean14[[#This Row],[qtde_batalhas]]&lt;26,"Médio")</f>
        <v>Alto</v>
      </c>
      <c r="S6" s="1" t="str">
        <f>IF(AND(TabelaClean14[[#This Row],[nivel_risco]]="Alto",TabelaClean14[[#This Row],[flag_inadimplente]]="Sim"),"Arriscado","Ok")</f>
        <v>Ok</v>
      </c>
      <c r="T6" s="26">
        <v>57000</v>
      </c>
      <c r="U6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  <c r="W6" s="1"/>
      <c r="Y6" t="s">
        <v>809</v>
      </c>
      <c r="Z6" t="str">
        <f t="shared" si="0"/>
        <v>Null</v>
      </c>
      <c r="AE6">
        <v>3400</v>
      </c>
      <c r="AF6" t="str">
        <f>TEXT(AE6,"000\.000\.000\-00")</f>
        <v>000.000.034-00</v>
      </c>
      <c r="AJ6" s="22" t="s">
        <v>235</v>
      </c>
      <c r="AK6">
        <v>11100</v>
      </c>
      <c r="AM6" s="21">
        <v>63000</v>
      </c>
      <c r="AN6">
        <v>63000</v>
      </c>
      <c r="AO6">
        <v>63000</v>
      </c>
      <c r="AQ6" t="s">
        <v>79</v>
      </c>
      <c r="AZ6" s="38" t="s">
        <v>813</v>
      </c>
      <c r="BA6" t="s">
        <v>79</v>
      </c>
      <c r="BB6" s="26">
        <v>12200</v>
      </c>
      <c r="BC6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</row>
    <row r="7" spans="1:55">
      <c r="A7" s="24" t="s">
        <v>76</v>
      </c>
      <c r="B7" s="17" t="s">
        <v>602</v>
      </c>
      <c r="C7" s="25" t="s">
        <v>603</v>
      </c>
      <c r="D7" s="54">
        <v>53</v>
      </c>
      <c r="E7" s="30">
        <v>26620</v>
      </c>
      <c r="F7" s="24" t="str">
        <f>TabelaClean14[[#This Row],[CidadeCPF]]</f>
        <v>Ninho da Águia</v>
      </c>
      <c r="G7" s="17" t="str">
        <f>TabelaClean14[[#This Row],[RegiaoCPF]]</f>
        <v>Vale</v>
      </c>
      <c r="H7" s="17" t="str">
        <f>_xlfn.XLOOKUP(TabelaClean14[[#This Row],[cpf]],TabelaDirty[cpfclean],TabelaDirty[cidade])</f>
        <v>Ninho da Águia</v>
      </c>
      <c r="I7" s="17" t="str">
        <f>_xlfn.XLOOKUP(TabelaClean14[[#This Row],[cpf]],TabelaDirty[cpfclean],TabelaDirty[regiao])</f>
        <v>vale</v>
      </c>
      <c r="J7" s="17" t="str">
        <f>PROPER(TabelaClean14[[#This Row],[Coluna1]])</f>
        <v>Vale</v>
      </c>
      <c r="K7" s="17" t="e">
        <f>_xlfn.TEXTBEFORE(TabelaClean14[[#This Row],[CidadeCPF]]," | ")</f>
        <v>#N/A</v>
      </c>
      <c r="L7" s="24" t="e">
        <f>_xlfn.TEXTAFTER(TabelaClean14[[#This Row],[CidadeCPF]]," | ")</f>
        <v>#N/A</v>
      </c>
      <c r="M7" s="26">
        <v>21300</v>
      </c>
      <c r="N7" s="78">
        <v>79500</v>
      </c>
      <c r="O7" s="1" t="s">
        <v>50</v>
      </c>
      <c r="P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" s="84">
        <v>18</v>
      </c>
      <c r="R7" s="1" t="str" cm="1">
        <f t="array" ref="R7">_xlfn.IFS(TabelaClean14[[#This Row],[qtde_batalhas]]&lt;=10,"Baixo",TabelaClean14[[#This Row],[qtde_batalhas]]&gt;=26,"Alto",TabelaClean14[[#This Row],[qtde_batalhas]]&lt;26,"Médio")</f>
        <v>Médio</v>
      </c>
      <c r="S7" s="1" t="str">
        <f>IF(AND(TabelaClean14[[#This Row],[nivel_risco]]="Alto",TabelaClean14[[#This Row],[flag_inadimplente]]="Sim"),"Arriscado","Ok")</f>
        <v>Ok</v>
      </c>
      <c r="T7" s="26">
        <v>19000</v>
      </c>
      <c r="U7" s="81">
        <f>IF(AND(TabelaClean14[[#This Row],[analise_risco]]="Arriscado",TabelaClean14[[#This Row],[analise_credito]]="Reprovado"),0,IF(TabelaClean14[[#This Row],[status]]="Ativo",TabelaClean14[[#This Row],[valor_solicitado]]*1.08,0))</f>
        <v>20520</v>
      </c>
      <c r="W7" s="1"/>
      <c r="Y7" t="s">
        <v>809</v>
      </c>
      <c r="Z7" t="str">
        <f t="shared" si="0"/>
        <v>Null</v>
      </c>
      <c r="AE7">
        <v>3800</v>
      </c>
      <c r="AF7" t="str">
        <f>TEXT(AE7,"000\.000\.000\-00")</f>
        <v>000.000.038-00</v>
      </c>
      <c r="AJ7" s="22">
        <v>5100</v>
      </c>
      <c r="AK7">
        <v>5100</v>
      </c>
      <c r="AM7" s="20">
        <v>25000</v>
      </c>
      <c r="AN7">
        <v>25000</v>
      </c>
      <c r="AO7">
        <v>25000</v>
      </c>
      <c r="AQ7" t="s">
        <v>162</v>
      </c>
      <c r="AZ7" s="39" t="s">
        <v>748</v>
      </c>
      <c r="BA7" t="s">
        <v>162</v>
      </c>
      <c r="BB7" s="26">
        <v>21300</v>
      </c>
      <c r="BC7" s="81">
        <f>IF(AND(TabelaClean14[[#This Row],[analise_risco]]="Arriscado",TabelaClean14[[#This Row],[analise_credito]]="Reprovado"),0,IF(TabelaClean14[[#This Row],[status]]="Ativo",TabelaClean14[[#This Row],[valor_solicitado]]*1.08,0))</f>
        <v>20520</v>
      </c>
    </row>
    <row r="8" spans="1:55">
      <c r="A8" s="24" t="s">
        <v>76</v>
      </c>
      <c r="B8" s="17" t="s">
        <v>382</v>
      </c>
      <c r="C8" s="25" t="s">
        <v>814</v>
      </c>
      <c r="D8" s="54">
        <f>_xlfn.XLOOKUP(TabelaClean14[[#This Row],[nome]],Base_Dirty!B:B,Base_Dirty!E:E)</f>
        <v>73</v>
      </c>
      <c r="E8" s="51">
        <f>_xlfn.XLOOKUP(TabelaClean14[[#This Row],[nome]],Base_Dirty!$B:$B,Base_Dirty!F:F)</f>
        <v>19538</v>
      </c>
      <c r="F8" s="17" t="s">
        <v>89</v>
      </c>
      <c r="G8" s="17" t="s">
        <v>413</v>
      </c>
      <c r="H8" s="24" t="s">
        <v>331</v>
      </c>
      <c r="I8" s="24">
        <v>12700</v>
      </c>
      <c r="J8" s="24">
        <v>79500</v>
      </c>
      <c r="K8" s="24" t="s">
        <v>50</v>
      </c>
      <c r="L8" s="24">
        <v>35</v>
      </c>
      <c r="M8" s="23">
        <f>_xlfn.XLOOKUP(TabelaClean14[[#This Row],[nome]],Base_Dirty!$B:$B,Base_Dirty!I:I)</f>
        <v>12700</v>
      </c>
      <c r="N8" s="78">
        <f>_xlfn.XLOOKUP(TabelaClean14[[#This Row],[nome]],Base_Dirty!$B:$B,Base_Dirty!J:J)</f>
        <v>79500</v>
      </c>
      <c r="O8" s="79" t="s">
        <v>50</v>
      </c>
      <c r="P8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" s="84">
        <f>_xlfn.XLOOKUP(TabelaClean14[[#This Row],[nome]],Base_Dirty!$B:$B,Base_Dirty!L:L)</f>
        <v>35</v>
      </c>
      <c r="R8" s="76" t="str" cm="1">
        <f t="array" ref="R8">_xlfn.IFS(TabelaClean14[[#This Row],[qtde_batalhas]]&lt;=10,"Baixo",TabelaClean14[[#This Row],[qtde_batalhas]]&gt;=26,"Alto",TabelaClean14[[#This Row],[qtde_batalhas]]&lt;26,"Médio")</f>
        <v>Alto</v>
      </c>
      <c r="S8" s="76" t="str">
        <f>IF(AND(TabelaClean14[[#This Row],[nivel_risco]]="Alto",TabelaClean14[[#This Row],[flag_inadimplente]]="Sim"),"Arriscado","Ok")</f>
        <v>Ok</v>
      </c>
      <c r="T8" s="26">
        <f>_xlfn.XLOOKUP(TabelaClean14[[#This Row],[nome]],Base_Dirty!$B:$B,Base_Dirty!O:O)</f>
        <v>39000</v>
      </c>
      <c r="U8" s="81">
        <f>IF(AND(TabelaClean14[[#This Row],[analise_risco]]="Arriscado",TabelaClean14[[#This Row],[analise_credito]]="Reprovado"),0,IF(TabelaClean14[[#This Row],[status]]="Ativo",TabelaClean14[[#This Row],[valor_solicitado]]*1.08,0))</f>
        <v>42120</v>
      </c>
      <c r="W8" s="1"/>
      <c r="Y8" t="s">
        <v>809</v>
      </c>
      <c r="Z8" t="str">
        <f t="shared" si="0"/>
        <v>Null</v>
      </c>
      <c r="AE8">
        <v>4900</v>
      </c>
      <c r="AF8" t="str">
        <f>TEXT(AE8,"000\.000\.000\-00")</f>
        <v>000.000.049-00</v>
      </c>
      <c r="AJ8" s="22">
        <v>3800</v>
      </c>
      <c r="AK8">
        <v>3800</v>
      </c>
      <c r="AM8" s="21">
        <v>49500</v>
      </c>
      <c r="AN8">
        <v>49500</v>
      </c>
      <c r="AO8">
        <v>49500</v>
      </c>
      <c r="AQ8" t="s">
        <v>121</v>
      </c>
      <c r="AZ8" s="38" t="s">
        <v>120</v>
      </c>
      <c r="BA8" t="s">
        <v>121</v>
      </c>
      <c r="BB8" s="23">
        <f>_xlfn.XLOOKUP(TabelaClean14[[#This Row],[nome]],Base_Dirty!$B:$B,Base_Dirty!AX:AX)</f>
        <v>0</v>
      </c>
      <c r="BC8" s="81">
        <f>IF(AND(TabelaClean14[[#This Row],[analise_risco]]="Arriscado",TabelaClean14[[#This Row],[analise_credito]]="Reprovado"),0,IF(TabelaClean14[[#This Row],[status]]="Ativo",TabelaClean14[[#This Row],[valor_solicitado]]*1.08,0))</f>
        <v>42120</v>
      </c>
    </row>
    <row r="9" spans="1:55">
      <c r="A9" s="24" t="s">
        <v>76</v>
      </c>
      <c r="B9" s="17" t="s">
        <v>397</v>
      </c>
      <c r="C9" s="25" t="s">
        <v>815</v>
      </c>
      <c r="D9" s="54">
        <f>_xlfn.XLOOKUP(TabelaClean14[[#This Row],[nome]],Base_Dirty!B:B,Base_Dirty!E:E)</f>
        <v>53</v>
      </c>
      <c r="E9" s="51">
        <f>_xlfn.XLOOKUP(TabelaClean14[[#This Row],[nome]],Base_Dirty!$B:$B,Base_Dirty!F:F)</f>
        <v>26584</v>
      </c>
      <c r="F9" s="50" t="s">
        <v>162</v>
      </c>
      <c r="G9" s="17" t="s">
        <v>142</v>
      </c>
      <c r="H9" s="24" t="s">
        <v>142</v>
      </c>
      <c r="I9" s="24">
        <v>12200</v>
      </c>
      <c r="J9" s="24">
        <v>79500</v>
      </c>
      <c r="K9" s="24" t="s">
        <v>190</v>
      </c>
      <c r="L9" s="24">
        <v>45</v>
      </c>
      <c r="M9" s="23">
        <f>_xlfn.XLOOKUP(TabelaClean14[[#This Row],[nome]],Base_Dirty!$B:$B,Base_Dirty!I:I)</f>
        <v>12200</v>
      </c>
      <c r="N9" s="78">
        <f>_xlfn.XLOOKUP(TabelaClean14[[#This Row],[nome]],Base_Dirty!$B:$B,Base_Dirty!J:J)</f>
        <v>79500</v>
      </c>
      <c r="O9" s="79" t="s">
        <v>190</v>
      </c>
      <c r="P9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" s="84">
        <f>_xlfn.XLOOKUP(TabelaClean14[[#This Row],[nome]],Base_Dirty!$B:$B,Base_Dirty!L:L)</f>
        <v>45</v>
      </c>
      <c r="R9" s="76" t="str" cm="1">
        <f t="array" ref="R9">_xlfn.IFS(TabelaClean14[[#This Row],[qtde_batalhas]]&lt;=10,"Baixo",TabelaClean14[[#This Row],[qtde_batalhas]]&gt;=26,"Alto",TabelaClean14[[#This Row],[qtde_batalhas]]&lt;26,"Médio")</f>
        <v>Alto</v>
      </c>
      <c r="S9" s="76" t="str">
        <f>IF(AND(TabelaClean14[[#This Row],[nivel_risco]]="Alto",TabelaClean14[[#This Row],[flag_inadimplente]]="Sim"),"Arriscado","Ok")</f>
        <v>Ok</v>
      </c>
      <c r="T9" s="26">
        <f>_xlfn.XLOOKUP(TabelaClean14[[#This Row],[nome]],Base_Dirty!$B:$B,Base_Dirty!O:O)</f>
        <v>57000</v>
      </c>
      <c r="U9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  <c r="W9" s="1"/>
      <c r="Y9" t="s">
        <v>264</v>
      </c>
      <c r="Z9" t="str">
        <f t="shared" si="0"/>
        <v>Ilhas De Ferro</v>
      </c>
      <c r="AE9">
        <v>6300</v>
      </c>
      <c r="AF9" t="str">
        <f>TEXT(AE9,"000\.000\.000\-00")</f>
        <v>000.000.063-00</v>
      </c>
      <c r="AJ9" s="22">
        <v>14900</v>
      </c>
      <c r="AK9">
        <v>14900</v>
      </c>
      <c r="AM9" s="20">
        <v>17000</v>
      </c>
      <c r="AN9">
        <v>17000</v>
      </c>
      <c r="AO9">
        <v>17000</v>
      </c>
      <c r="AQ9" t="s">
        <v>169</v>
      </c>
      <c r="AZ9" s="39" t="s">
        <v>495</v>
      </c>
      <c r="BA9" t="s">
        <v>169</v>
      </c>
      <c r="BB9" s="23">
        <f>_xlfn.XLOOKUP(TabelaClean14[[#This Row],[nome]],Base_Dirty!$B:$B,Base_Dirty!AX:AX)</f>
        <v>0</v>
      </c>
      <c r="BC9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</row>
    <row r="10" spans="1:55">
      <c r="A10" s="24" t="s">
        <v>76</v>
      </c>
      <c r="B10" s="17" t="s">
        <v>397</v>
      </c>
      <c r="C10" t="str">
        <f>_xlfn.XLOOKUP(TabelaClean14[[#This Row],[nome]],Base_Dirty!$B:$B,Base_Dirty!D:D)</f>
        <v>000.000.314-00</v>
      </c>
      <c r="D10" s="54">
        <f>_xlfn.XLOOKUP(TabelaClean14[[#This Row],[nome]],Base_Dirty!B:B,Base_Dirty!E:E)</f>
        <v>53</v>
      </c>
      <c r="E10" s="30">
        <v>53</v>
      </c>
      <c r="F10" s="50" t="s">
        <v>162</v>
      </c>
      <c r="G10" s="17" t="s">
        <v>142</v>
      </c>
      <c r="H10" s="24" t="s">
        <v>142</v>
      </c>
      <c r="I10" s="24">
        <v>12200</v>
      </c>
      <c r="J10" s="24">
        <v>79500</v>
      </c>
      <c r="K10" s="24" t="s">
        <v>190</v>
      </c>
      <c r="L10" s="24">
        <v>45</v>
      </c>
      <c r="M10" s="23">
        <f>_xlfn.XLOOKUP(TabelaClean14[[#This Row],[nome]],Base_Dirty!$B:$B,Base_Dirty!I:I)</f>
        <v>12200</v>
      </c>
      <c r="N10" s="78">
        <f>_xlfn.XLOOKUP(TabelaClean14[[#This Row],[nome]],Base_Dirty!$B:$B,Base_Dirty!J:J)</f>
        <v>79500</v>
      </c>
      <c r="O10" s="79" t="s">
        <v>50</v>
      </c>
      <c r="P1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" s="84">
        <f>_xlfn.XLOOKUP(TabelaClean14[[#This Row],[nome]],Base_Dirty!$B:$B,Base_Dirty!L:L)</f>
        <v>45</v>
      </c>
      <c r="R10" s="76" t="str" cm="1">
        <f t="array" ref="R10">_xlfn.IFS(TabelaClean14[[#This Row],[qtde_batalhas]]&lt;=10,"Baixo",TabelaClean14[[#This Row],[qtde_batalhas]]&gt;=26,"Alto",TabelaClean14[[#This Row],[qtde_batalhas]]&lt;26,"Médio")</f>
        <v>Alto</v>
      </c>
      <c r="S10" s="76" t="str">
        <f>IF(AND(TabelaClean14[[#This Row],[nivel_risco]]="Alto",TabelaClean14[[#This Row],[flag_inadimplente]]="Sim"),"Arriscado","Ok")</f>
        <v>Ok</v>
      </c>
      <c r="T10" s="26">
        <f>_xlfn.XLOOKUP(TabelaClean14[[#This Row],[nome]],Base_Dirty!$B:$B,Base_Dirty!O:O)</f>
        <v>57000</v>
      </c>
      <c r="U10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  <c r="W10" s="1"/>
      <c r="Y10" t="s">
        <v>809</v>
      </c>
      <c r="Z10" t="str">
        <f t="shared" si="0"/>
        <v>Null</v>
      </c>
      <c r="AE10">
        <v>6400</v>
      </c>
      <c r="AF10" t="str">
        <f>TEXT(AE10,"000\.000\.000\-00")</f>
        <v>000.000.064-00</v>
      </c>
      <c r="AJ10" s="22">
        <v>16800</v>
      </c>
      <c r="AK10">
        <v>16800</v>
      </c>
      <c r="AM10" s="21">
        <v>79500</v>
      </c>
      <c r="AN10">
        <v>79500</v>
      </c>
      <c r="AO10">
        <v>79500</v>
      </c>
      <c r="AQ10" t="s">
        <v>242</v>
      </c>
      <c r="AZ10" s="38" t="s">
        <v>455</v>
      </c>
      <c r="BA10" t="s">
        <v>242</v>
      </c>
      <c r="BB10" s="23">
        <f>_xlfn.XLOOKUP(TabelaClean14[[#This Row],[nome]],Base_Dirty!$B:$B,Base_Dirty!AX:AX)</f>
        <v>0</v>
      </c>
      <c r="BC10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</row>
    <row r="11" spans="1:55">
      <c r="A11" s="24" t="s">
        <v>81</v>
      </c>
      <c r="B11" s="17" t="s">
        <v>796</v>
      </c>
      <c r="C11" s="25" t="s">
        <v>814</v>
      </c>
      <c r="D11" s="54">
        <v>31</v>
      </c>
      <c r="E11" s="30">
        <v>34746</v>
      </c>
      <c r="F11" s="24" t="str">
        <f>TabelaClean14[[#This Row],[CidadeCPF]]</f>
        <v>Braavos</v>
      </c>
      <c r="G11" s="17" t="str">
        <f>TabelaClean14[[#This Row],[RegiaoCPF]]</f>
        <v>Essos</v>
      </c>
      <c r="H11" s="17" t="str">
        <f>_xlfn.XLOOKUP(TabelaClean14[[#This Row],[cpf]],TabelaDirty[cpfclean],TabelaDirty[cidade])</f>
        <v>Braavos</v>
      </c>
      <c r="I11" s="17" t="str">
        <f>_xlfn.XLOOKUP(TabelaClean14[[#This Row],[cpf]],TabelaDirty[cpfclean],TabelaDirty[regiao])</f>
        <v>ESSOS</v>
      </c>
      <c r="J11" s="17" t="str">
        <f>PROPER(TabelaClean14[[#This Row],[Coluna1]])</f>
        <v>Essos</v>
      </c>
      <c r="K11" s="17" t="e">
        <f>_xlfn.TEXTBEFORE(TabelaClean14[[#This Row],[CidadeCPF]]," | ")</f>
        <v>#N/A</v>
      </c>
      <c r="L11" s="24" t="e">
        <f>_xlfn.TEXTAFTER(TabelaClean14[[#This Row],[CidadeCPF]]," | ")</f>
        <v>#N/A</v>
      </c>
      <c r="M11" s="26">
        <v>18200</v>
      </c>
      <c r="N11" s="78">
        <v>78500</v>
      </c>
      <c r="O11" s="1" t="s">
        <v>50</v>
      </c>
      <c r="P1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1" s="84">
        <v>9</v>
      </c>
      <c r="R11" s="1" t="str" cm="1">
        <f t="array" ref="R11">_xlfn.IFS(TabelaClean14[[#This Row],[qtde_batalhas]]&lt;=10,"Baixo",TabelaClean14[[#This Row],[qtde_batalhas]]&gt;=26,"Alto",TabelaClean14[[#This Row],[qtde_batalhas]]&lt;26,"Médio")</f>
        <v>Baixo</v>
      </c>
      <c r="S11" s="1" t="str">
        <f>IF(AND(TabelaClean14[[#This Row],[nivel_risco]]="Alto",TabelaClean14[[#This Row],[flag_inadimplente]]="Sim"),"Arriscado","Ok")</f>
        <v>Ok</v>
      </c>
      <c r="T11" s="26">
        <v>73000</v>
      </c>
      <c r="U1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1" s="1"/>
      <c r="Y11" t="s">
        <v>809</v>
      </c>
      <c r="Z11" t="str">
        <f t="shared" si="0"/>
        <v>Null</v>
      </c>
      <c r="AE11">
        <v>6900</v>
      </c>
      <c r="AF11" t="str">
        <f>TEXT(AE11,"000\.000\.000\-00")</f>
        <v>000.000.069-00</v>
      </c>
      <c r="AJ11" s="22">
        <v>21600</v>
      </c>
      <c r="AK11">
        <v>21600</v>
      </c>
      <c r="AM11" s="20">
        <v>25000</v>
      </c>
      <c r="AN11">
        <v>25000</v>
      </c>
      <c r="AO11">
        <v>25000</v>
      </c>
      <c r="AQ11" t="s">
        <v>302</v>
      </c>
      <c r="AZ11" s="39" t="s">
        <v>816</v>
      </c>
      <c r="BA11" t="s">
        <v>302</v>
      </c>
      <c r="BB11" s="26">
        <v>18200</v>
      </c>
      <c r="BC1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2" spans="1:55">
      <c r="A12" s="24" t="s">
        <v>76</v>
      </c>
      <c r="B12" s="17" t="s">
        <v>185</v>
      </c>
      <c r="C12" s="25" t="s">
        <v>186</v>
      </c>
      <c r="D12" s="54">
        <v>27</v>
      </c>
      <c r="E12" s="30">
        <v>36319</v>
      </c>
      <c r="F12" s="24" t="str">
        <f>TabelaClean14[[#This Row],[CidadeCPF]]</f>
        <v>Ponta Tempestade</v>
      </c>
      <c r="G12" s="17" t="str">
        <f>TabelaClean14[[#This Row],[RegiaoCPF]]</f>
        <v>Terras Da Tempestade</v>
      </c>
      <c r="H12" s="17" t="str">
        <f>_xlfn.XLOOKUP(TabelaClean14[[#This Row],[cpf]],TabelaDirty[cpfclean],TabelaDirty[cidade])</f>
        <v>Ponta Tempestade</v>
      </c>
      <c r="I12" s="17" t="str">
        <f>_xlfn.XLOOKUP(TabelaClean14[[#This Row],[cpf]],TabelaDirty[cpfclean],TabelaDirty[regiao])</f>
        <v>terras da tempestade</v>
      </c>
      <c r="J12" s="17" t="str">
        <f>PROPER(TabelaClean14[[#This Row],[Coluna1]])</f>
        <v>Terras Da Tempestade</v>
      </c>
      <c r="K12" s="17" t="e">
        <f>_xlfn.TEXTBEFORE(TabelaClean14[[#This Row],[CidadeCPF]]," | ")</f>
        <v>#N/A</v>
      </c>
      <c r="L12" s="24" t="e">
        <f>_xlfn.TEXTAFTER(TabelaClean14[[#This Row],[CidadeCPF]]," | ")</f>
        <v>#N/A</v>
      </c>
      <c r="M12" s="26">
        <v>28800</v>
      </c>
      <c r="N12" s="78">
        <v>78500</v>
      </c>
      <c r="O12" s="1" t="s">
        <v>50</v>
      </c>
      <c r="P1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" s="84">
        <v>2</v>
      </c>
      <c r="R12" s="1" t="str" cm="1">
        <f t="array" ref="R12">_xlfn.IFS(TabelaClean14[[#This Row],[qtde_batalhas]]&lt;=10,"Baixo",TabelaClean14[[#This Row],[qtde_batalhas]]&gt;=26,"Alto",TabelaClean14[[#This Row],[qtde_batalhas]]&lt;26,"Médio")</f>
        <v>Baixo</v>
      </c>
      <c r="S12" s="1" t="str">
        <f>IF(AND(TabelaClean14[[#This Row],[nivel_risco]]="Alto",TabelaClean14[[#This Row],[flag_inadimplente]]="Sim"),"Arriscado","Ok")</f>
        <v>Ok</v>
      </c>
      <c r="T12" s="26">
        <v>53000</v>
      </c>
      <c r="U12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  <c r="W12" s="1"/>
      <c r="Y12" t="s">
        <v>139</v>
      </c>
      <c r="Z12" t="str">
        <f t="shared" si="0"/>
        <v>Terras Fluviais</v>
      </c>
      <c r="AE12">
        <v>7700</v>
      </c>
      <c r="AF12" t="str">
        <f>TEXT(AE12,"000\.000\.000\-00")</f>
        <v>000.000.077-00</v>
      </c>
      <c r="AJ12" s="22" t="s">
        <v>220</v>
      </c>
      <c r="AK12">
        <v>3800</v>
      </c>
      <c r="AM12" s="21">
        <v>0</v>
      </c>
      <c r="AN12">
        <v>0</v>
      </c>
      <c r="AO12">
        <v>0</v>
      </c>
      <c r="AQ12" t="s">
        <v>127</v>
      </c>
      <c r="AZ12" s="38" t="s">
        <v>453</v>
      </c>
      <c r="BA12" t="s">
        <v>127</v>
      </c>
      <c r="BB12" s="26">
        <v>28800</v>
      </c>
      <c r="BC12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</row>
    <row r="13" spans="1:55">
      <c r="A13" s="24" t="s">
        <v>76</v>
      </c>
      <c r="B13" s="17" t="s">
        <v>710</v>
      </c>
      <c r="C13" s="25" t="s">
        <v>711</v>
      </c>
      <c r="D13" s="54">
        <v>36</v>
      </c>
      <c r="E13" s="30">
        <v>33117</v>
      </c>
      <c r="F13" s="24" t="str">
        <f>TabelaClean14[[#This Row],[CidadeCPF]]</f>
        <v>Atalaia da Água Cinzenta</v>
      </c>
      <c r="G13" s="17" t="str">
        <f>TabelaClean14[[#This Row],[RegiaoCPF]]</f>
        <v>Gargalo</v>
      </c>
      <c r="H13" s="17" t="str">
        <f>_xlfn.XLOOKUP(TabelaClean14[[#This Row],[cpf]],TabelaDirty[cpfclean],TabelaDirty[cidade])</f>
        <v>Atalaia da Água Cinzenta</v>
      </c>
      <c r="I13" s="17" t="str">
        <f>_xlfn.XLOOKUP(TabelaClean14[[#This Row],[cpf]],TabelaDirty[cpfclean],TabelaDirty[regiao])</f>
        <v>Gargalo</v>
      </c>
      <c r="J13" s="17" t="str">
        <f>PROPER(TabelaClean14[[#This Row],[Coluna1]])</f>
        <v>Gargalo</v>
      </c>
      <c r="K13" s="17" t="e">
        <f>_xlfn.TEXTBEFORE(TabelaClean14[[#This Row],[CidadeCPF]]," | ")</f>
        <v>#N/A</v>
      </c>
      <c r="L13" s="24" t="e">
        <f>_xlfn.TEXTAFTER(TabelaClean14[[#This Row],[CidadeCPF]]," | ")</f>
        <v>#N/A</v>
      </c>
      <c r="M13" s="26">
        <v>11600</v>
      </c>
      <c r="N13" s="78">
        <v>78500</v>
      </c>
      <c r="O13" s="1" t="s">
        <v>50</v>
      </c>
      <c r="P1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" s="84">
        <v>1</v>
      </c>
      <c r="R13" s="1" t="str" cm="1">
        <f t="array" ref="R13">_xlfn.IFS(TabelaClean14[[#This Row],[qtde_batalhas]]&lt;=10,"Baixo",TabelaClean14[[#This Row],[qtde_batalhas]]&gt;=26,"Alto",TabelaClean14[[#This Row],[qtde_batalhas]]&lt;26,"Médio")</f>
        <v>Baixo</v>
      </c>
      <c r="S13" s="1" t="str">
        <f>IF(AND(TabelaClean14[[#This Row],[nivel_risco]]="Alto",TabelaClean14[[#This Row],[flag_inadimplente]]="Sim"),"Arriscado","Ok")</f>
        <v>Ok</v>
      </c>
      <c r="T13" s="26">
        <v>42000</v>
      </c>
      <c r="U13" s="81">
        <f>IF(AND(TabelaClean14[[#This Row],[analise_risco]]="Arriscado",TabelaClean14[[#This Row],[analise_credito]]="Reprovado"),0,IF(TabelaClean14[[#This Row],[status]]="Ativo",TabelaClean14[[#This Row],[valor_solicitado]]*1.08,0))</f>
        <v>45360</v>
      </c>
      <c r="W13" s="1"/>
      <c r="Y13" t="s">
        <v>809</v>
      </c>
      <c r="Z13" t="str">
        <f t="shared" si="0"/>
        <v>Null</v>
      </c>
      <c r="AE13">
        <v>8200</v>
      </c>
      <c r="AF13" t="str">
        <f>TEXT(AE13,"000\.000\.000\-00")</f>
        <v>000.000.082-00</v>
      </c>
      <c r="AJ13" s="22">
        <v>25200</v>
      </c>
      <c r="AK13">
        <v>25200</v>
      </c>
      <c r="AM13" s="20">
        <v>59500</v>
      </c>
      <c r="AN13">
        <v>59500</v>
      </c>
      <c r="AO13">
        <v>59500</v>
      </c>
      <c r="AQ13" t="s">
        <v>172</v>
      </c>
      <c r="AZ13" s="39" t="s">
        <v>817</v>
      </c>
      <c r="BA13" t="s">
        <v>172</v>
      </c>
      <c r="BB13" s="26">
        <v>11600</v>
      </c>
      <c r="BC13" s="81">
        <f>IF(AND(TabelaClean14[[#This Row],[analise_risco]]="Arriscado",TabelaClean14[[#This Row],[analise_credito]]="Reprovado"),0,IF(TabelaClean14[[#This Row],[status]]="Ativo",TabelaClean14[[#This Row],[valor_solicitado]]*1.08,0))</f>
        <v>45360</v>
      </c>
    </row>
    <row r="14" spans="1:55">
      <c r="A14" s="24" t="s">
        <v>81</v>
      </c>
      <c r="B14" s="17" t="s">
        <v>818</v>
      </c>
      <c r="C14" s="25" t="s">
        <v>502</v>
      </c>
      <c r="D14" s="54">
        <v>65</v>
      </c>
      <c r="E14" s="30">
        <v>22205</v>
      </c>
      <c r="F14" s="24" t="str">
        <f>TabelaClean14[[#This Row],[CidadeCPF]]</f>
        <v>Castelo Negro</v>
      </c>
      <c r="G14" s="17" t="str">
        <f>TabelaClean14[[#This Row],[RegiaoCPF]]</f>
        <v>Norte</v>
      </c>
      <c r="H14" s="17" t="str">
        <f>_xlfn.XLOOKUP(TabelaClean14[[#This Row],[cpf]],TabelaDirty[cpfclean],TabelaDirty[cidade])</f>
        <v>Castelo Negro</v>
      </c>
      <c r="I14" s="17" t="str">
        <f>_xlfn.XLOOKUP(TabelaClean14[[#This Row],[cpf]],TabelaDirty[cpfclean],TabelaDirty[regiao])</f>
        <v>Norte</v>
      </c>
      <c r="J14" s="17" t="str">
        <f>PROPER(TabelaClean14[[#This Row],[Coluna1]])</f>
        <v>Norte</v>
      </c>
      <c r="K14" s="17" t="e">
        <f>_xlfn.TEXTBEFORE(TabelaClean14[[#This Row],[CidadeCPF]]," | ")</f>
        <v>#N/A</v>
      </c>
      <c r="L14" s="24" t="e">
        <f>_xlfn.TEXTAFTER(TabelaClean14[[#This Row],[CidadeCPF]]," | ")</f>
        <v>#N/A</v>
      </c>
      <c r="M14" s="26">
        <v>19800</v>
      </c>
      <c r="N14" s="78">
        <v>78500</v>
      </c>
      <c r="O14" s="1" t="s">
        <v>50</v>
      </c>
      <c r="P1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" s="84">
        <v>34</v>
      </c>
      <c r="R14" s="1" t="str" cm="1">
        <f t="array" ref="R14">_xlfn.IFS(TabelaClean14[[#This Row],[qtde_batalhas]]&lt;=10,"Baixo",TabelaClean14[[#This Row],[qtde_batalhas]]&gt;=26,"Alto",TabelaClean14[[#This Row],[qtde_batalhas]]&lt;26,"Médio")</f>
        <v>Alto</v>
      </c>
      <c r="S14" s="1" t="str">
        <f>IF(AND(TabelaClean14[[#This Row],[nivel_risco]]="Alto",TabelaClean14[[#This Row],[flag_inadimplente]]="Sim"),"Arriscado","Ok")</f>
        <v>Ok</v>
      </c>
      <c r="T14" s="26">
        <v>23000</v>
      </c>
      <c r="U1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4" s="1"/>
      <c r="Y14" t="s">
        <v>122</v>
      </c>
      <c r="Z14" t="str">
        <f t="shared" si="0"/>
        <v>Essos</v>
      </c>
      <c r="AE14">
        <v>8600</v>
      </c>
      <c r="AF14" t="str">
        <f>TEXT(AE14,"000\.000\.000\-00")</f>
        <v>000.000.086-00</v>
      </c>
      <c r="AJ14" s="22">
        <v>16300</v>
      </c>
      <c r="AK14">
        <v>16300</v>
      </c>
      <c r="AM14" s="21">
        <v>16500</v>
      </c>
      <c r="AN14">
        <v>16500</v>
      </c>
      <c r="AO14">
        <v>16500</v>
      </c>
      <c r="AQ14" t="s">
        <v>148</v>
      </c>
      <c r="AZ14" s="38" t="s">
        <v>819</v>
      </c>
      <c r="BA14" t="s">
        <v>148</v>
      </c>
      <c r="BB14" s="26">
        <v>19800</v>
      </c>
      <c r="BC1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5" spans="1:55">
      <c r="A15" s="24" t="s">
        <v>81</v>
      </c>
      <c r="B15" s="17" t="s">
        <v>818</v>
      </c>
      <c r="C15" s="25" t="s">
        <v>502</v>
      </c>
      <c r="D15" s="54">
        <v>65</v>
      </c>
      <c r="E15" s="30">
        <v>22205</v>
      </c>
      <c r="F15" s="25" t="s">
        <v>141</v>
      </c>
      <c r="G15" s="25" t="s">
        <v>142</v>
      </c>
      <c r="H15" s="24">
        <v>19800</v>
      </c>
      <c r="I15" s="24">
        <v>78500</v>
      </c>
      <c r="J15" s="24" t="s">
        <v>50</v>
      </c>
      <c r="K15" s="24">
        <v>34</v>
      </c>
      <c r="L15" s="24"/>
      <c r="M15" s="26">
        <v>84000</v>
      </c>
      <c r="N15" s="78">
        <v>78500</v>
      </c>
      <c r="O15" s="1" t="s">
        <v>50</v>
      </c>
      <c r="P15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" s="84">
        <v>34</v>
      </c>
      <c r="R15" s="76" t="str" cm="1">
        <f t="array" ref="R15">_xlfn.IFS(TabelaClean14[[#This Row],[qtde_batalhas]]&lt;=10,"Baixo",TabelaClean14[[#This Row],[qtde_batalhas]]&gt;=26,"Alto",TabelaClean14[[#This Row],[qtde_batalhas]]&lt;26,"Médio")</f>
        <v>Alto</v>
      </c>
      <c r="S15" s="76" t="str">
        <f>IF(AND(TabelaClean14[[#This Row],[nivel_risco]]="Alto",TabelaClean14[[#This Row],[flag_inadimplente]]="Sim"),"Arriscado","Ok")</f>
        <v>Ok</v>
      </c>
      <c r="T15" s="26">
        <v>84000</v>
      </c>
      <c r="U1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5" s="1"/>
      <c r="Y15" t="s">
        <v>809</v>
      </c>
      <c r="Z15" t="str">
        <f t="shared" si="0"/>
        <v>Null</v>
      </c>
      <c r="AE15">
        <v>9600</v>
      </c>
      <c r="AF15" t="str">
        <f>TEXT(AE15,"000\.000\.000\-00")</f>
        <v>000.000.096-00</v>
      </c>
      <c r="AJ15" s="22">
        <v>16100</v>
      </c>
      <c r="AK15">
        <v>16100</v>
      </c>
      <c r="AM15" s="20">
        <v>8000</v>
      </c>
      <c r="AN15">
        <v>8000</v>
      </c>
      <c r="AO15">
        <v>8000</v>
      </c>
      <c r="AQ15" t="s">
        <v>162</v>
      </c>
      <c r="AZ15" s="39" t="s">
        <v>312</v>
      </c>
      <c r="BA15" t="s">
        <v>162</v>
      </c>
      <c r="BB15" s="26">
        <v>84000</v>
      </c>
      <c r="BC1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6" spans="1:55">
      <c r="A16" s="24" t="s">
        <v>76</v>
      </c>
      <c r="B16" s="17" t="s">
        <v>359</v>
      </c>
      <c r="C16" s="25" t="s">
        <v>820</v>
      </c>
      <c r="D16" s="54">
        <v>47</v>
      </c>
      <c r="E16" s="30">
        <v>29031</v>
      </c>
      <c r="F16" s="17" t="str">
        <f>TabelaClean14[[#This Row],[CidadeClean]]</f>
        <v>Meereen</v>
      </c>
      <c r="G16" s="17" t="str">
        <f>TabelaClean14[[#This Row],[RegiaoClean]]</f>
        <v>Essos</v>
      </c>
      <c r="H16" s="17" t="str">
        <f>_xlfn.XLOOKUP(TabelaClean14[[#This Row],[cpf]],TabelaDirty[cpfclean],TabelaDirty[cidade])</f>
        <v>Meereen | Essos</v>
      </c>
      <c r="I16" s="17">
        <f>_xlfn.XLOOKUP(TabelaClean14[[#This Row],[cpf]],TabelaDirty[cpfclean],TabelaDirty[regiao])</f>
        <v>0</v>
      </c>
      <c r="J16" s="17" t="s">
        <v>122</v>
      </c>
      <c r="K16" s="17" t="str">
        <f>_xlfn.TEXTBEFORE(TabelaClean14[[#This Row],[CidadeCPF]]," | ")</f>
        <v>Meereen</v>
      </c>
      <c r="L16" s="24" t="str">
        <f>_xlfn.TEXTAFTER(TabelaClean14[[#This Row],[CidadeCPF]]," | ")</f>
        <v>Essos</v>
      </c>
      <c r="M16" s="26">
        <v>28400</v>
      </c>
      <c r="N16" s="78">
        <v>78000</v>
      </c>
      <c r="O16" s="1" t="s">
        <v>50</v>
      </c>
      <c r="P1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" s="84">
        <v>37</v>
      </c>
      <c r="R16" s="1" t="str" cm="1">
        <f t="array" ref="R16">_xlfn.IFS(TabelaClean14[[#This Row],[qtde_batalhas]]&lt;=10,"Baixo",TabelaClean14[[#This Row],[qtde_batalhas]]&gt;=26,"Alto",TabelaClean14[[#This Row],[qtde_batalhas]]&lt;26,"Médio")</f>
        <v>Alto</v>
      </c>
      <c r="S16" s="1" t="str">
        <f>IF(AND(TabelaClean14[[#This Row],[nivel_risco]]="Alto",TabelaClean14[[#This Row],[flag_inadimplente]]="Sim"),"Arriscado","Ok")</f>
        <v>Ok</v>
      </c>
      <c r="T16" s="26">
        <v>99000</v>
      </c>
      <c r="U16" s="81">
        <f>IF(AND(TabelaClean14[[#This Row],[analise_risco]]="Arriscado",TabelaClean14[[#This Row],[analise_credito]]="Reprovado"),0,IF(TabelaClean14[[#This Row],[status]]="Ativo",TabelaClean14[[#This Row],[valor_solicitado]]*1.08,0))</f>
        <v>106920</v>
      </c>
      <c r="W16" s="1"/>
      <c r="Y16" t="s">
        <v>809</v>
      </c>
      <c r="Z16" t="str">
        <f t="shared" si="0"/>
        <v>Null</v>
      </c>
      <c r="AE16">
        <v>9800</v>
      </c>
      <c r="AF16" t="str">
        <f>TEXT(AE16,"000\.000\.000\-00")</f>
        <v>000.000.098-00</v>
      </c>
      <c r="AJ16" s="22">
        <v>19400</v>
      </c>
      <c r="AK16">
        <v>19400</v>
      </c>
      <c r="AM16" s="21">
        <v>4000</v>
      </c>
      <c r="AN16">
        <v>4000</v>
      </c>
      <c r="AO16">
        <v>4000</v>
      </c>
      <c r="AQ16" t="s">
        <v>141</v>
      </c>
      <c r="AZ16" s="38" t="s">
        <v>249</v>
      </c>
      <c r="BA16" t="s">
        <v>141</v>
      </c>
      <c r="BB16" s="26">
        <v>28400</v>
      </c>
      <c r="BC16" s="81">
        <f>IF(AND(TabelaClean14[[#This Row],[analise_risco]]="Arriscado",TabelaClean14[[#This Row],[analise_credito]]="Reprovado"),0,IF(TabelaClean14[[#This Row],[status]]="Ativo",TabelaClean14[[#This Row],[valor_solicitado]]*1.08,0))</f>
        <v>106920</v>
      </c>
    </row>
    <row r="17" spans="1:55">
      <c r="A17" s="24" t="s">
        <v>81</v>
      </c>
      <c r="B17" s="17" t="s">
        <v>467</v>
      </c>
      <c r="C17" s="25" t="s">
        <v>468</v>
      </c>
      <c r="D17" s="54">
        <v>33</v>
      </c>
      <c r="E17" s="30">
        <v>34154</v>
      </c>
      <c r="F17" s="24" t="str">
        <f>TabelaClean14[[#This Row],[CidadeCPF]]</f>
        <v>Castelo Negro</v>
      </c>
      <c r="G17" s="17" t="str">
        <f>TabelaClean14[[#This Row],[RegiaoCPF]]</f>
        <v>Norte</v>
      </c>
      <c r="H17" s="17" t="str">
        <f>_xlfn.XLOOKUP(TabelaClean14[[#This Row],[cpf]],TabelaDirty[cpfclean],TabelaDirty[cidade])</f>
        <v>Castelo Negro</v>
      </c>
      <c r="I17" s="17" t="str">
        <f>_xlfn.XLOOKUP(TabelaClean14[[#This Row],[cpf]],TabelaDirty[cpfclean],TabelaDirty[regiao])</f>
        <v>Norte</v>
      </c>
      <c r="J17" s="17" t="str">
        <f>PROPER(TabelaClean14[[#This Row],[Coluna1]])</f>
        <v>Norte</v>
      </c>
      <c r="K17" s="17" t="e">
        <f>_xlfn.TEXTBEFORE(TabelaClean14[[#This Row],[CidadeCPF]]," | ")</f>
        <v>#N/A</v>
      </c>
      <c r="L17" s="24" t="e">
        <f>_xlfn.TEXTAFTER(TabelaClean14[[#This Row],[CidadeCPF]]," | ")</f>
        <v>#N/A</v>
      </c>
      <c r="M17" s="26">
        <v>2400</v>
      </c>
      <c r="N17" s="78">
        <v>78000</v>
      </c>
      <c r="O17" s="1" t="s">
        <v>50</v>
      </c>
      <c r="P1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" s="84">
        <v>6</v>
      </c>
      <c r="R17" s="1" t="str" cm="1">
        <f t="array" ref="R17">_xlfn.IFS(TabelaClean14[[#This Row],[qtde_batalhas]]&lt;=10,"Baixo",TabelaClean14[[#This Row],[qtde_batalhas]]&gt;=26,"Alto",TabelaClean14[[#This Row],[qtde_batalhas]]&lt;26,"Médio")</f>
        <v>Baixo</v>
      </c>
      <c r="S17" s="1" t="str">
        <f>IF(AND(TabelaClean14[[#This Row],[nivel_risco]]="Alto",TabelaClean14[[#This Row],[flag_inadimplente]]="Sim"),"Arriscado","Ok")</f>
        <v>Ok</v>
      </c>
      <c r="T17" s="26">
        <v>28000</v>
      </c>
      <c r="U1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7" s="1"/>
      <c r="Y17" t="s">
        <v>809</v>
      </c>
      <c r="Z17" t="str">
        <f t="shared" si="0"/>
        <v>Null</v>
      </c>
      <c r="AE17">
        <v>9900</v>
      </c>
      <c r="AF17" t="str">
        <f>TEXT(AE17,"000\.000\.000\-00")</f>
        <v>000.000.099-00</v>
      </c>
      <c r="AJ17" s="22" t="s">
        <v>91</v>
      </c>
      <c r="AK17">
        <v>21500</v>
      </c>
      <c r="AM17" s="20" t="s">
        <v>92</v>
      </c>
      <c r="AN17" t="s">
        <v>809</v>
      </c>
      <c r="AO17" t="s">
        <v>809</v>
      </c>
      <c r="AQ17" t="s">
        <v>302</v>
      </c>
      <c r="AZ17" s="39" t="s">
        <v>821</v>
      </c>
      <c r="BA17" t="s">
        <v>302</v>
      </c>
      <c r="BB17" s="26">
        <v>2400</v>
      </c>
      <c r="BC1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8" spans="1:55">
      <c r="A18" s="24" t="s">
        <v>81</v>
      </c>
      <c r="B18" s="17" t="s">
        <v>511</v>
      </c>
      <c r="C18" s="25" t="s">
        <v>512</v>
      </c>
      <c r="D18" s="54">
        <v>66</v>
      </c>
      <c r="E18" s="30">
        <v>21954</v>
      </c>
      <c r="F18" s="24" t="str">
        <f>TabelaClean14[[#This Row],[CidadeCPF]]</f>
        <v>Porto Real</v>
      </c>
      <c r="G18" s="17" t="str">
        <f>TabelaClean14[[#This Row],[RegiaoCPF]]</f>
        <v>Terras Da Coroa</v>
      </c>
      <c r="H18" s="17" t="str">
        <f>_xlfn.XLOOKUP(TabelaClean14[[#This Row],[cpf]],TabelaDirty[cpfclean],TabelaDirty[cidade])</f>
        <v>Porto Real</v>
      </c>
      <c r="I18" s="17" t="str">
        <f>_xlfn.XLOOKUP(TabelaClean14[[#This Row],[cpf]],TabelaDirty[cpfclean],TabelaDirty[regiao])</f>
        <v>TERRAS DA COROA</v>
      </c>
      <c r="J18" s="17" t="str">
        <f>PROPER(TabelaClean14[[#This Row],[Coluna1]])</f>
        <v>Terras Da Coroa</v>
      </c>
      <c r="K18" s="17" t="e">
        <f>_xlfn.TEXTBEFORE(TabelaClean14[[#This Row],[CidadeCPF]]," | ")</f>
        <v>#N/A</v>
      </c>
      <c r="L18" s="24" t="e">
        <f>_xlfn.TEXTAFTER(TabelaClean14[[#This Row],[CidadeCPF]]," | ")</f>
        <v>#N/A</v>
      </c>
      <c r="M18" s="26">
        <v>3400</v>
      </c>
      <c r="N18" s="78">
        <v>78000</v>
      </c>
      <c r="O18" s="1" t="s">
        <v>50</v>
      </c>
      <c r="P1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" s="84">
        <v>9</v>
      </c>
      <c r="R18" s="1" t="str" cm="1">
        <f t="array" ref="R18">_xlfn.IFS(TabelaClean14[[#This Row],[qtde_batalhas]]&lt;=10,"Baixo",TabelaClean14[[#This Row],[qtde_batalhas]]&gt;=26,"Alto",TabelaClean14[[#This Row],[qtde_batalhas]]&lt;26,"Médio")</f>
        <v>Baixo</v>
      </c>
      <c r="S18" s="1" t="str">
        <f>IF(AND(TabelaClean14[[#This Row],[nivel_risco]]="Alto",TabelaClean14[[#This Row],[flag_inadimplente]]="Sim"),"Arriscado","Ok")</f>
        <v>Ok</v>
      </c>
      <c r="T18" s="26">
        <v>51500</v>
      </c>
      <c r="U1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8" s="1"/>
      <c r="Y18" t="s">
        <v>809</v>
      </c>
      <c r="Z18" t="str">
        <f t="shared" si="0"/>
        <v>Null</v>
      </c>
      <c r="AE18">
        <v>10200</v>
      </c>
      <c r="AF18" t="str">
        <f>TEXT(AE18,"000\.000\.000\-00")</f>
        <v>000.000.102-00</v>
      </c>
      <c r="AJ18" s="22">
        <v>13800</v>
      </c>
      <c r="AK18">
        <v>13800</v>
      </c>
      <c r="AM18" s="21">
        <v>41500</v>
      </c>
      <c r="AN18">
        <v>41500</v>
      </c>
      <c r="AO18">
        <v>41500</v>
      </c>
      <c r="AQ18" t="s">
        <v>215</v>
      </c>
      <c r="AZ18" s="38" t="s">
        <v>787</v>
      </c>
      <c r="BA18" t="s">
        <v>215</v>
      </c>
      <c r="BB18" s="26">
        <v>3400</v>
      </c>
      <c r="BC1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9" spans="1:55">
      <c r="A19" s="24" t="s">
        <v>443</v>
      </c>
      <c r="B19" s="17" t="s">
        <v>822</v>
      </c>
      <c r="C19" t="str">
        <f>_xlfn.XLOOKUP(TabelaClean14[[#This Row],[nome]],Base_Dirty!$B:$B,Base_Dirty!D:D)</f>
        <v>000.000.000-00</v>
      </c>
      <c r="D19" s="54">
        <f>_xlfn.XLOOKUP(TabelaClean14[[#This Row],[nome]],Base_Dirty!B:B,Base_Dirty!E:E)</f>
        <v>61</v>
      </c>
      <c r="E19" s="51">
        <f>_xlfn.XLOOKUP(TabelaClean14[[#This Row],[nome]],Base_Dirty!$B:$B,Base_Dirty!F:F)</f>
        <v>23932</v>
      </c>
      <c r="F19" s="17" t="s">
        <v>138</v>
      </c>
      <c r="G19" s="17" t="s">
        <v>139</v>
      </c>
      <c r="H19" s="24" t="s">
        <v>139</v>
      </c>
      <c r="I19" s="24">
        <v>4100</v>
      </c>
      <c r="J19" s="24">
        <v>78000</v>
      </c>
      <c r="K19" s="24" t="s">
        <v>50</v>
      </c>
      <c r="L19" s="24">
        <v>25</v>
      </c>
      <c r="M19" s="23">
        <f>_xlfn.XLOOKUP(TabelaClean14[[#This Row],[nome]],Base_Dirty!$B:$B,Base_Dirty!I:I)</f>
        <v>4100</v>
      </c>
      <c r="N19" s="78">
        <f>_xlfn.XLOOKUP(TabelaClean14[[#This Row],[nome]],Base_Dirty!$B:$B,Base_Dirty!J:J)</f>
        <v>78000</v>
      </c>
      <c r="O19" s="79" t="s">
        <v>50</v>
      </c>
      <c r="P19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" s="84">
        <f>_xlfn.XLOOKUP(TabelaClean14[[#This Row],[nome]],Base_Dirty!$B:$B,Base_Dirty!L:L)</f>
        <v>25</v>
      </c>
      <c r="R19" s="76" t="str" cm="1">
        <f t="array" ref="R19">_xlfn.IFS(TabelaClean14[[#This Row],[qtde_batalhas]]&lt;=10,"Baixo",TabelaClean14[[#This Row],[qtde_batalhas]]&gt;=26,"Alto",TabelaClean14[[#This Row],[qtde_batalhas]]&lt;26,"Médio")</f>
        <v>Médio</v>
      </c>
      <c r="S19" s="76" t="str">
        <f>IF(AND(TabelaClean14[[#This Row],[nivel_risco]]="Alto",TabelaClean14[[#This Row],[flag_inadimplente]]="Sim"),"Arriscado","Ok")</f>
        <v>Ok</v>
      </c>
      <c r="T19" s="26">
        <f>_xlfn.XLOOKUP(TabelaClean14[[#This Row],[nome]],Base_Dirty!$B:$B,Base_Dirty!O:O)</f>
        <v>48000</v>
      </c>
      <c r="U1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9" s="1"/>
      <c r="Y19" t="s">
        <v>809</v>
      </c>
      <c r="Z19" t="str">
        <f t="shared" si="0"/>
        <v>Null</v>
      </c>
      <c r="AE19">
        <v>10800</v>
      </c>
      <c r="AF19" t="str">
        <f>TEXT(AE19,"000\.000\.000\-00")</f>
        <v>000.000.108-00</v>
      </c>
      <c r="AJ19" s="22">
        <v>8400</v>
      </c>
      <c r="AK19">
        <v>8400</v>
      </c>
      <c r="AM19" s="20">
        <v>62500</v>
      </c>
      <c r="AN19">
        <v>62500</v>
      </c>
      <c r="AO19">
        <v>62500</v>
      </c>
      <c r="AQ19" t="s">
        <v>162</v>
      </c>
      <c r="AZ19" s="39" t="s">
        <v>300</v>
      </c>
      <c r="BA19" t="s">
        <v>162</v>
      </c>
      <c r="BB19" s="23">
        <f>_xlfn.XLOOKUP(TabelaClean14[[#This Row],[nome]],Base_Dirty!$B:$B,Base_Dirty!AX:AX)</f>
        <v>0</v>
      </c>
      <c r="BC1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0" spans="1:55">
      <c r="A20" s="24" t="s">
        <v>81</v>
      </c>
      <c r="B20" s="17" t="s">
        <v>678</v>
      </c>
      <c r="C20" s="25" t="s">
        <v>679</v>
      </c>
      <c r="D20" s="54">
        <v>55</v>
      </c>
      <c r="E20" s="30">
        <v>26142</v>
      </c>
      <c r="F20" s="24" t="str">
        <f>TabelaClean14[[#This Row],[CidadeCPF]]</f>
        <v>Ninho da Águia</v>
      </c>
      <c r="G20" s="17" t="str">
        <f>TabelaClean14[[#This Row],[RegiaoCPF]]</f>
        <v>Vale</v>
      </c>
      <c r="H20" s="17" t="str">
        <f>_xlfn.XLOOKUP(TabelaClean14[[#This Row],[cpf]],TabelaDirty[cpfclean],TabelaDirty[cidade])</f>
        <v>Ninho da Águia</v>
      </c>
      <c r="I20" s="17" t="str">
        <f>_xlfn.XLOOKUP(TabelaClean14[[#This Row],[cpf]],TabelaDirty[cpfclean],TabelaDirty[regiao])</f>
        <v>VALE</v>
      </c>
      <c r="J20" s="17" t="str">
        <f>PROPER(TabelaClean14[[#This Row],[Coluna1]])</f>
        <v>Vale</v>
      </c>
      <c r="K20" s="17" t="e">
        <f>_xlfn.TEXTBEFORE(TabelaClean14[[#This Row],[CidadeCPF]]," | ")</f>
        <v>#N/A</v>
      </c>
      <c r="L20" s="24" t="e">
        <f>_xlfn.TEXTAFTER(TabelaClean14[[#This Row],[CidadeCPF]]," | ")</f>
        <v>#N/A</v>
      </c>
      <c r="M20" s="26">
        <v>29700</v>
      </c>
      <c r="N20" s="78">
        <v>78000</v>
      </c>
      <c r="O20" s="1" t="s">
        <v>51</v>
      </c>
      <c r="P2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20" s="84">
        <v>14</v>
      </c>
      <c r="R20" s="1" t="str" cm="1">
        <f t="array" ref="R20">_xlfn.IFS(TabelaClean14[[#This Row],[qtde_batalhas]]&lt;=10,"Baixo",TabelaClean14[[#This Row],[qtde_batalhas]]&gt;=26,"Alto",TabelaClean14[[#This Row],[qtde_batalhas]]&lt;26,"Médio")</f>
        <v>Médio</v>
      </c>
      <c r="S20" s="1" t="str">
        <f>IF(AND(TabelaClean14[[#This Row],[nivel_risco]]="Alto",TabelaClean14[[#This Row],[flag_inadimplente]]="Sim"),"Arriscado","Ok")</f>
        <v>Ok</v>
      </c>
      <c r="T20" s="26">
        <v>27000</v>
      </c>
      <c r="U2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0" s="1"/>
      <c r="Y20" t="s">
        <v>132</v>
      </c>
      <c r="Z20" t="str">
        <f t="shared" si="0"/>
        <v>Ilhas De Ferro</v>
      </c>
      <c r="AE20">
        <v>11600</v>
      </c>
      <c r="AF20" t="str">
        <f>TEXT(AE20,"000\.000\.000\-00")</f>
        <v>000.000.116-00</v>
      </c>
      <c r="AJ20" s="22" t="s">
        <v>133</v>
      </c>
      <c r="AK20">
        <v>17600</v>
      </c>
      <c r="AM20" s="21">
        <v>0</v>
      </c>
      <c r="AN20">
        <v>0</v>
      </c>
      <c r="AO20">
        <v>0</v>
      </c>
      <c r="AQ20" t="s">
        <v>215</v>
      </c>
      <c r="AZ20" s="38" t="s">
        <v>798</v>
      </c>
      <c r="BA20" t="s">
        <v>215</v>
      </c>
      <c r="BB20" s="26">
        <v>29700</v>
      </c>
      <c r="BC2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1" spans="1:55">
      <c r="A21" s="24" t="s">
        <v>81</v>
      </c>
      <c r="B21" s="17" t="s">
        <v>547</v>
      </c>
      <c r="C21" s="25" t="s">
        <v>548</v>
      </c>
      <c r="D21" s="54">
        <v>66</v>
      </c>
      <c r="E21" s="30">
        <v>22039</v>
      </c>
      <c r="F21" s="24" t="str">
        <f>TabelaClean14[[#This Row],[CidadeCPF]]</f>
        <v>Dorne</v>
      </c>
      <c r="G21" s="17" t="str">
        <f>TabelaClean14[[#This Row],[RegiaoCPF]]</f>
        <v>Dorne</v>
      </c>
      <c r="H21" s="17" t="str">
        <f>_xlfn.XLOOKUP(TabelaClean14[[#This Row],[cpf]],TabelaDirty[cpfclean],TabelaDirty[cidade])</f>
        <v>Dorne</v>
      </c>
      <c r="I21" s="17" t="str">
        <f>_xlfn.XLOOKUP(TabelaClean14[[#This Row],[cpf]],TabelaDirty[cpfclean],TabelaDirty[regiao])</f>
        <v>dorne</v>
      </c>
      <c r="J21" s="17" t="str">
        <f>PROPER(TabelaClean14[[#This Row],[Coluna1]])</f>
        <v>Dorne</v>
      </c>
      <c r="K21" s="17" t="e">
        <f>_xlfn.TEXTBEFORE(TabelaClean14[[#This Row],[CidadeCPF]]," | ")</f>
        <v>#N/A</v>
      </c>
      <c r="L21" s="24" t="e">
        <f>_xlfn.TEXTAFTER(TabelaClean14[[#This Row],[CidadeCPF]]," | ")</f>
        <v>#N/A</v>
      </c>
      <c r="M21" s="26">
        <v>14300</v>
      </c>
      <c r="N21" s="78">
        <v>78000</v>
      </c>
      <c r="O21" s="1" t="s">
        <v>50</v>
      </c>
      <c r="P2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" s="84">
        <v>28</v>
      </c>
      <c r="R21" s="1" t="str" cm="1">
        <f t="array" ref="R21">_xlfn.IFS(TabelaClean14[[#This Row],[qtde_batalhas]]&lt;=10,"Baixo",TabelaClean14[[#This Row],[qtde_batalhas]]&gt;=26,"Alto",TabelaClean14[[#This Row],[qtde_batalhas]]&lt;26,"Médio")</f>
        <v>Alto</v>
      </c>
      <c r="S21" s="1" t="str">
        <f>IF(AND(TabelaClean14[[#This Row],[nivel_risco]]="Alto",TabelaClean14[[#This Row],[flag_inadimplente]]="Sim"),"Arriscado","Ok")</f>
        <v>Ok</v>
      </c>
      <c r="T21" s="26">
        <v>74500</v>
      </c>
      <c r="U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1" s="1"/>
      <c r="Y21" t="s">
        <v>809</v>
      </c>
      <c r="Z21" t="str">
        <f t="shared" si="0"/>
        <v>Null</v>
      </c>
      <c r="AE21">
        <v>11700</v>
      </c>
      <c r="AF21" t="str">
        <f>TEXT(AE21,"000\.000\.000\-00")</f>
        <v>000.000.117-00</v>
      </c>
      <c r="AJ21" s="22">
        <v>28900</v>
      </c>
      <c r="AK21">
        <v>28900</v>
      </c>
      <c r="AM21" s="20">
        <v>71000</v>
      </c>
      <c r="AN21">
        <v>71000</v>
      </c>
      <c r="AO21">
        <v>71000</v>
      </c>
      <c r="AQ21" t="s">
        <v>127</v>
      </c>
      <c r="AZ21" s="39" t="s">
        <v>355</v>
      </c>
      <c r="BA21" t="s">
        <v>127</v>
      </c>
      <c r="BB21" s="26">
        <v>14300</v>
      </c>
      <c r="BC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2" spans="1:55">
      <c r="A22" s="24" t="s">
        <v>81</v>
      </c>
      <c r="B22" s="17" t="s">
        <v>82</v>
      </c>
      <c r="C22" s="25" t="s">
        <v>823</v>
      </c>
      <c r="D22" s="54">
        <v>24</v>
      </c>
      <c r="E22" s="30">
        <v>37313</v>
      </c>
      <c r="F22" s="24" t="str">
        <f>TabelaClean14[[#This Row],[CidadeCPF]]</f>
        <v>Ponta Tempestade</v>
      </c>
      <c r="G22" s="17" t="str">
        <f>TabelaClean14[[#This Row],[RegiaoCPF]]</f>
        <v>Terras Da Tempestade</v>
      </c>
      <c r="H22" s="17" t="str">
        <f>_xlfn.XLOOKUP(TabelaClean14[[#This Row],[cpf]],TabelaDirty[cpfclean],TabelaDirty[cidade])</f>
        <v>Ponta Tempestade</v>
      </c>
      <c r="I22" s="17" t="str">
        <f>_xlfn.XLOOKUP(TabelaClean14[[#This Row],[cpf]],TabelaDirty[cpfclean],TabelaDirty[regiao])</f>
        <v>Terras da Tempestade</v>
      </c>
      <c r="J22" s="17" t="str">
        <f>PROPER(TabelaClean14[[#This Row],[Coluna1]])</f>
        <v>Terras Da Tempestade</v>
      </c>
      <c r="K22" s="17" t="e">
        <f>_xlfn.TEXTBEFORE(TabelaClean14[[#This Row],[CidadeCPF]]," | ")</f>
        <v>#N/A</v>
      </c>
      <c r="L22" s="24" t="e">
        <f>_xlfn.TEXTAFTER(TabelaClean14[[#This Row],[CidadeCPF]]," | ")</f>
        <v>#N/A</v>
      </c>
      <c r="M22" s="26">
        <v>11000</v>
      </c>
      <c r="N22" s="78">
        <v>76500</v>
      </c>
      <c r="O22" s="1" t="s">
        <v>51</v>
      </c>
      <c r="P2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22" s="84">
        <v>33</v>
      </c>
      <c r="R22" s="1" t="str" cm="1">
        <f t="array" ref="R22">_xlfn.IFS(TabelaClean14[[#This Row],[qtde_batalhas]]&lt;=10,"Baixo",TabelaClean14[[#This Row],[qtde_batalhas]]&gt;=26,"Alto",TabelaClean14[[#This Row],[qtde_batalhas]]&lt;26,"Médio")</f>
        <v>Alto</v>
      </c>
      <c r="S22" s="1" t="str">
        <f>IF(AND(TabelaClean14[[#This Row],[nivel_risco]]="Alto",TabelaClean14[[#This Row],[flag_inadimplente]]="Sim"),"Arriscado","Ok")</f>
        <v>Arriscado</v>
      </c>
      <c r="T22" s="26">
        <v>26000</v>
      </c>
      <c r="U2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2" s="1"/>
      <c r="Y22" t="s">
        <v>331</v>
      </c>
      <c r="Z22" t="str">
        <f t="shared" si="0"/>
        <v>Terras Da Coroa</v>
      </c>
      <c r="AE22">
        <v>12700</v>
      </c>
      <c r="AF22" t="str">
        <f>TEXT(AE22,"000\.000\.000\-00")</f>
        <v>000.000.127-00</v>
      </c>
      <c r="AJ22" s="22">
        <v>12700</v>
      </c>
      <c r="AK22">
        <v>12700</v>
      </c>
      <c r="AM22" s="21">
        <v>79500</v>
      </c>
      <c r="AN22">
        <v>79500</v>
      </c>
      <c r="AO22">
        <v>79500</v>
      </c>
      <c r="AQ22" t="s">
        <v>83</v>
      </c>
      <c r="AZ22" s="38" t="s">
        <v>400</v>
      </c>
      <c r="BA22" t="s">
        <v>83</v>
      </c>
      <c r="BB22" s="26">
        <v>11000</v>
      </c>
      <c r="BC2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3" spans="1:55">
      <c r="A23" s="24" t="s">
        <v>76</v>
      </c>
      <c r="B23" s="17" t="s">
        <v>524</v>
      </c>
      <c r="C23" s="25" t="s">
        <v>525</v>
      </c>
      <c r="D23" s="54">
        <v>37</v>
      </c>
      <c r="E23" s="30">
        <v>32414</v>
      </c>
      <c r="F23" s="17" t="str">
        <f>TabelaClean14[[#This Row],[CidadeClean]]</f>
        <v>Pedra do Dragão</v>
      </c>
      <c r="G23" s="17" t="str">
        <f>TabelaClean14[[#This Row],[RegiaoClean]]</f>
        <v>Terras da Coroa</v>
      </c>
      <c r="H23" s="17" t="str">
        <f>_xlfn.XLOOKUP(TabelaClean14[[#This Row],[cpf]],TabelaDirty[cpfclean],TabelaDirty[cidade])</f>
        <v>Pedra do Dragão | Terras da Coroa</v>
      </c>
      <c r="I23" s="17">
        <f>_xlfn.XLOOKUP(TabelaClean14[[#This Row],[cpf]],TabelaDirty[cpfclean],TabelaDirty[regiao])</f>
        <v>0</v>
      </c>
      <c r="J23" s="17" t="s">
        <v>824</v>
      </c>
      <c r="K23" s="17" t="str">
        <f>_xlfn.TEXTBEFORE(TabelaClean14[[#This Row],[CidadeCPF]]," | ")</f>
        <v>Pedra do Dragão</v>
      </c>
      <c r="L23" s="24" t="str">
        <f>_xlfn.TEXTAFTER(TabelaClean14[[#This Row],[CidadeCPF]]," | ")</f>
        <v>Terras da Coroa</v>
      </c>
      <c r="M23" s="26">
        <v>12800</v>
      </c>
      <c r="N23" s="78">
        <v>76500</v>
      </c>
      <c r="O23" s="1" t="s">
        <v>50</v>
      </c>
      <c r="P2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" s="84">
        <v>30</v>
      </c>
      <c r="R23" s="1" t="str" cm="1">
        <f t="array" ref="R23">_xlfn.IFS(TabelaClean14[[#This Row],[qtde_batalhas]]&lt;=10,"Baixo",TabelaClean14[[#This Row],[qtde_batalhas]]&gt;=26,"Alto",TabelaClean14[[#This Row],[qtde_batalhas]]&lt;26,"Médio")</f>
        <v>Alto</v>
      </c>
      <c r="S23" s="1" t="str">
        <f>IF(AND(TabelaClean14[[#This Row],[nivel_risco]]="Alto",TabelaClean14[[#This Row],[flag_inadimplente]]="Sim"),"Arriscado","Ok")</f>
        <v>Ok</v>
      </c>
      <c r="T23" s="26">
        <v>18500</v>
      </c>
      <c r="U23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  <c r="W23" s="1"/>
      <c r="Y23" t="s">
        <v>809</v>
      </c>
      <c r="Z23" t="str">
        <f t="shared" si="0"/>
        <v>Null</v>
      </c>
      <c r="AE23">
        <v>13200</v>
      </c>
      <c r="AF23" t="str">
        <f>TEXT(AE23,"000\.000\.000\-00")</f>
        <v>000.000.132-00</v>
      </c>
      <c r="AJ23" s="22">
        <v>22100</v>
      </c>
      <c r="AK23">
        <v>22100</v>
      </c>
      <c r="AM23" s="20">
        <v>41500</v>
      </c>
      <c r="AN23">
        <v>41500</v>
      </c>
      <c r="AO23">
        <v>41500</v>
      </c>
      <c r="AQ23" t="s">
        <v>121</v>
      </c>
      <c r="AZ23" s="39" t="s">
        <v>125</v>
      </c>
      <c r="BA23" t="s">
        <v>121</v>
      </c>
      <c r="BB23" s="26">
        <v>12800</v>
      </c>
      <c r="BC23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</row>
    <row r="24" spans="1:55">
      <c r="A24" s="24" t="s">
        <v>76</v>
      </c>
      <c r="B24" s="17" t="s">
        <v>319</v>
      </c>
      <c r="C24" s="25" t="s">
        <v>320</v>
      </c>
      <c r="D24" s="54">
        <v>35</v>
      </c>
      <c r="E24" s="30" t="s">
        <v>809</v>
      </c>
      <c r="F24" s="24" t="str">
        <f>TabelaClean14[[#This Row],[CidadeCPF]]</f>
        <v>Vilavelha</v>
      </c>
      <c r="G24" s="17" t="str">
        <f>TabelaClean14[[#This Row],[RegiaoCPF]]</f>
        <v>Campina</v>
      </c>
      <c r="H24" s="17" t="str">
        <f>_xlfn.XLOOKUP(TabelaClean14[[#This Row],[cpf]],TabelaDirty[cpfclean],TabelaDirty[cidade])</f>
        <v>Vilavelha</v>
      </c>
      <c r="I24" s="17" t="str">
        <f>_xlfn.XLOOKUP(TabelaClean14[[#This Row],[cpf]],TabelaDirty[cpfclean],TabelaDirty[regiao])</f>
        <v>Campina</v>
      </c>
      <c r="J24" s="17" t="str">
        <f>PROPER(TabelaClean14[[#This Row],[Coluna1]])</f>
        <v>Campina</v>
      </c>
      <c r="K24" s="17" t="e">
        <f>_xlfn.TEXTBEFORE(TabelaClean14[[#This Row],[CidadeCPF]]," | ")</f>
        <v>#N/A</v>
      </c>
      <c r="L24" s="24" t="e">
        <f>_xlfn.TEXTAFTER(TabelaClean14[[#This Row],[CidadeCPF]]," | ")</f>
        <v>#N/A</v>
      </c>
      <c r="M24" s="26">
        <v>28000</v>
      </c>
      <c r="N24" s="78">
        <v>76500</v>
      </c>
      <c r="O24" s="1" t="s">
        <v>50</v>
      </c>
      <c r="P2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" s="84">
        <v>39</v>
      </c>
      <c r="R24" s="1" t="str" cm="1">
        <f t="array" ref="R24">_xlfn.IFS(TabelaClean14[[#This Row],[qtde_batalhas]]&lt;=10,"Baixo",TabelaClean14[[#This Row],[qtde_batalhas]]&gt;=26,"Alto",TabelaClean14[[#This Row],[qtde_batalhas]]&lt;26,"Médio")</f>
        <v>Alto</v>
      </c>
      <c r="S24" s="1" t="str">
        <f>IF(AND(TabelaClean14[[#This Row],[nivel_risco]]="Alto",TabelaClean14[[#This Row],[flag_inadimplente]]="Sim"),"Arriscado","Ok")</f>
        <v>Ok</v>
      </c>
      <c r="T24" s="26">
        <v>32000</v>
      </c>
      <c r="U24" s="81">
        <f>IF(AND(TabelaClean14[[#This Row],[analise_risco]]="Arriscado",TabelaClean14[[#This Row],[analise_credito]]="Reprovado"),0,IF(TabelaClean14[[#This Row],[status]]="Ativo",TabelaClean14[[#This Row],[valor_solicitado]]*1.08,0))</f>
        <v>34560</v>
      </c>
      <c r="W24" s="1"/>
      <c r="Y24" t="s">
        <v>809</v>
      </c>
      <c r="Z24" t="str">
        <f t="shared" si="0"/>
        <v>Null</v>
      </c>
      <c r="AE24">
        <v>13700</v>
      </c>
      <c r="AF24" t="str">
        <f>TEXT(AE24,"000\.000\.000\-00")</f>
        <v>000.000.137-00</v>
      </c>
      <c r="AJ24" s="22">
        <v>24500</v>
      </c>
      <c r="AK24">
        <v>24500</v>
      </c>
      <c r="AM24" s="21" t="s">
        <v>92</v>
      </c>
      <c r="AN24" t="s">
        <v>809</v>
      </c>
      <c r="AO24" t="s">
        <v>809</v>
      </c>
      <c r="AQ24" t="s">
        <v>172</v>
      </c>
      <c r="AZ24" s="38" t="s">
        <v>800</v>
      </c>
      <c r="BA24" t="s">
        <v>172</v>
      </c>
      <c r="BB24" s="26">
        <v>28000</v>
      </c>
      <c r="BC24" s="81">
        <f>IF(AND(TabelaClean14[[#This Row],[analise_risco]]="Arriscado",TabelaClean14[[#This Row],[analise_credito]]="Reprovado"),0,IF(TabelaClean14[[#This Row],[status]]="Ativo",TabelaClean14[[#This Row],[valor_solicitado]]*1.08,0))</f>
        <v>34560</v>
      </c>
    </row>
    <row r="25" spans="1:55">
      <c r="A25" s="24" t="s">
        <v>76</v>
      </c>
      <c r="B25" s="17" t="s">
        <v>524</v>
      </c>
      <c r="C25" t="str">
        <f>_xlfn.XLOOKUP(TabelaClean14[[#This Row],[nome]],Base_Dirty!$B:$B,Base_Dirty!D:D)</f>
        <v>000.000.168-00</v>
      </c>
      <c r="D25" s="54">
        <f>_xlfn.XLOOKUP(TabelaClean14[[#This Row],[nome]],Base_Dirty!B:B,Base_Dirty!E:E)</f>
        <v>37</v>
      </c>
      <c r="E25" s="51">
        <f>_xlfn.XLOOKUP(TabelaClean14[[#This Row],[nome]],Base_Dirty!$B:$B,Base_Dirty!F:F)</f>
        <v>32414</v>
      </c>
      <c r="F25" s="17" t="s">
        <v>89</v>
      </c>
      <c r="G25" s="17" t="s">
        <v>413</v>
      </c>
      <c r="H25" s="24" t="str">
        <f>_xlfn.XLOOKUP(TabelaClean14[[#This Row],[cpf]],TabelaDirty[cpfclean],TabelaDirty[cidade])</f>
        <v>Pedra do Dragão | Terras da Coroa</v>
      </c>
      <c r="I25" s="24">
        <v>12800</v>
      </c>
      <c r="J25" s="24">
        <v>76500</v>
      </c>
      <c r="K25" s="24" t="s">
        <v>50</v>
      </c>
      <c r="L25" s="24" t="s">
        <v>466</v>
      </c>
      <c r="M25" s="23">
        <f>_xlfn.XLOOKUP(TabelaClean14[[#This Row],[nome]],Base_Dirty!$B:$B,Base_Dirty!I:I)</f>
        <v>12800</v>
      </c>
      <c r="N25" s="78">
        <f>_xlfn.XLOOKUP(TabelaClean14[[#This Row],[nome]],Base_Dirty!$B:$B,Base_Dirty!J:J)</f>
        <v>76500</v>
      </c>
      <c r="O25" s="79" t="s">
        <v>50</v>
      </c>
      <c r="P25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" s="84">
        <v>30</v>
      </c>
      <c r="R25" s="76" t="str" cm="1">
        <f t="array" ref="R25">_xlfn.IFS(TabelaClean14[[#This Row],[qtde_batalhas]]&lt;=10,"Baixo",TabelaClean14[[#This Row],[qtde_batalhas]]&gt;=26,"Alto",TabelaClean14[[#This Row],[qtde_batalhas]]&lt;26,"Médio")</f>
        <v>Alto</v>
      </c>
      <c r="S25" s="76" t="str">
        <f>IF(AND(TabelaClean14[[#This Row],[nivel_risco]]="Alto",TabelaClean14[[#This Row],[flag_inadimplente]]="Sim"),"Arriscado","Ok")</f>
        <v>Ok</v>
      </c>
      <c r="T25" s="26">
        <f>_xlfn.XLOOKUP(TabelaClean14[[#This Row],[nome]],Base_Dirty!$B:$B,Base_Dirty!O:O)</f>
        <v>18500</v>
      </c>
      <c r="U25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  <c r="W25" s="1"/>
      <c r="Y25" t="s">
        <v>139</v>
      </c>
      <c r="Z25" t="str">
        <f t="shared" si="0"/>
        <v>Terras Fluviais</v>
      </c>
      <c r="AE25">
        <v>14200</v>
      </c>
      <c r="AF25" t="str">
        <f>TEXT(AE25,"000\.000\.000\-00")</f>
        <v>000.000.142-00</v>
      </c>
      <c r="AJ25" s="22">
        <v>24300</v>
      </c>
      <c r="AK25">
        <v>24300</v>
      </c>
      <c r="AM25" s="20">
        <v>13500</v>
      </c>
      <c r="AN25">
        <v>13500</v>
      </c>
      <c r="AO25">
        <v>13500</v>
      </c>
      <c r="AQ25" t="s">
        <v>210</v>
      </c>
      <c r="AZ25" s="39" t="s">
        <v>584</v>
      </c>
      <c r="BA25" t="s">
        <v>210</v>
      </c>
      <c r="BB25" s="23">
        <f>_xlfn.XLOOKUP(TabelaClean14[[#This Row],[nome]],Base_Dirty!$B:$B,Base_Dirty!AX:AX)</f>
        <v>0</v>
      </c>
      <c r="BC25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</row>
    <row r="26" spans="1:55">
      <c r="A26" s="24" t="s">
        <v>76</v>
      </c>
      <c r="B26" s="17" t="s">
        <v>524</v>
      </c>
      <c r="C26" t="str">
        <f>_xlfn.XLOOKUP(TabelaClean14[[#This Row],[nome]],Base_Dirty!$B:$B,Base_Dirty!D:D)</f>
        <v>000.000.168-00</v>
      </c>
      <c r="D26" s="54">
        <f>_xlfn.XLOOKUP(TabelaClean14[[#This Row],[nome]],Base_Dirty!B:B,Base_Dirty!E:E)</f>
        <v>37</v>
      </c>
      <c r="E26" s="30">
        <v>37</v>
      </c>
      <c r="F26" s="17" t="s">
        <v>89</v>
      </c>
      <c r="G26" s="17" t="s">
        <v>90</v>
      </c>
      <c r="H26" s="24" t="str">
        <f>_xlfn.XLOOKUP(TabelaClean14[[#This Row],[cpf]],TabelaDirty[cpfclean],TabelaDirty[cidade])</f>
        <v>Pedra do Dragão | Terras da Coroa</v>
      </c>
      <c r="I26" s="24">
        <v>12800</v>
      </c>
      <c r="J26" s="24">
        <v>76500</v>
      </c>
      <c r="K26" s="24" t="s">
        <v>50</v>
      </c>
      <c r="L26" s="24" t="s">
        <v>466</v>
      </c>
      <c r="M26" s="23">
        <f>_xlfn.XLOOKUP(TabelaClean14[[#This Row],[nome]],Base_Dirty!$B:$B,Base_Dirty!I:I)</f>
        <v>12800</v>
      </c>
      <c r="N26" s="78">
        <f>_xlfn.XLOOKUP(TabelaClean14[[#This Row],[nome]],Base_Dirty!$B:$B,Base_Dirty!J:J)</f>
        <v>76500</v>
      </c>
      <c r="O26" s="79" t="s">
        <v>50</v>
      </c>
      <c r="P2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" s="84">
        <v>30</v>
      </c>
      <c r="R26" s="76" t="str" cm="1">
        <f t="array" ref="R26">_xlfn.IFS(TabelaClean14[[#This Row],[qtde_batalhas]]&lt;=10,"Baixo",TabelaClean14[[#This Row],[qtde_batalhas]]&gt;=26,"Alto",TabelaClean14[[#This Row],[qtde_batalhas]]&lt;26,"Médio")</f>
        <v>Alto</v>
      </c>
      <c r="S26" s="76" t="str">
        <f>IF(AND(TabelaClean14[[#This Row],[nivel_risco]]="Alto",TabelaClean14[[#This Row],[flag_inadimplente]]="Sim"),"Arriscado","Ok")</f>
        <v>Ok</v>
      </c>
      <c r="T26" s="26">
        <f>_xlfn.XLOOKUP(TabelaClean14[[#This Row],[nome]],Base_Dirty!$B:$B,Base_Dirty!O:O)</f>
        <v>18500</v>
      </c>
      <c r="U26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  <c r="W26" s="1"/>
      <c r="Y26" t="s">
        <v>809</v>
      </c>
      <c r="Z26" t="str">
        <f t="shared" si="0"/>
        <v>Null</v>
      </c>
      <c r="AE26">
        <v>15000</v>
      </c>
      <c r="AF26" t="str">
        <f>TEXT(AE26,"000\.000\.000\-00")</f>
        <v>000.000.150-00</v>
      </c>
      <c r="AM26" s="21">
        <v>0</v>
      </c>
      <c r="AN26">
        <v>0</v>
      </c>
      <c r="AO26">
        <v>0</v>
      </c>
      <c r="AQ26" t="s">
        <v>83</v>
      </c>
      <c r="AZ26" s="38" t="s">
        <v>776</v>
      </c>
      <c r="BA26" t="s">
        <v>83</v>
      </c>
      <c r="BB26" s="23">
        <f>_xlfn.XLOOKUP(TabelaClean14[[#This Row],[nome]],Base_Dirty!$B:$B,Base_Dirty!AX:AX)</f>
        <v>0</v>
      </c>
      <c r="BC26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</row>
    <row r="27" spans="1:55">
      <c r="A27" s="24" t="s">
        <v>76</v>
      </c>
      <c r="B27" s="17" t="s">
        <v>384</v>
      </c>
      <c r="C27" s="25" t="s">
        <v>825</v>
      </c>
      <c r="D27" s="54">
        <v>64</v>
      </c>
      <c r="E27" s="30">
        <v>22828</v>
      </c>
      <c r="F27" s="24" t="str">
        <f>TabelaClean14[[#This Row],[CidadeCPF]]</f>
        <v>Harrenhal</v>
      </c>
      <c r="G27" s="17" t="str">
        <f>TabelaClean14[[#This Row],[RegiaoCPF]]</f>
        <v>Terras Fluviais</v>
      </c>
      <c r="H27" s="17" t="str">
        <f>_xlfn.XLOOKUP(TabelaClean14[[#This Row],[cpf]],TabelaDirty[cpfclean],TabelaDirty[cidade])</f>
        <v>Harrenhal</v>
      </c>
      <c r="I27" s="17" t="str">
        <f>_xlfn.XLOOKUP(TabelaClean14[[#This Row],[cpf]],TabelaDirty[cpfclean],TabelaDirty[regiao])</f>
        <v>TERRAS FLUVIAIS</v>
      </c>
      <c r="J27" s="17" t="str">
        <f>PROPER(TabelaClean14[[#This Row],[Coluna1]])</f>
        <v>Terras Fluviais</v>
      </c>
      <c r="K27" s="17" t="e">
        <f>_xlfn.TEXTBEFORE(TabelaClean14[[#This Row],[CidadeCPF]]," | ")</f>
        <v>#N/A</v>
      </c>
      <c r="L27" s="24" t="e">
        <f>_xlfn.TEXTAFTER(TabelaClean14[[#This Row],[CidadeCPF]]," | ")</f>
        <v>#N/A</v>
      </c>
      <c r="M27" s="26">
        <v>2900</v>
      </c>
      <c r="N27" s="78">
        <v>76000</v>
      </c>
      <c r="O27" s="1" t="s">
        <v>50</v>
      </c>
      <c r="P2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" s="84">
        <v>32</v>
      </c>
      <c r="R27" s="1" t="str" cm="1">
        <f t="array" ref="R27">_xlfn.IFS(TabelaClean14[[#This Row],[qtde_batalhas]]&lt;=10,"Baixo",TabelaClean14[[#This Row],[qtde_batalhas]]&gt;=26,"Alto",TabelaClean14[[#This Row],[qtde_batalhas]]&lt;26,"Médio")</f>
        <v>Alto</v>
      </c>
      <c r="S27" s="1" t="str">
        <f>IF(AND(TabelaClean14[[#This Row],[nivel_risco]]="Alto",TabelaClean14[[#This Row],[flag_inadimplente]]="Sim"),"Arriscado","Ok")</f>
        <v>Ok</v>
      </c>
      <c r="T27" s="26">
        <v>72500</v>
      </c>
      <c r="U27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  <c r="W27" s="1"/>
      <c r="Y27" t="s">
        <v>809</v>
      </c>
      <c r="Z27" t="str">
        <f t="shared" si="0"/>
        <v>Null</v>
      </c>
      <c r="AE27">
        <v>15100</v>
      </c>
      <c r="AF27" t="str">
        <f>TEXT(AE27,"000\.000\.000\-00")</f>
        <v>000.000.151-00</v>
      </c>
      <c r="AJ27" s="22">
        <v>11800</v>
      </c>
      <c r="AK27">
        <v>11800</v>
      </c>
      <c r="AM27" s="20">
        <v>2000</v>
      </c>
      <c r="AN27">
        <v>2000</v>
      </c>
      <c r="AO27">
        <v>2000</v>
      </c>
      <c r="AQ27" t="s">
        <v>121</v>
      </c>
      <c r="AZ27" s="39" t="s">
        <v>348</v>
      </c>
      <c r="BA27" t="s">
        <v>121</v>
      </c>
      <c r="BB27" s="26">
        <v>2900</v>
      </c>
      <c r="BC27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</row>
    <row r="28" spans="1:55">
      <c r="A28" s="24" t="s">
        <v>81</v>
      </c>
      <c r="B28" s="17" t="s">
        <v>826</v>
      </c>
      <c r="C28" s="25" t="s">
        <v>827</v>
      </c>
      <c r="D28" s="54">
        <v>68</v>
      </c>
      <c r="E28" s="30">
        <v>21190</v>
      </c>
      <c r="F28" s="25" t="s">
        <v>828</v>
      </c>
      <c r="G28" s="25" t="s">
        <v>142</v>
      </c>
      <c r="H28" s="24">
        <v>2800</v>
      </c>
      <c r="I28" s="24">
        <v>76000</v>
      </c>
      <c r="J28" s="24" t="s">
        <v>50</v>
      </c>
      <c r="K28" s="24"/>
      <c r="L28" s="24"/>
      <c r="M28" s="26">
        <v>27000</v>
      </c>
      <c r="N28" s="78">
        <v>76000</v>
      </c>
      <c r="O28" s="1" t="s">
        <v>50</v>
      </c>
      <c r="P28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28" s="76" t="str" cm="1">
        <f t="array" ref="R28">_xlfn.IFS(TabelaClean14[[#This Row],[qtde_batalhas]]&lt;=10,"Baixo",TabelaClean14[[#This Row],[qtde_batalhas]]&gt;=26,"Alto",TabelaClean14[[#This Row],[qtde_batalhas]]&lt;26,"Médio")</f>
        <v>Baixo</v>
      </c>
      <c r="S28" s="76" t="str">
        <f>IF(AND(TabelaClean14[[#This Row],[nivel_risco]]="Alto",TabelaClean14[[#This Row],[flag_inadimplente]]="Sim"),"Arriscado","Ok")</f>
        <v>Ok</v>
      </c>
      <c r="T28" s="26">
        <v>27000</v>
      </c>
      <c r="U2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8" s="1"/>
      <c r="Y28" t="s">
        <v>413</v>
      </c>
      <c r="Z28" t="str">
        <f t="shared" si="0"/>
        <v>Terras Da Coroa</v>
      </c>
      <c r="AE28">
        <v>15400</v>
      </c>
      <c r="AF28" t="str">
        <f>TEXT(AE28,"000\.000\.000\-00")</f>
        <v>000.000.154-00</v>
      </c>
      <c r="AJ28" s="22">
        <v>17900</v>
      </c>
      <c r="AK28">
        <v>17900</v>
      </c>
      <c r="AM28" s="21">
        <v>28000</v>
      </c>
      <c r="AN28">
        <v>28000</v>
      </c>
      <c r="AO28">
        <v>28000</v>
      </c>
      <c r="AQ28" t="s">
        <v>112</v>
      </c>
      <c r="AZ28" s="38" t="s">
        <v>829</v>
      </c>
      <c r="BA28" t="s">
        <v>112</v>
      </c>
      <c r="BB28" s="26">
        <v>27000</v>
      </c>
      <c r="BC2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9" spans="1:55">
      <c r="A29" s="24" t="s">
        <v>76</v>
      </c>
      <c r="B29" s="17" t="s">
        <v>830</v>
      </c>
      <c r="C29" s="25" t="s">
        <v>633</v>
      </c>
      <c r="D29" s="54">
        <v>47</v>
      </c>
      <c r="E29" s="30">
        <v>29007</v>
      </c>
      <c r="F29" s="24" t="str">
        <f>TabelaClean14[[#This Row],[CidadeCPF]]</f>
        <v>Meereen</v>
      </c>
      <c r="G29" s="17" t="str">
        <f>TabelaClean14[[#This Row],[RegiaoCPF]]</f>
        <v>Essos</v>
      </c>
      <c r="H29" s="17" t="str">
        <f>_xlfn.XLOOKUP(TabelaClean14[[#This Row],[cpf]],TabelaDirty[cpfclean],TabelaDirty[cidade])</f>
        <v>Meereen</v>
      </c>
      <c r="I29" s="17" t="str">
        <f>_xlfn.XLOOKUP(TabelaClean14[[#This Row],[cpf]],TabelaDirty[cpfclean],TabelaDirty[regiao])</f>
        <v>Essos</v>
      </c>
      <c r="J29" s="17" t="str">
        <f>PROPER(TabelaClean14[[#This Row],[Coluna1]])</f>
        <v>Essos</v>
      </c>
      <c r="K29" s="17" t="e">
        <f>_xlfn.TEXTBEFORE(TabelaClean14[[#This Row],[CidadeCPF]]," | ")</f>
        <v>#N/A</v>
      </c>
      <c r="L29" s="24" t="e">
        <f>_xlfn.TEXTAFTER(TabelaClean14[[#This Row],[CidadeCPF]]," | ")</f>
        <v>#N/A</v>
      </c>
      <c r="M29" s="26">
        <v>5000</v>
      </c>
      <c r="N29" s="78">
        <v>75500</v>
      </c>
      <c r="O29" s="1" t="s">
        <v>51</v>
      </c>
      <c r="P2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29" s="84">
        <v>2</v>
      </c>
      <c r="R29" s="1" t="str" cm="1">
        <f t="array" ref="R29">_xlfn.IFS(TabelaClean14[[#This Row],[qtde_batalhas]]&lt;=10,"Baixo",TabelaClean14[[#This Row],[qtde_batalhas]]&gt;=26,"Alto",TabelaClean14[[#This Row],[qtde_batalhas]]&lt;26,"Médio")</f>
        <v>Baixo</v>
      </c>
      <c r="S29" s="1" t="str">
        <f>IF(AND(TabelaClean14[[#This Row],[nivel_risco]]="Alto",TabelaClean14[[#This Row],[flag_inadimplente]]="Sim"),"Arriscado","Ok")</f>
        <v>Ok</v>
      </c>
      <c r="T29" s="26">
        <v>89500</v>
      </c>
      <c r="U29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  <c r="W29" s="1"/>
      <c r="Y29" t="s">
        <v>809</v>
      </c>
      <c r="Z29" t="str">
        <f t="shared" si="0"/>
        <v>Null</v>
      </c>
      <c r="AE29">
        <v>15600</v>
      </c>
      <c r="AF29" t="str">
        <f>TEXT(AE29,"000\.000\.000\-00")</f>
        <v>000.000.156-00</v>
      </c>
      <c r="AJ29" s="22" t="s">
        <v>232</v>
      </c>
      <c r="AK29">
        <v>4500</v>
      </c>
      <c r="AM29" s="20">
        <v>0</v>
      </c>
      <c r="AN29">
        <v>0</v>
      </c>
      <c r="AO29">
        <v>0</v>
      </c>
      <c r="AQ29" t="s">
        <v>169</v>
      </c>
      <c r="AZ29" s="39" t="s">
        <v>831</v>
      </c>
      <c r="BA29" t="s">
        <v>169</v>
      </c>
      <c r="BB29" s="26">
        <v>5000</v>
      </c>
      <c r="BC29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</row>
    <row r="30" spans="1:55">
      <c r="A30" s="24" t="s">
        <v>81</v>
      </c>
      <c r="B30" s="17" t="s">
        <v>832</v>
      </c>
      <c r="C30" s="25" t="s">
        <v>159</v>
      </c>
      <c r="D30" s="54">
        <v>33</v>
      </c>
      <c r="E30" s="30">
        <v>34082</v>
      </c>
      <c r="F30" s="24" t="str">
        <f>TabelaClean14[[#This Row],[CidadeCPF]]</f>
        <v>Meereen</v>
      </c>
      <c r="G30" s="17" t="str">
        <f>TabelaClean14[[#This Row],[RegiaoCPF]]</f>
        <v>Essos</v>
      </c>
      <c r="H30" s="17" t="str">
        <f>_xlfn.XLOOKUP(TabelaClean14[[#This Row],[cpf]],TabelaDirty[cpfclean],TabelaDirty[cidade])</f>
        <v>Meereen</v>
      </c>
      <c r="I30" s="17" t="str">
        <f>_xlfn.XLOOKUP(TabelaClean14[[#This Row],[cpf]],TabelaDirty[cpfclean],TabelaDirty[regiao])</f>
        <v>Essos</v>
      </c>
      <c r="J30" s="17" t="str">
        <f>PROPER(TabelaClean14[[#This Row],[Coluna1]])</f>
        <v>Essos</v>
      </c>
      <c r="K30" s="17" t="e">
        <f>_xlfn.TEXTBEFORE(TabelaClean14[[#This Row],[CidadeCPF]]," | ")</f>
        <v>#N/A</v>
      </c>
      <c r="L30" s="24" t="e">
        <f>_xlfn.TEXTAFTER(TabelaClean14[[#This Row],[CidadeCPF]]," | ")</f>
        <v>#N/A</v>
      </c>
      <c r="M30" s="26">
        <v>23600</v>
      </c>
      <c r="N30" s="78">
        <v>75500</v>
      </c>
      <c r="O30" s="1" t="s">
        <v>50</v>
      </c>
      <c r="P3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" s="84">
        <v>16</v>
      </c>
      <c r="R30" s="1" t="str" cm="1">
        <f t="array" ref="R30">_xlfn.IFS(TabelaClean14[[#This Row],[qtde_batalhas]]&lt;=10,"Baixo",TabelaClean14[[#This Row],[qtde_batalhas]]&gt;=26,"Alto",TabelaClean14[[#This Row],[qtde_batalhas]]&lt;26,"Médio")</f>
        <v>Médio</v>
      </c>
      <c r="S30" s="1" t="str">
        <f>IF(AND(TabelaClean14[[#This Row],[nivel_risco]]="Alto",TabelaClean14[[#This Row],[flag_inadimplente]]="Sim"),"Arriscado","Ok")</f>
        <v>Ok</v>
      </c>
      <c r="T30" s="26">
        <v>88000</v>
      </c>
      <c r="U3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0" s="1"/>
      <c r="Y30" t="s">
        <v>273</v>
      </c>
      <c r="Z30" t="str">
        <f t="shared" si="0"/>
        <v>Essos</v>
      </c>
      <c r="AE30">
        <v>15900</v>
      </c>
      <c r="AF30" t="str">
        <f>TEXT(AE30,"000\.000\.000\-00")</f>
        <v>000.000.159-00</v>
      </c>
      <c r="AJ30" s="22">
        <v>18500</v>
      </c>
      <c r="AK30">
        <v>18500</v>
      </c>
      <c r="AM30" s="21">
        <v>74500</v>
      </c>
      <c r="AN30">
        <v>74500</v>
      </c>
      <c r="AO30">
        <v>74500</v>
      </c>
      <c r="AQ30" t="s">
        <v>242</v>
      </c>
      <c r="AZ30" s="38" t="s">
        <v>246</v>
      </c>
      <c r="BA30" t="s">
        <v>242</v>
      </c>
      <c r="BB30" s="26">
        <v>23600</v>
      </c>
      <c r="BC3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1" spans="1:55">
      <c r="A31" s="24" t="s">
        <v>76</v>
      </c>
      <c r="B31" s="17" t="s">
        <v>760</v>
      </c>
      <c r="C31" s="25" t="s">
        <v>761</v>
      </c>
      <c r="D31" s="54">
        <v>55</v>
      </c>
      <c r="E31" s="30">
        <v>25844</v>
      </c>
      <c r="F31" s="24" t="str">
        <f>TabelaClean14[[#This Row],[CidadeCPF]]</f>
        <v>Jardim de Cima</v>
      </c>
      <c r="G31" s="17" t="str">
        <f>TabelaClean14[[#This Row],[RegiaoCPF]]</f>
        <v>Campina</v>
      </c>
      <c r="H31" s="17" t="str">
        <f>_xlfn.XLOOKUP(TabelaClean14[[#This Row],[cpf]],TabelaDirty[cpfclean],TabelaDirty[cidade])</f>
        <v>Jardim de Cima</v>
      </c>
      <c r="I31" s="17" t="str">
        <f>_xlfn.XLOOKUP(TabelaClean14[[#This Row],[cpf]],TabelaDirty[cpfclean],TabelaDirty[regiao])</f>
        <v>CAMPINA</v>
      </c>
      <c r="J31" s="17" t="str">
        <f>PROPER(TabelaClean14[[#This Row],[Coluna1]])</f>
        <v>Campina</v>
      </c>
      <c r="K31" s="17" t="e">
        <f>_xlfn.TEXTBEFORE(TabelaClean14[[#This Row],[CidadeCPF]]," | ")</f>
        <v>#N/A</v>
      </c>
      <c r="L31" s="24" t="e">
        <f>_xlfn.TEXTAFTER(TabelaClean14[[#This Row],[CidadeCPF]]," | ")</f>
        <v>#N/A</v>
      </c>
      <c r="M31" s="26">
        <v>17400</v>
      </c>
      <c r="N31" s="78">
        <v>75500</v>
      </c>
      <c r="O31" s="1" t="s">
        <v>50</v>
      </c>
      <c r="P3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" s="84">
        <v>9</v>
      </c>
      <c r="R31" s="1" t="str" cm="1">
        <f t="array" ref="R31">_xlfn.IFS(TabelaClean14[[#This Row],[qtde_batalhas]]&lt;=10,"Baixo",TabelaClean14[[#This Row],[qtde_batalhas]]&gt;=26,"Alto",TabelaClean14[[#This Row],[qtde_batalhas]]&lt;26,"Médio")</f>
        <v>Baixo</v>
      </c>
      <c r="S31" s="1" t="str">
        <f>IF(AND(TabelaClean14[[#This Row],[nivel_risco]]="Alto",TabelaClean14[[#This Row],[flag_inadimplente]]="Sim"),"Arriscado","Ok")</f>
        <v>Ok</v>
      </c>
      <c r="T31" s="26">
        <v>52000</v>
      </c>
      <c r="U31" s="81">
        <f>IF(AND(TabelaClean14[[#This Row],[analise_risco]]="Arriscado",TabelaClean14[[#This Row],[analise_credito]]="Reprovado"),0,IF(TabelaClean14[[#This Row],[status]]="Ativo",TabelaClean14[[#This Row],[valor_solicitado]]*1.08,0))</f>
        <v>56160.000000000007</v>
      </c>
      <c r="W31" s="1"/>
      <c r="Y31" t="s">
        <v>809</v>
      </c>
      <c r="Z31" t="str">
        <f t="shared" si="0"/>
        <v>Null</v>
      </c>
      <c r="AE31">
        <v>16000</v>
      </c>
      <c r="AF31" t="str">
        <f>TEXT(AE31,"000\.000\.000\-00")</f>
        <v>000.000.160-00</v>
      </c>
      <c r="AJ31" s="22" t="s">
        <v>184</v>
      </c>
      <c r="AK31">
        <v>0</v>
      </c>
      <c r="AM31" s="20" t="s">
        <v>92</v>
      </c>
      <c r="AN31" t="s">
        <v>809</v>
      </c>
      <c r="AO31" t="s">
        <v>809</v>
      </c>
      <c r="AQ31" t="s">
        <v>183</v>
      </c>
      <c r="AZ31" s="39" t="s">
        <v>718</v>
      </c>
      <c r="BA31" t="s">
        <v>183</v>
      </c>
      <c r="BB31" s="26">
        <v>17400</v>
      </c>
      <c r="BC31" s="81">
        <f>IF(AND(TabelaClean14[[#This Row],[analise_risco]]="Arriscado",TabelaClean14[[#This Row],[analise_credito]]="Reprovado"),0,IF(TabelaClean14[[#This Row],[status]]="Ativo",TabelaClean14[[#This Row],[valor_solicitado]]*1.08,0))</f>
        <v>56160.000000000007</v>
      </c>
    </row>
    <row r="32" spans="1:55">
      <c r="A32" s="24" t="s">
        <v>81</v>
      </c>
      <c r="B32" s="17" t="s">
        <v>833</v>
      </c>
      <c r="C32" s="25" t="s">
        <v>834</v>
      </c>
      <c r="D32" s="54">
        <v>57</v>
      </c>
      <c r="E32" s="30">
        <v>25147</v>
      </c>
      <c r="F32" s="25" t="s">
        <v>835</v>
      </c>
      <c r="G32" s="25" t="s">
        <v>149</v>
      </c>
      <c r="H32" s="24">
        <v>26300</v>
      </c>
      <c r="I32" s="24">
        <v>75500</v>
      </c>
      <c r="J32" s="24" t="s">
        <v>51</v>
      </c>
      <c r="K32" s="24"/>
      <c r="L32" s="24"/>
      <c r="M32" s="26">
        <v>44000</v>
      </c>
      <c r="N32" s="78">
        <v>75500</v>
      </c>
      <c r="O32" s="1" t="s">
        <v>51</v>
      </c>
      <c r="P32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R32" s="76" t="str" cm="1">
        <f t="array" ref="R32">_xlfn.IFS(TabelaClean14[[#This Row],[qtde_batalhas]]&lt;=10,"Baixo",TabelaClean14[[#This Row],[qtde_batalhas]]&gt;=26,"Alto",TabelaClean14[[#This Row],[qtde_batalhas]]&lt;26,"Médio")</f>
        <v>Baixo</v>
      </c>
      <c r="S32" s="76" t="str">
        <f>IF(AND(TabelaClean14[[#This Row],[nivel_risco]]="Alto",TabelaClean14[[#This Row],[flag_inadimplente]]="Sim"),"Arriscado","Ok")</f>
        <v>Ok</v>
      </c>
      <c r="T32" s="26">
        <v>44000</v>
      </c>
      <c r="U3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2" s="1"/>
      <c r="Y32" t="s">
        <v>142</v>
      </c>
      <c r="Z32" t="str">
        <f t="shared" si="0"/>
        <v>Norte</v>
      </c>
      <c r="AE32">
        <v>16100</v>
      </c>
      <c r="AF32" t="str">
        <f>TEXT(AE32,"000\.000\.000\-00")</f>
        <v>000.000.161-00</v>
      </c>
      <c r="AJ32" s="22">
        <v>8000</v>
      </c>
      <c r="AK32">
        <v>8000</v>
      </c>
      <c r="AM32" s="21">
        <v>69000</v>
      </c>
      <c r="AN32">
        <v>69000</v>
      </c>
      <c r="AO32">
        <v>69000</v>
      </c>
      <c r="AQ32" t="s">
        <v>103</v>
      </c>
      <c r="AZ32" s="38" t="s">
        <v>774</v>
      </c>
      <c r="BA32" t="s">
        <v>103</v>
      </c>
      <c r="BB32" s="26">
        <v>44000</v>
      </c>
      <c r="BC3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3" spans="1:55">
      <c r="A33" s="24" t="s">
        <v>81</v>
      </c>
      <c r="B33" s="17" t="s">
        <v>432</v>
      </c>
      <c r="C33" s="25" t="s">
        <v>433</v>
      </c>
      <c r="D33" s="54">
        <v>29</v>
      </c>
      <c r="E33" s="30">
        <v>35598</v>
      </c>
      <c r="F33" s="24" t="str">
        <f>TabelaClean14[[#This Row],[CidadeCPF]]</f>
        <v>Dorne</v>
      </c>
      <c r="G33" s="17" t="str">
        <f>TabelaClean14[[#This Row],[RegiaoCPF]]</f>
        <v>Dorne</v>
      </c>
      <c r="H33" s="17" t="str">
        <f>_xlfn.XLOOKUP(TabelaClean14[[#This Row],[cpf]],TabelaDirty[cpfclean],TabelaDirty[cidade])</f>
        <v>Dorne</v>
      </c>
      <c r="I33" s="17" t="str">
        <f>_xlfn.XLOOKUP(TabelaClean14[[#This Row],[cpf]],TabelaDirty[cpfclean],TabelaDirty[regiao])</f>
        <v>Dorne</v>
      </c>
      <c r="J33" s="17" t="str">
        <f>PROPER(TabelaClean14[[#This Row],[Coluna1]])</f>
        <v>Dorne</v>
      </c>
      <c r="K33" s="17" t="e">
        <f>_xlfn.TEXTBEFORE(TabelaClean14[[#This Row],[CidadeCPF]]," | ")</f>
        <v>#N/A</v>
      </c>
      <c r="L33" s="24" t="e">
        <f>_xlfn.TEXTAFTER(TabelaClean14[[#This Row],[CidadeCPF]]," | ")</f>
        <v>#N/A</v>
      </c>
      <c r="M33" s="26">
        <v>15500</v>
      </c>
      <c r="N33" s="78">
        <v>75000</v>
      </c>
      <c r="O33" s="1" t="s">
        <v>50</v>
      </c>
      <c r="P3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" s="84">
        <v>25</v>
      </c>
      <c r="R33" s="1" t="str" cm="1">
        <f t="array" ref="R33">_xlfn.IFS(TabelaClean14[[#This Row],[qtde_batalhas]]&lt;=10,"Baixo",TabelaClean14[[#This Row],[qtde_batalhas]]&gt;=26,"Alto",TabelaClean14[[#This Row],[qtde_batalhas]]&lt;26,"Médio")</f>
        <v>Médio</v>
      </c>
      <c r="S33" s="1" t="str">
        <f>IF(AND(TabelaClean14[[#This Row],[nivel_risco]]="Alto",TabelaClean14[[#This Row],[flag_inadimplente]]="Sim"),"Arriscado","Ok")</f>
        <v>Ok</v>
      </c>
      <c r="T33" s="26">
        <v>47000</v>
      </c>
      <c r="U3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3" s="1"/>
      <c r="Y33" t="s">
        <v>264</v>
      </c>
      <c r="Z33" t="str">
        <f t="shared" si="0"/>
        <v>Ilhas De Ferro</v>
      </c>
      <c r="AE33">
        <v>16300</v>
      </c>
      <c r="AF33" t="str">
        <f>TEXT(AE33,"000\.000\.000\-00")</f>
        <v>000.000.163-00</v>
      </c>
      <c r="AJ33" s="22">
        <v>4400</v>
      </c>
      <c r="AK33">
        <v>4400</v>
      </c>
      <c r="AM33" s="20">
        <v>23500</v>
      </c>
      <c r="AN33">
        <v>23500</v>
      </c>
      <c r="AO33">
        <v>23500</v>
      </c>
      <c r="AQ33" t="s">
        <v>302</v>
      </c>
      <c r="AZ33" s="39" t="s">
        <v>836</v>
      </c>
      <c r="BA33" t="s">
        <v>302</v>
      </c>
      <c r="BB33" s="26">
        <v>15500</v>
      </c>
      <c r="BC3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4" spans="1:55">
      <c r="A34" s="24" t="s">
        <v>76</v>
      </c>
      <c r="B34" s="17" t="s">
        <v>837</v>
      </c>
      <c r="C34" s="25" t="s">
        <v>171</v>
      </c>
      <c r="D34" s="54">
        <v>29</v>
      </c>
      <c r="E34" s="30">
        <v>35323</v>
      </c>
      <c r="F34" s="24" t="str">
        <f>TabelaClean14[[#This Row],[CidadeCPF]]</f>
        <v>Jardim de Cima</v>
      </c>
      <c r="G34" s="17" t="str">
        <f>TabelaClean14[[#This Row],[RegiaoCPF]]</f>
        <v>Campina</v>
      </c>
      <c r="H34" s="17" t="str">
        <f>_xlfn.XLOOKUP(TabelaClean14[[#This Row],[cpf]],TabelaDirty[cpfclean],TabelaDirty[cidade])</f>
        <v>Jardim de Cima</v>
      </c>
      <c r="I34" s="17" t="str">
        <f>_xlfn.XLOOKUP(TabelaClean14[[#This Row],[cpf]],TabelaDirty[cpfclean],TabelaDirty[regiao])</f>
        <v>Campina</v>
      </c>
      <c r="J34" s="17" t="str">
        <f>PROPER(TabelaClean14[[#This Row],[Coluna1]])</f>
        <v>Campina</v>
      </c>
      <c r="K34" s="17" t="e">
        <f>_xlfn.TEXTBEFORE(TabelaClean14[[#This Row],[CidadeCPF]]," | ")</f>
        <v>#N/A</v>
      </c>
      <c r="L34" s="24" t="e">
        <f>_xlfn.TEXTAFTER(TabelaClean14[[#This Row],[CidadeCPF]]," | ")</f>
        <v>#N/A</v>
      </c>
      <c r="M34" s="26">
        <v>21200</v>
      </c>
      <c r="N34" s="78">
        <v>75000</v>
      </c>
      <c r="O34" s="1" t="s">
        <v>50</v>
      </c>
      <c r="P3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" s="84">
        <v>6</v>
      </c>
      <c r="R34" s="1" t="str" cm="1">
        <f t="array" ref="R34">_xlfn.IFS(TabelaClean14[[#This Row],[qtde_batalhas]]&lt;=10,"Baixo",TabelaClean14[[#This Row],[qtde_batalhas]]&gt;=26,"Alto",TabelaClean14[[#This Row],[qtde_batalhas]]&lt;26,"Médio")</f>
        <v>Baixo</v>
      </c>
      <c r="S34" s="1" t="str">
        <f>IF(AND(TabelaClean14[[#This Row],[nivel_risco]]="Alto",TabelaClean14[[#This Row],[flag_inadimplente]]="Sim"),"Arriscado","Ok")</f>
        <v>Ok</v>
      </c>
      <c r="T34" s="26">
        <v>63500</v>
      </c>
      <c r="U34" s="81">
        <f>IF(AND(TabelaClean14[[#This Row],[analise_risco]]="Arriscado",TabelaClean14[[#This Row],[analise_credito]]="Reprovado"),0,IF(TabelaClean14[[#This Row],[status]]="Ativo",TabelaClean14[[#This Row],[valor_solicitado]]*1.08,0))</f>
        <v>68580</v>
      </c>
      <c r="W34" s="1"/>
      <c r="Y34" t="s">
        <v>809</v>
      </c>
      <c r="Z34" t="str">
        <f t="shared" si="0"/>
        <v>Null</v>
      </c>
      <c r="AE34">
        <v>16500</v>
      </c>
      <c r="AF34" t="str">
        <f>TEXT(AE34,"000\.000\.000\-00")</f>
        <v>000.000.165-00</v>
      </c>
      <c r="AJ34" s="22" t="s">
        <v>184</v>
      </c>
      <c r="AK34">
        <v>0</v>
      </c>
      <c r="AM34" s="21">
        <v>21500</v>
      </c>
      <c r="AN34">
        <v>21500</v>
      </c>
      <c r="AO34">
        <v>21500</v>
      </c>
      <c r="AQ34" t="s">
        <v>83</v>
      </c>
      <c r="AZ34" s="38" t="s">
        <v>507</v>
      </c>
      <c r="BA34" t="s">
        <v>83</v>
      </c>
      <c r="BB34" s="26">
        <v>21200</v>
      </c>
      <c r="BC34" s="81">
        <f>IF(AND(TabelaClean14[[#This Row],[analise_risco]]="Arriscado",TabelaClean14[[#This Row],[analise_credito]]="Reprovado"),0,IF(TabelaClean14[[#This Row],[status]]="Ativo",TabelaClean14[[#This Row],[valor_solicitado]]*1.08,0))</f>
        <v>68580</v>
      </c>
    </row>
    <row r="35" spans="1:55">
      <c r="A35" s="24" t="s">
        <v>76</v>
      </c>
      <c r="B35" s="17" t="s">
        <v>546</v>
      </c>
      <c r="C35" s="25" t="s">
        <v>838</v>
      </c>
      <c r="D35" s="54">
        <v>18</v>
      </c>
      <c r="E35" s="30">
        <v>39369</v>
      </c>
      <c r="F35" s="24" t="str">
        <f>TabelaClean14[[#This Row],[CidadeCPF]]</f>
        <v>Meereen</v>
      </c>
      <c r="G35" s="17" t="str">
        <f>TabelaClean14[[#This Row],[RegiaoCPF]]</f>
        <v>Essos</v>
      </c>
      <c r="H35" s="17" t="str">
        <f>_xlfn.XLOOKUP(TabelaClean14[[#This Row],[cpf]],TabelaDirty[cpfclean],TabelaDirty[cidade])</f>
        <v>Meereen</v>
      </c>
      <c r="I35" s="17" t="str">
        <f>_xlfn.XLOOKUP(TabelaClean14[[#This Row],[cpf]],TabelaDirty[cpfclean],TabelaDirty[regiao])</f>
        <v>essos</v>
      </c>
      <c r="J35" s="17" t="str">
        <f>PROPER(TabelaClean14[[#This Row],[Coluna1]])</f>
        <v>Essos</v>
      </c>
      <c r="K35" s="17" t="e">
        <f>_xlfn.TEXTBEFORE(TabelaClean14[[#This Row],[CidadeCPF]]," | ")</f>
        <v>#N/A</v>
      </c>
      <c r="L35" s="24" t="e">
        <f>_xlfn.TEXTAFTER(TabelaClean14[[#This Row],[CidadeCPF]]," | ")</f>
        <v>#N/A</v>
      </c>
      <c r="M35" s="26">
        <v>18500</v>
      </c>
      <c r="N35" s="78">
        <v>74500</v>
      </c>
      <c r="O35" s="1" t="s">
        <v>51</v>
      </c>
      <c r="P3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35" s="84">
        <v>20</v>
      </c>
      <c r="R35" s="1" t="str" cm="1">
        <f t="array" ref="R35">_xlfn.IFS(TabelaClean14[[#This Row],[qtde_batalhas]]&lt;=10,"Baixo",TabelaClean14[[#This Row],[qtde_batalhas]]&gt;=26,"Alto",TabelaClean14[[#This Row],[qtde_batalhas]]&lt;26,"Médio")</f>
        <v>Médio</v>
      </c>
      <c r="S35" s="1" t="str">
        <f>IF(AND(TabelaClean14[[#This Row],[nivel_risco]]="Alto",TabelaClean14[[#This Row],[flag_inadimplente]]="Sim"),"Arriscado","Ok")</f>
        <v>Ok</v>
      </c>
      <c r="T35" s="26">
        <v>45500</v>
      </c>
      <c r="U35" s="81">
        <f>IF(AND(TabelaClean14[[#This Row],[analise_risco]]="Arriscado",TabelaClean14[[#This Row],[analise_credito]]="Reprovado"),0,IF(TabelaClean14[[#This Row],[status]]="Ativo",TabelaClean14[[#This Row],[valor_solicitado]]*1.08,0))</f>
        <v>49140</v>
      </c>
      <c r="W35" s="1"/>
      <c r="Y35" t="s">
        <v>809</v>
      </c>
      <c r="Z35" t="str">
        <f t="shared" si="0"/>
        <v>Null</v>
      </c>
      <c r="AE35">
        <v>16600</v>
      </c>
      <c r="AF35" t="str">
        <f>TEXT(AE35,"000\.000\.000\-00")</f>
        <v>000.000.166-00</v>
      </c>
      <c r="AJ35" s="22">
        <v>19500</v>
      </c>
      <c r="AK35">
        <v>19500</v>
      </c>
      <c r="AM35" s="20">
        <v>57000</v>
      </c>
      <c r="AN35">
        <v>57000</v>
      </c>
      <c r="AO35">
        <v>57000</v>
      </c>
      <c r="AQ35" t="s">
        <v>210</v>
      </c>
      <c r="AZ35" s="39" t="s">
        <v>516</v>
      </c>
      <c r="BA35" t="s">
        <v>210</v>
      </c>
      <c r="BB35" s="26">
        <v>18500</v>
      </c>
      <c r="BC35" s="81">
        <f>IF(AND(TabelaClean14[[#This Row],[analise_risco]]="Arriscado",TabelaClean14[[#This Row],[analise_credito]]="Reprovado"),0,IF(TabelaClean14[[#This Row],[status]]="Ativo",TabelaClean14[[#This Row],[valor_solicitado]]*1.08,0))</f>
        <v>49140</v>
      </c>
    </row>
    <row r="36" spans="1:55">
      <c r="A36" s="24" t="s">
        <v>81</v>
      </c>
      <c r="B36" s="17" t="s">
        <v>683</v>
      </c>
      <c r="C36" t="str">
        <f>_xlfn.XLOOKUP(TabelaClean14[[#This Row],[nome]],Base_Dirty!$B:$B,Base_Dirty!D:D)</f>
        <v>000.000.147-00</v>
      </c>
      <c r="D36" s="54">
        <f>_xlfn.XLOOKUP(TabelaClean14[[#This Row],[nome]],Base_Dirty!B:B,Base_Dirty!E:E)</f>
        <v>52</v>
      </c>
      <c r="E36" s="30">
        <v>46</v>
      </c>
      <c r="F36" s="50" t="s">
        <v>169</v>
      </c>
      <c r="G36" s="17" t="s">
        <v>139</v>
      </c>
      <c r="H36" s="24" t="s">
        <v>146</v>
      </c>
      <c r="I36" s="24" t="str">
        <f>_xlfn.XLOOKUP(TabelaClean14[[#This Row],[cpf]],TabelaDirty[cpfclean],TabelaDirty[regiao])</f>
        <v>Norte</v>
      </c>
      <c r="J36" s="24">
        <v>37500</v>
      </c>
      <c r="K36" s="24" t="s">
        <v>50</v>
      </c>
      <c r="L36" s="24" t="e">
        <f>_xlfn.TEXTAFTER(TabelaClean14[[#This Row],[CidadeCPF]]," | ")</f>
        <v>#N/A</v>
      </c>
      <c r="M36" s="23">
        <f>_xlfn.XLOOKUP(TabelaClean14[[#This Row],[nome]],Base_Dirty!$B:$B,Base_Dirty!I:I)</f>
        <v>7300</v>
      </c>
      <c r="N36" s="78">
        <v>74000</v>
      </c>
      <c r="O36" s="79" t="s">
        <v>50</v>
      </c>
      <c r="P3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" s="84">
        <f>_xlfn.XLOOKUP(TabelaClean14[[#This Row],[nome]],Base_Dirty!$B:$B,Base_Dirty!L:L)</f>
        <v>40</v>
      </c>
      <c r="R36" s="76" t="str" cm="1">
        <f t="array" ref="R36">_xlfn.IFS(TabelaClean14[[#This Row],[qtde_batalhas]]&lt;=10,"Baixo",TabelaClean14[[#This Row],[qtde_batalhas]]&gt;=26,"Alto",TabelaClean14[[#This Row],[qtde_batalhas]]&lt;26,"Médio")</f>
        <v>Alto</v>
      </c>
      <c r="S36" s="76" t="str">
        <f>IF(AND(TabelaClean14[[#This Row],[nivel_risco]]="Alto",TabelaClean14[[#This Row],[flag_inadimplente]]="Sim"),"Arriscado","Ok")</f>
        <v>Ok</v>
      </c>
      <c r="T36" s="26">
        <f>_xlfn.XLOOKUP(TabelaClean14[[#This Row],[nome]],Base_Dirty!$B:$B,Base_Dirty!O:O)</f>
        <v>34500</v>
      </c>
      <c r="U3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6" s="1"/>
      <c r="Y36" t="s">
        <v>809</v>
      </c>
      <c r="Z36" t="str">
        <f t="shared" si="0"/>
        <v>Null</v>
      </c>
      <c r="AE36">
        <v>17100</v>
      </c>
      <c r="AF36" t="str">
        <f>TEXT(AE36,"000\.000\.000\-00")</f>
        <v>000.000.171-00</v>
      </c>
      <c r="AJ36" s="22">
        <v>17500</v>
      </c>
      <c r="AK36">
        <v>17500</v>
      </c>
      <c r="AM36" s="21">
        <v>3500</v>
      </c>
      <c r="AN36">
        <v>3500</v>
      </c>
      <c r="AO36">
        <v>3500</v>
      </c>
      <c r="AQ36" t="s">
        <v>148</v>
      </c>
      <c r="AZ36" s="38" t="s">
        <v>426</v>
      </c>
      <c r="BA36" t="s">
        <v>148</v>
      </c>
      <c r="BB36" s="23">
        <f>_xlfn.XLOOKUP(TabelaClean14[[#This Row],[nome]],Base_Dirty!$B:$B,Base_Dirty!AX:AX)</f>
        <v>0</v>
      </c>
      <c r="BC3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7" spans="1:55">
      <c r="A37" s="24" t="s">
        <v>81</v>
      </c>
      <c r="B37" s="17" t="s">
        <v>683</v>
      </c>
      <c r="C37" t="str">
        <f>_xlfn.XLOOKUP(TabelaClean14[[#This Row],[nome]],Base_Dirty!$B:$B,Base_Dirty!D:D)</f>
        <v>000.000.147-00</v>
      </c>
      <c r="D37" s="54">
        <f>_xlfn.XLOOKUP(TabelaClean14[[#This Row],[nome]],Base_Dirty!B:B,Base_Dirty!E:E)</f>
        <v>52</v>
      </c>
      <c r="E37" s="30">
        <v>46</v>
      </c>
      <c r="F37" s="50" t="s">
        <v>169</v>
      </c>
      <c r="G37" s="17" t="s">
        <v>139</v>
      </c>
      <c r="H37" s="24" t="s">
        <v>146</v>
      </c>
      <c r="I37" s="24" t="str">
        <f>_xlfn.XLOOKUP(TabelaClean14[[#This Row],[cpf]],TabelaDirty[cpfclean],TabelaDirty[regiao])</f>
        <v>Norte</v>
      </c>
      <c r="J37" s="24">
        <v>37500</v>
      </c>
      <c r="K37" s="24" t="s">
        <v>50</v>
      </c>
      <c r="L37" s="24" t="e">
        <f>_xlfn.TEXTAFTER(TabelaClean14[[#This Row],[CidadeCPF]]," | ")</f>
        <v>#N/A</v>
      </c>
      <c r="M37" s="23">
        <f>_xlfn.XLOOKUP(TabelaClean14[[#This Row],[nome]],Base_Dirty!$B:$B,Base_Dirty!I:I)</f>
        <v>7300</v>
      </c>
      <c r="N37" s="78">
        <v>74000</v>
      </c>
      <c r="O37" s="79" t="s">
        <v>50</v>
      </c>
      <c r="P37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7" s="84">
        <f>_xlfn.XLOOKUP(TabelaClean14[[#This Row],[nome]],Base_Dirty!$B:$B,Base_Dirty!L:L)</f>
        <v>40</v>
      </c>
      <c r="R37" s="76" t="str" cm="1">
        <f t="array" ref="R37">_xlfn.IFS(TabelaClean14[[#This Row],[qtde_batalhas]]&lt;=10,"Baixo",TabelaClean14[[#This Row],[qtde_batalhas]]&gt;=26,"Alto",TabelaClean14[[#This Row],[qtde_batalhas]]&lt;26,"Médio")</f>
        <v>Alto</v>
      </c>
      <c r="S37" s="76" t="str">
        <f>IF(AND(TabelaClean14[[#This Row],[nivel_risco]]="Alto",TabelaClean14[[#This Row],[flag_inadimplente]]="Sim"),"Arriscado","Ok")</f>
        <v>Ok</v>
      </c>
      <c r="T37" s="26">
        <f>_xlfn.XLOOKUP(TabelaClean14[[#This Row],[nome]],Base_Dirty!$B:$B,Base_Dirty!O:O)</f>
        <v>34500</v>
      </c>
      <c r="U3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7" s="1"/>
      <c r="Y37" t="s">
        <v>809</v>
      </c>
      <c r="Z37" t="str">
        <f t="shared" si="0"/>
        <v>Null</v>
      </c>
      <c r="AE37">
        <v>17500</v>
      </c>
      <c r="AF37" t="str">
        <f>TEXT(AE37,"000\.000\.000\-00")</f>
        <v>000.000.175-00</v>
      </c>
      <c r="AJ37" s="22">
        <v>11900</v>
      </c>
      <c r="AK37">
        <v>11900</v>
      </c>
      <c r="AM37" s="20">
        <v>58500</v>
      </c>
      <c r="AN37">
        <v>58500</v>
      </c>
      <c r="AO37">
        <v>58500</v>
      </c>
      <c r="AQ37" t="s">
        <v>154</v>
      </c>
      <c r="AZ37" s="39" t="s">
        <v>668</v>
      </c>
      <c r="BA37" t="s">
        <v>154</v>
      </c>
      <c r="BB37" s="23">
        <f>_xlfn.XLOOKUP(TabelaClean14[[#This Row],[nome]],Base_Dirty!$B:$B,Base_Dirty!AX:AX)</f>
        <v>0</v>
      </c>
      <c r="BC3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8" spans="1:55">
      <c r="A38" s="24" t="s">
        <v>76</v>
      </c>
      <c r="B38" s="17" t="s">
        <v>683</v>
      </c>
      <c r="C38" s="25" t="s">
        <v>684</v>
      </c>
      <c r="D38" s="54">
        <v>52</v>
      </c>
      <c r="E38" s="30">
        <v>26921</v>
      </c>
      <c r="F38" s="24" t="str">
        <f>TabelaClean14[[#This Row],[CidadeCPF]]</f>
        <v>Ilha dos Ursos</v>
      </c>
      <c r="G38" s="17" t="str">
        <f>TabelaClean14[[#This Row],[RegiaoCPF]]</f>
        <v>Norte</v>
      </c>
      <c r="H38" s="17" t="str">
        <f>_xlfn.XLOOKUP(TabelaClean14[[#This Row],[cpf]],TabelaDirty[cpfclean],TabelaDirty[cidade])</f>
        <v>Ilha dos Ursos</v>
      </c>
      <c r="I38" s="17" t="str">
        <f>_xlfn.XLOOKUP(TabelaClean14[[#This Row],[cpf]],TabelaDirty[cpfclean],TabelaDirty[regiao])</f>
        <v>Norte</v>
      </c>
      <c r="J38" s="17" t="str">
        <f>PROPER(TabelaClean14[[#This Row],[Coluna1]])</f>
        <v>Norte</v>
      </c>
      <c r="K38" s="17" t="e">
        <f>_xlfn.TEXTBEFORE(TabelaClean14[[#This Row],[CidadeCPF]]," | ")</f>
        <v>#N/A</v>
      </c>
      <c r="L38" s="24" t="e">
        <f>_xlfn.TEXTAFTER(TabelaClean14[[#This Row],[CidadeCPF]]," | ")</f>
        <v>#N/A</v>
      </c>
      <c r="M38" s="26">
        <v>7300</v>
      </c>
      <c r="N38" s="78">
        <v>74000</v>
      </c>
      <c r="O38" s="1" t="s">
        <v>50</v>
      </c>
      <c r="P3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8" s="84">
        <v>40</v>
      </c>
      <c r="R38" s="1" t="str" cm="1">
        <f t="array" ref="R38">_xlfn.IFS(TabelaClean14[[#This Row],[qtde_batalhas]]&lt;=10,"Baixo",TabelaClean14[[#This Row],[qtde_batalhas]]&gt;=26,"Alto",TabelaClean14[[#This Row],[qtde_batalhas]]&lt;26,"Médio")</f>
        <v>Alto</v>
      </c>
      <c r="S38" s="1" t="str">
        <f>IF(AND(TabelaClean14[[#This Row],[nivel_risco]]="Alto",TabelaClean14[[#This Row],[flag_inadimplente]]="Sim"),"Arriscado","Ok")</f>
        <v>Ok</v>
      </c>
      <c r="T38" s="26">
        <v>34500</v>
      </c>
      <c r="U38" s="81">
        <f>IF(AND(TabelaClean14[[#This Row],[analise_risco]]="Arriscado",TabelaClean14[[#This Row],[analise_credito]]="Reprovado"),0,IF(TabelaClean14[[#This Row],[status]]="Ativo",TabelaClean14[[#This Row],[valor_solicitado]]*1.08,0))</f>
        <v>37260</v>
      </c>
      <c r="W38" s="1"/>
      <c r="Y38" t="s">
        <v>809</v>
      </c>
      <c r="Z38" t="str">
        <f t="shared" si="0"/>
        <v>Null</v>
      </c>
      <c r="AE38">
        <v>17900</v>
      </c>
      <c r="AF38" t="str">
        <f>TEXT(AE38,"000\.000\.000\-00")</f>
        <v>000.000.179-00</v>
      </c>
      <c r="AJ38" s="22">
        <v>9300</v>
      </c>
      <c r="AK38">
        <v>9300</v>
      </c>
      <c r="AM38" s="21">
        <v>36500</v>
      </c>
      <c r="AN38">
        <v>36500</v>
      </c>
      <c r="AO38">
        <v>36500</v>
      </c>
      <c r="AQ38" t="s">
        <v>172</v>
      </c>
      <c r="AZ38" s="38" t="s">
        <v>670</v>
      </c>
      <c r="BA38" t="s">
        <v>172</v>
      </c>
      <c r="BB38" s="26">
        <v>7300</v>
      </c>
      <c r="BC38" s="81">
        <f>IF(AND(TabelaClean14[[#This Row],[analise_risco]]="Arriscado",TabelaClean14[[#This Row],[analise_credito]]="Reprovado"),0,IF(TabelaClean14[[#This Row],[status]]="Ativo",TabelaClean14[[#This Row],[valor_solicitado]]*1.08,0))</f>
        <v>37260</v>
      </c>
    </row>
    <row r="39" spans="1:55">
      <c r="A39" s="24" t="s">
        <v>76</v>
      </c>
      <c r="B39" s="17" t="s">
        <v>744</v>
      </c>
      <c r="C39" s="25" t="s">
        <v>745</v>
      </c>
      <c r="D39" s="54">
        <v>67</v>
      </c>
      <c r="E39" s="30">
        <v>21497</v>
      </c>
      <c r="F39" s="17" t="str">
        <f>TabelaClean14[[#This Row],[CidadeClean]]</f>
        <v>Pyke</v>
      </c>
      <c r="G39" s="17" t="str">
        <f>TabelaClean14[[#This Row],[RegiaoClean]]</f>
        <v>Ilhas de Ferro</v>
      </c>
      <c r="H39" s="28" t="str">
        <f>_xlfn.XLOOKUP(TabelaClean14[[#This Row],[cpf]],TabelaDirty[cpfclean],TabelaDirty[cidade])</f>
        <v>Pyke | Ilhas de Ferro</v>
      </c>
      <c r="I39" s="28">
        <f>_xlfn.XLOOKUP(TabelaClean14[[#This Row],[cpf]],TabelaDirty[cpfclean],TabelaDirty[regiao])</f>
        <v>0</v>
      </c>
      <c r="J39" s="28" t="s">
        <v>132</v>
      </c>
      <c r="K39" s="28" t="str">
        <f>_xlfn.TEXTBEFORE(TabelaClean14[[#This Row],[CidadeCPF]]," | ")</f>
        <v>Pyke</v>
      </c>
      <c r="L39" s="24" t="str">
        <f>_xlfn.TEXTAFTER(TabelaClean14[[#This Row],[CidadeCPF]]," | ")</f>
        <v>Ilhas de Ferro</v>
      </c>
      <c r="M39" s="26">
        <v>21600</v>
      </c>
      <c r="N39" s="78">
        <v>73500</v>
      </c>
      <c r="O39" s="1" t="s">
        <v>51</v>
      </c>
      <c r="P3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39" s="84">
        <v>7</v>
      </c>
      <c r="R39" s="1" t="str" cm="1">
        <f t="array" ref="R39">_xlfn.IFS(TabelaClean14[[#This Row],[qtde_batalhas]]&lt;=10,"Baixo",TabelaClean14[[#This Row],[qtde_batalhas]]&gt;=26,"Alto",TabelaClean14[[#This Row],[qtde_batalhas]]&lt;26,"Médio")</f>
        <v>Baixo</v>
      </c>
      <c r="S39" s="1" t="str">
        <f>IF(AND(TabelaClean14[[#This Row],[nivel_risco]]="Alto",TabelaClean14[[#This Row],[flag_inadimplente]]="Sim"),"Arriscado","Ok")</f>
        <v>Ok</v>
      </c>
      <c r="T39" s="26">
        <v>24500</v>
      </c>
      <c r="U39" s="81">
        <f>IF(AND(TabelaClean14[[#This Row],[analise_risco]]="Arriscado",TabelaClean14[[#This Row],[analise_credito]]="Reprovado"),0,IF(TabelaClean14[[#This Row],[status]]="Ativo",TabelaClean14[[#This Row],[valor_solicitado]]*1.08,0))</f>
        <v>26460</v>
      </c>
      <c r="W39" s="1"/>
      <c r="Y39" t="s">
        <v>303</v>
      </c>
      <c r="Z39" t="str">
        <f t="shared" si="0"/>
        <v>Terras Da Tempestade</v>
      </c>
      <c r="AE39">
        <v>18000</v>
      </c>
      <c r="AF39" t="str">
        <f>TEXT(AE39,"000\.000\.000\-00")</f>
        <v>000.000.180-00</v>
      </c>
      <c r="AJ39" s="22">
        <v>11300</v>
      </c>
      <c r="AK39">
        <v>11300</v>
      </c>
      <c r="AM39" s="20">
        <v>49500</v>
      </c>
      <c r="AN39">
        <v>49500</v>
      </c>
      <c r="AO39">
        <v>49500</v>
      </c>
      <c r="AQ39" t="s">
        <v>210</v>
      </c>
      <c r="AZ39" s="39" t="s">
        <v>326</v>
      </c>
      <c r="BA39" t="s">
        <v>210</v>
      </c>
      <c r="BB39" s="26">
        <v>21600</v>
      </c>
      <c r="BC39" s="81">
        <f>IF(AND(TabelaClean14[[#This Row],[analise_risco]]="Arriscado",TabelaClean14[[#This Row],[analise_credito]]="Reprovado"),0,IF(TabelaClean14[[#This Row],[status]]="Ativo",TabelaClean14[[#This Row],[valor_solicitado]]*1.08,0))</f>
        <v>26460</v>
      </c>
    </row>
    <row r="40" spans="1:55">
      <c r="A40" s="24" t="s">
        <v>76</v>
      </c>
      <c r="B40" s="17" t="s">
        <v>439</v>
      </c>
      <c r="C40" s="25" t="s">
        <v>839</v>
      </c>
      <c r="D40" s="54">
        <v>33</v>
      </c>
      <c r="E40" s="30">
        <v>34021</v>
      </c>
      <c r="F40" s="24" t="str">
        <f>TabelaClean14[[#This Row],[CidadeCPF]]</f>
        <v>Ponta Tempestade</v>
      </c>
      <c r="G40" s="17" t="str">
        <f>TabelaClean14[[#This Row],[RegiaoCPF]]</f>
        <v>Terras Da Tempestade</v>
      </c>
      <c r="H40" s="17" t="str">
        <f>_xlfn.XLOOKUP(TabelaClean14[[#This Row],[cpf]],TabelaDirty[cpfclean],TabelaDirty[cidade])</f>
        <v>Ponta Tempestade</v>
      </c>
      <c r="I40" s="17" t="str">
        <f>_xlfn.XLOOKUP(TabelaClean14[[#This Row],[cpf]],TabelaDirty[cpfclean],TabelaDirty[regiao])</f>
        <v>Terras da Tempestade</v>
      </c>
      <c r="J40" s="17" t="str">
        <f>PROPER(TabelaClean14[[#This Row],[Coluna1]])</f>
        <v>Terras Da Tempestade</v>
      </c>
      <c r="K40" s="17" t="e">
        <f>_xlfn.TEXTBEFORE(TabelaClean14[[#This Row],[CidadeCPF]]," | ")</f>
        <v>#N/A</v>
      </c>
      <c r="L40" s="24" t="e">
        <f>_xlfn.TEXTAFTER(TabelaClean14[[#This Row],[CidadeCPF]]," | ")</f>
        <v>#N/A</v>
      </c>
      <c r="N40" s="78">
        <v>73500</v>
      </c>
      <c r="O40" s="1" t="s">
        <v>50</v>
      </c>
      <c r="P4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0" s="84">
        <v>33</v>
      </c>
      <c r="R40" s="1" t="str" cm="1">
        <f t="array" ref="R40">_xlfn.IFS(TabelaClean14[[#This Row],[qtde_batalhas]]&lt;=10,"Baixo",TabelaClean14[[#This Row],[qtde_batalhas]]&gt;=26,"Alto",TabelaClean14[[#This Row],[qtde_batalhas]]&lt;26,"Médio")</f>
        <v>Alto</v>
      </c>
      <c r="S40" s="1" t="str">
        <f>IF(AND(TabelaClean14[[#This Row],[nivel_risco]]="Alto",TabelaClean14[[#This Row],[flag_inadimplente]]="Sim"),"Arriscado","Ok")</f>
        <v>Ok</v>
      </c>
      <c r="T40" s="26">
        <v>95000</v>
      </c>
      <c r="U40" s="81">
        <f>IF(AND(TabelaClean14[[#This Row],[analise_risco]]="Arriscado",TabelaClean14[[#This Row],[analise_credito]]="Reprovado"),0,IF(TabelaClean14[[#This Row],[status]]="Ativo",TabelaClean14[[#This Row],[valor_solicitado]]*1.08,0))</f>
        <v>102600</v>
      </c>
      <c r="W40" s="1"/>
      <c r="Y40" s="18" t="s">
        <v>132</v>
      </c>
      <c r="Z40" t="str">
        <f t="shared" si="0"/>
        <v>Ilhas De Ferro</v>
      </c>
      <c r="AE40">
        <v>18800</v>
      </c>
      <c r="AF40" t="str">
        <f>TEXT(AE40,"000\.000\.000\-00")</f>
        <v>000.000.188-00</v>
      </c>
      <c r="AJ40" s="22">
        <v>10700</v>
      </c>
      <c r="AK40">
        <v>10700</v>
      </c>
      <c r="AM40" s="21">
        <v>15000</v>
      </c>
      <c r="AN40">
        <v>15000</v>
      </c>
      <c r="AO40">
        <v>15000</v>
      </c>
      <c r="AQ40" t="s">
        <v>79</v>
      </c>
      <c r="AZ40" s="38" t="s">
        <v>78</v>
      </c>
      <c r="BA40" t="s">
        <v>79</v>
      </c>
      <c r="BC40" s="81">
        <f>IF(AND(TabelaClean14[[#This Row],[analise_risco]]="Arriscado",TabelaClean14[[#This Row],[analise_credito]]="Reprovado"),0,IF(TabelaClean14[[#This Row],[status]]="Ativo",TabelaClean14[[#This Row],[valor_solicitado]]*1.08,0))</f>
        <v>102600</v>
      </c>
    </row>
    <row r="41" spans="1:55">
      <c r="A41" s="24" t="s">
        <v>76</v>
      </c>
      <c r="B41" s="17" t="s">
        <v>639</v>
      </c>
      <c r="C41" s="25" t="s">
        <v>640</v>
      </c>
      <c r="D41" s="54">
        <v>71</v>
      </c>
      <c r="E41" s="30">
        <v>20187</v>
      </c>
      <c r="F41" s="24" t="str">
        <f>TabelaClean14[[#This Row],[CidadeCPF]]</f>
        <v>Braavos</v>
      </c>
      <c r="G41" s="17" t="str">
        <f>TabelaClean14[[#This Row],[RegiaoCPF]]</f>
        <v>Essos</v>
      </c>
      <c r="H41" s="17" t="str">
        <f>_xlfn.XLOOKUP(TabelaClean14[[#This Row],[cpf]],TabelaDirty[cpfclean],TabelaDirty[cidade])</f>
        <v>Braavos</v>
      </c>
      <c r="I41" s="17" t="str">
        <f>_xlfn.XLOOKUP(TabelaClean14[[#This Row],[cpf]],TabelaDirty[cpfclean],TabelaDirty[regiao])</f>
        <v>Essos</v>
      </c>
      <c r="J41" s="17" t="str">
        <f>PROPER(TabelaClean14[[#This Row],[Coluna1]])</f>
        <v>Essos</v>
      </c>
      <c r="K41" s="17" t="e">
        <f>_xlfn.TEXTBEFORE(TabelaClean14[[#This Row],[CidadeCPF]]," | ")</f>
        <v>#N/A</v>
      </c>
      <c r="L41" s="24" t="e">
        <f>_xlfn.TEXTAFTER(TabelaClean14[[#This Row],[CidadeCPF]]," | ")</f>
        <v>#N/A</v>
      </c>
      <c r="M41" s="26">
        <v>29200</v>
      </c>
      <c r="N41" s="78">
        <v>73500</v>
      </c>
      <c r="O41" s="1" t="s">
        <v>50</v>
      </c>
      <c r="P4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1" s="84">
        <v>2</v>
      </c>
      <c r="R41" s="1" t="str" cm="1">
        <f t="array" ref="R41">_xlfn.IFS(TabelaClean14[[#This Row],[qtde_batalhas]]&lt;=10,"Baixo",TabelaClean14[[#This Row],[qtde_batalhas]]&gt;=26,"Alto",TabelaClean14[[#This Row],[qtde_batalhas]]&lt;26,"Médio")</f>
        <v>Baixo</v>
      </c>
      <c r="S41" s="1" t="str">
        <f>IF(AND(TabelaClean14[[#This Row],[nivel_risco]]="Alto",TabelaClean14[[#This Row],[flag_inadimplente]]="Sim"),"Arriscado","Ok")</f>
        <v>Ok</v>
      </c>
      <c r="T41" s="26">
        <v>33000</v>
      </c>
      <c r="U41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  <c r="W41" s="1"/>
      <c r="Y41" t="s">
        <v>142</v>
      </c>
      <c r="Z41" t="str">
        <f t="shared" si="0"/>
        <v>Norte</v>
      </c>
      <c r="AE41">
        <v>19000</v>
      </c>
      <c r="AF41" t="str">
        <f>TEXT(AE41,"000\.000\.000\-00")</f>
        <v>000.000.190-00</v>
      </c>
      <c r="AJ41" s="22">
        <v>9500</v>
      </c>
      <c r="AK41">
        <v>9500</v>
      </c>
      <c r="AM41" s="20">
        <v>66500</v>
      </c>
      <c r="AN41">
        <v>66500</v>
      </c>
      <c r="AO41">
        <v>66500</v>
      </c>
      <c r="AQ41" t="s">
        <v>183</v>
      </c>
      <c r="AZ41" s="39" t="s">
        <v>200</v>
      </c>
      <c r="BA41" t="s">
        <v>183</v>
      </c>
      <c r="BB41" s="26">
        <v>29200</v>
      </c>
      <c r="BC41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</row>
    <row r="42" spans="1:55">
      <c r="A42" s="24" t="s">
        <v>76</v>
      </c>
      <c r="B42" s="17" t="s">
        <v>217</v>
      </c>
      <c r="C42" s="25" t="s">
        <v>840</v>
      </c>
      <c r="D42" s="54">
        <v>25</v>
      </c>
      <c r="E42" s="30">
        <v>37125</v>
      </c>
      <c r="F42" s="24" t="str">
        <f>TabelaClean14[[#This Row],[CidadeCPF]]</f>
        <v>Dorne</v>
      </c>
      <c r="G42" s="17" t="str">
        <f>TabelaClean14[[#This Row],[RegiaoCPF]]</f>
        <v>Dorne</v>
      </c>
      <c r="H42" s="17" t="str">
        <f>_xlfn.XLOOKUP(TabelaClean14[[#This Row],[cpf]],TabelaDirty[cpfclean],TabelaDirty[cidade])</f>
        <v>Dorne</v>
      </c>
      <c r="I42" s="17" t="str">
        <f>_xlfn.XLOOKUP(TabelaClean14[[#This Row],[cpf]],TabelaDirty[cpfclean],TabelaDirty[regiao])</f>
        <v>Dorne</v>
      </c>
      <c r="J42" s="17" t="str">
        <f>PROPER(TabelaClean14[[#This Row],[Coluna1]])</f>
        <v>Dorne</v>
      </c>
      <c r="K42" s="17" t="e">
        <f>_xlfn.TEXTBEFORE(TabelaClean14[[#This Row],[CidadeCPF]]," | ")</f>
        <v>#N/A</v>
      </c>
      <c r="L42" s="24" t="e">
        <f>_xlfn.TEXTAFTER(TabelaClean14[[#This Row],[CidadeCPF]]," | ")</f>
        <v>#N/A</v>
      </c>
      <c r="M42" s="26">
        <v>2500</v>
      </c>
      <c r="N42" s="78">
        <v>72500</v>
      </c>
      <c r="O42" s="1" t="s">
        <v>50</v>
      </c>
      <c r="P4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2" s="84">
        <v>32</v>
      </c>
      <c r="R42" s="1" t="str" cm="1">
        <f t="array" ref="R42">_xlfn.IFS(TabelaClean14[[#This Row],[qtde_batalhas]]&lt;=10,"Baixo",TabelaClean14[[#This Row],[qtde_batalhas]]&gt;=26,"Alto",TabelaClean14[[#This Row],[qtde_batalhas]]&lt;26,"Médio")</f>
        <v>Alto</v>
      </c>
      <c r="S42" s="1" t="str">
        <f>IF(AND(TabelaClean14[[#This Row],[nivel_risco]]="Alto",TabelaClean14[[#This Row],[flag_inadimplente]]="Sim"),"Arriscado","Ok")</f>
        <v>Ok</v>
      </c>
      <c r="T42" s="26">
        <v>97000</v>
      </c>
      <c r="U42" s="81">
        <f>IF(AND(TabelaClean14[[#This Row],[analise_risco]]="Arriscado",TabelaClean14[[#This Row],[analise_credito]]="Reprovado"),0,IF(TabelaClean14[[#This Row],[status]]="Ativo",TabelaClean14[[#This Row],[valor_solicitado]]*1.08,0))</f>
        <v>104760</v>
      </c>
      <c r="W42" s="1"/>
      <c r="Y42" t="s">
        <v>809</v>
      </c>
      <c r="Z42" t="str">
        <f t="shared" si="0"/>
        <v>Null</v>
      </c>
      <c r="AE42">
        <v>19200</v>
      </c>
      <c r="AF42" t="str">
        <f>TEXT(AE42,"000\.000\.000\-00")</f>
        <v>000.000.192-00</v>
      </c>
      <c r="AJ42" s="22" t="s">
        <v>109</v>
      </c>
      <c r="AK42">
        <v>8600</v>
      </c>
      <c r="AM42" s="21">
        <v>19000</v>
      </c>
      <c r="AN42">
        <v>19000</v>
      </c>
      <c r="AO42">
        <v>19000</v>
      </c>
      <c r="AQ42" t="s">
        <v>210</v>
      </c>
      <c r="AZ42" s="38" t="s">
        <v>841</v>
      </c>
      <c r="BA42" t="s">
        <v>210</v>
      </c>
      <c r="BB42" s="26">
        <v>2500</v>
      </c>
      <c r="BC42" s="81">
        <f>IF(AND(TabelaClean14[[#This Row],[analise_risco]]="Arriscado",TabelaClean14[[#This Row],[analise_credito]]="Reprovado"),0,IF(TabelaClean14[[#This Row],[status]]="Ativo",TabelaClean14[[#This Row],[valor_solicitado]]*1.08,0))</f>
        <v>104760</v>
      </c>
    </row>
    <row r="43" spans="1:55">
      <c r="A43" s="24" t="s">
        <v>76</v>
      </c>
      <c r="B43" s="17" t="s">
        <v>655</v>
      </c>
      <c r="C43" s="25" t="s">
        <v>656</v>
      </c>
      <c r="D43" s="54">
        <v>24</v>
      </c>
      <c r="E43" s="30">
        <v>37394</v>
      </c>
      <c r="F43" s="17" t="str">
        <f>TabelaClean14[[#This Row],[CidadeClean]]</f>
        <v>Lannisporto</v>
      </c>
      <c r="G43" s="17" t="str">
        <f>TabelaClean14[[#This Row],[RegiaoClean]]</f>
        <v>Oeste</v>
      </c>
      <c r="H43" s="17" t="str">
        <f>_xlfn.XLOOKUP(TabelaClean14[[#This Row],[cpf]],TabelaDirty[cpfclean],TabelaDirty[cidade])</f>
        <v>Lannisporto | Oeste</v>
      </c>
      <c r="I43" s="17">
        <f>_xlfn.XLOOKUP(TabelaClean14[[#This Row],[cpf]],TabelaDirty[cpfclean],TabelaDirty[regiao])</f>
        <v>0</v>
      </c>
      <c r="J43" s="17" t="s">
        <v>108</v>
      </c>
      <c r="K43" s="17" t="str">
        <f>_xlfn.TEXTBEFORE(TabelaClean14[[#This Row],[CidadeCPF]]," | ")</f>
        <v>Lannisporto</v>
      </c>
      <c r="L43" s="24" t="str">
        <f>_xlfn.TEXTAFTER(TabelaClean14[[#This Row],[CidadeCPF]]," | ")</f>
        <v>Oeste</v>
      </c>
      <c r="M43" s="26">
        <v>14200</v>
      </c>
      <c r="N43" s="78">
        <v>71000</v>
      </c>
      <c r="O43" s="1" t="s">
        <v>50</v>
      </c>
      <c r="P4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3" s="84">
        <v>10</v>
      </c>
      <c r="R43" s="1" t="str" cm="1">
        <f t="array" ref="R43">_xlfn.IFS(TabelaClean14[[#This Row],[qtde_batalhas]]&lt;=10,"Baixo",TabelaClean14[[#This Row],[qtde_batalhas]]&gt;=26,"Alto",TabelaClean14[[#This Row],[qtde_batalhas]]&lt;26,"Médio")</f>
        <v>Baixo</v>
      </c>
      <c r="S43" s="1" t="str">
        <f>IF(AND(TabelaClean14[[#This Row],[nivel_risco]]="Alto",TabelaClean14[[#This Row],[flag_inadimplente]]="Sim"),"Arriscado","Ok")</f>
        <v>Ok</v>
      </c>
      <c r="T43" s="26">
        <v>91500</v>
      </c>
      <c r="U43" s="81">
        <f>IF(AND(TabelaClean14[[#This Row],[analise_risco]]="Arriscado",TabelaClean14[[#This Row],[analise_credito]]="Reprovado"),0,IF(TabelaClean14[[#This Row],[status]]="Ativo",TabelaClean14[[#This Row],[valor_solicitado]]*1.08,0))</f>
        <v>98820</v>
      </c>
      <c r="W43" s="1"/>
      <c r="Y43" t="s">
        <v>132</v>
      </c>
      <c r="Z43" t="str">
        <f t="shared" si="0"/>
        <v>Ilhas De Ferro</v>
      </c>
      <c r="AE43">
        <v>19300</v>
      </c>
      <c r="AF43" t="str">
        <f>TEXT(AE43,"000\.000\.000\-00")</f>
        <v>000.000.193-00</v>
      </c>
      <c r="AJ43" s="22">
        <v>3800</v>
      </c>
      <c r="AK43">
        <v>3800</v>
      </c>
      <c r="AM43" s="20">
        <v>70000</v>
      </c>
      <c r="AN43">
        <v>70000</v>
      </c>
      <c r="AO43">
        <v>70000</v>
      </c>
      <c r="AQ43" t="s">
        <v>210</v>
      </c>
      <c r="AZ43" s="39" t="s">
        <v>753</v>
      </c>
      <c r="BA43" t="s">
        <v>210</v>
      </c>
      <c r="BB43" s="26">
        <v>14200</v>
      </c>
      <c r="BC43" s="81">
        <f>IF(AND(TabelaClean14[[#This Row],[analise_risco]]="Arriscado",TabelaClean14[[#This Row],[analise_credito]]="Reprovado"),0,IF(TabelaClean14[[#This Row],[status]]="Ativo",TabelaClean14[[#This Row],[valor_solicitado]]*1.08,0))</f>
        <v>98820</v>
      </c>
    </row>
    <row r="44" spans="1:55">
      <c r="A44" s="24" t="s">
        <v>76</v>
      </c>
      <c r="B44" s="17" t="s">
        <v>696</v>
      </c>
      <c r="C44" s="25" t="s">
        <v>697</v>
      </c>
      <c r="D44" s="54">
        <v>37</v>
      </c>
      <c r="E44" s="30">
        <v>32680</v>
      </c>
      <c r="F44" s="24" t="str">
        <f>TabelaClean14[[#This Row],[CidadeCPF]]</f>
        <v>Braavos</v>
      </c>
      <c r="G44" s="17" t="str">
        <f>TabelaClean14[[#This Row],[RegiaoCPF]]</f>
        <v>Essos</v>
      </c>
      <c r="H44" s="17" t="str">
        <f>_xlfn.XLOOKUP(TabelaClean14[[#This Row],[cpf]],TabelaDirty[cpfclean],TabelaDirty[cidade])</f>
        <v>Braavos</v>
      </c>
      <c r="I44" s="17" t="str">
        <f>_xlfn.XLOOKUP(TabelaClean14[[#This Row],[cpf]],TabelaDirty[cpfclean],TabelaDirty[regiao])</f>
        <v>Essos</v>
      </c>
      <c r="J44" s="17" t="str">
        <f>PROPER(TabelaClean14[[#This Row],[Coluna1]])</f>
        <v>Essos</v>
      </c>
      <c r="K44" s="17" t="e">
        <f>_xlfn.TEXTBEFORE(TabelaClean14[[#This Row],[CidadeCPF]]," | ")</f>
        <v>#N/A</v>
      </c>
      <c r="L44" s="24" t="e">
        <f>_xlfn.TEXTAFTER(TabelaClean14[[#This Row],[CidadeCPF]]," | ")</f>
        <v>#N/A</v>
      </c>
      <c r="M44" s="26">
        <v>28900</v>
      </c>
      <c r="N44" s="78">
        <v>71000</v>
      </c>
      <c r="O44" s="1" t="s">
        <v>50</v>
      </c>
      <c r="P4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4" s="84">
        <v>28</v>
      </c>
      <c r="R44" s="1" t="str" cm="1">
        <f t="array" ref="R44">_xlfn.IFS(TabelaClean14[[#This Row],[qtde_batalhas]]&lt;=10,"Baixo",TabelaClean14[[#This Row],[qtde_batalhas]]&gt;=26,"Alto",TabelaClean14[[#This Row],[qtde_batalhas]]&lt;26,"Médio")</f>
        <v>Alto</v>
      </c>
      <c r="S44" s="1" t="str">
        <f>IF(AND(TabelaClean14[[#This Row],[nivel_risco]]="Alto",TabelaClean14[[#This Row],[flag_inadimplente]]="Sim"),"Arriscado","Ok")</f>
        <v>Ok</v>
      </c>
      <c r="T44" s="26">
        <v>36500</v>
      </c>
      <c r="U44" s="81">
        <f>IF(AND(TabelaClean14[[#This Row],[analise_risco]]="Arriscado",TabelaClean14[[#This Row],[analise_credito]]="Reprovado"),0,IF(TabelaClean14[[#This Row],[status]]="Ativo",TabelaClean14[[#This Row],[valor_solicitado]]*1.08,0))</f>
        <v>39420</v>
      </c>
      <c r="W44" s="1"/>
      <c r="Y44" t="s">
        <v>809</v>
      </c>
      <c r="Z44" t="str">
        <f t="shared" si="0"/>
        <v>Null</v>
      </c>
      <c r="AE44">
        <v>20700</v>
      </c>
      <c r="AF44" t="str">
        <f>TEXT(AE44,"000\.000\.000\-00")</f>
        <v>000.000.207-00</v>
      </c>
      <c r="AJ44" s="22">
        <v>24700</v>
      </c>
      <c r="AK44">
        <v>24700</v>
      </c>
      <c r="AM44" s="21" t="s">
        <v>226</v>
      </c>
      <c r="AN44">
        <v>23500</v>
      </c>
      <c r="AO44">
        <v>23500</v>
      </c>
      <c r="AQ44" t="s">
        <v>89</v>
      </c>
      <c r="AZ44" s="38" t="s">
        <v>164</v>
      </c>
      <c r="BA44" t="s">
        <v>89</v>
      </c>
      <c r="BB44" s="26">
        <v>28900</v>
      </c>
      <c r="BC44" s="81">
        <f>IF(AND(TabelaClean14[[#This Row],[analise_risco]]="Arriscado",TabelaClean14[[#This Row],[analise_credito]]="Reprovado"),0,IF(TabelaClean14[[#This Row],[status]]="Ativo",TabelaClean14[[#This Row],[valor_solicitado]]*1.08,0))</f>
        <v>39420</v>
      </c>
    </row>
    <row r="45" spans="1:55">
      <c r="A45" s="24" t="s">
        <v>76</v>
      </c>
      <c r="B45" s="17" t="s">
        <v>842</v>
      </c>
      <c r="C45" s="25" t="s">
        <v>843</v>
      </c>
      <c r="D45" s="54">
        <v>72</v>
      </c>
      <c r="E45" s="30">
        <v>19852</v>
      </c>
      <c r="F45" s="25" t="s">
        <v>302</v>
      </c>
      <c r="G45" s="25" t="s">
        <v>303</v>
      </c>
      <c r="H45" s="24">
        <v>27100</v>
      </c>
      <c r="I45" s="24">
        <v>71000</v>
      </c>
      <c r="J45" s="24" t="s">
        <v>50</v>
      </c>
      <c r="K45" s="24">
        <v>32</v>
      </c>
      <c r="L45" s="24"/>
      <c r="M45" s="26">
        <v>29500</v>
      </c>
      <c r="N45" s="78">
        <v>71000</v>
      </c>
      <c r="O45" s="1" t="s">
        <v>50</v>
      </c>
      <c r="P45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5" s="84">
        <v>32</v>
      </c>
      <c r="R45" s="76" t="str" cm="1">
        <f t="array" ref="R45">_xlfn.IFS(TabelaClean14[[#This Row],[qtde_batalhas]]&lt;=10,"Baixo",TabelaClean14[[#This Row],[qtde_batalhas]]&gt;=26,"Alto",TabelaClean14[[#This Row],[qtde_batalhas]]&lt;26,"Médio")</f>
        <v>Alto</v>
      </c>
      <c r="S45" s="76" t="str">
        <f>IF(AND(TabelaClean14[[#This Row],[nivel_risco]]="Alto",TabelaClean14[[#This Row],[flag_inadimplente]]="Sim"),"Arriscado","Ok")</f>
        <v>Ok</v>
      </c>
      <c r="T45" s="26">
        <v>29500</v>
      </c>
      <c r="U45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  <c r="W45" s="1"/>
      <c r="Y45" t="s">
        <v>809</v>
      </c>
      <c r="Z45" t="str">
        <f t="shared" si="0"/>
        <v>Null</v>
      </c>
      <c r="AE45">
        <v>20900</v>
      </c>
      <c r="AF45" t="str">
        <f>TEXT(AE45,"000\.000\.000\-00")</f>
        <v>000.000.209-00</v>
      </c>
      <c r="AJ45" s="22">
        <v>6600</v>
      </c>
      <c r="AK45">
        <v>6600</v>
      </c>
      <c r="AM45" s="20">
        <v>50000</v>
      </c>
      <c r="AN45">
        <v>50000</v>
      </c>
      <c r="AO45">
        <v>50000</v>
      </c>
      <c r="AQ45" t="s">
        <v>127</v>
      </c>
      <c r="AZ45" s="39" t="s">
        <v>795</v>
      </c>
      <c r="BA45" t="s">
        <v>127</v>
      </c>
      <c r="BB45" s="26">
        <v>29500</v>
      </c>
      <c r="BC45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</row>
    <row r="46" spans="1:55">
      <c r="A46" s="24" t="s">
        <v>76</v>
      </c>
      <c r="B46" s="17" t="s">
        <v>167</v>
      </c>
      <c r="C46" s="25" t="s">
        <v>168</v>
      </c>
      <c r="D46" s="54">
        <v>58</v>
      </c>
      <c r="E46" s="30">
        <v>24911</v>
      </c>
      <c r="F46" s="24" t="str">
        <f>TabelaClean14[[#This Row],[CidadeCPF]]</f>
        <v>Harrenhal</v>
      </c>
      <c r="G46" s="17" t="str">
        <f>TabelaClean14[[#This Row],[RegiaoCPF]]</f>
        <v>Terras Fluviais</v>
      </c>
      <c r="H46" s="17" t="str">
        <f>_xlfn.XLOOKUP(TabelaClean14[[#This Row],[cpf]],TabelaDirty[cpfclean],TabelaDirty[cidade])</f>
        <v>Harrenhal</v>
      </c>
      <c r="I46" s="17" t="str">
        <f>_xlfn.XLOOKUP(TabelaClean14[[#This Row],[cpf]],TabelaDirty[cpfclean],TabelaDirty[regiao])</f>
        <v>Terras Fluviais</v>
      </c>
      <c r="J46" s="17" t="str">
        <f>PROPER(TabelaClean14[[#This Row],[Coluna1]])</f>
        <v>Terras Fluviais</v>
      </c>
      <c r="K46" s="17" t="e">
        <f>_xlfn.TEXTBEFORE(TabelaClean14[[#This Row],[CidadeCPF]]," | ")</f>
        <v>#N/A</v>
      </c>
      <c r="L46" s="24" t="e">
        <f>_xlfn.TEXTAFTER(TabelaClean14[[#This Row],[CidadeCPF]]," | ")</f>
        <v>#N/A</v>
      </c>
      <c r="M46" s="26">
        <v>25400</v>
      </c>
      <c r="N46" s="78">
        <v>70500</v>
      </c>
      <c r="O46" s="1" t="s">
        <v>51</v>
      </c>
      <c r="P4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46" s="84">
        <v>11</v>
      </c>
      <c r="R46" s="1" t="str" cm="1">
        <f t="array" ref="R46">_xlfn.IFS(TabelaClean14[[#This Row],[qtde_batalhas]]&lt;=10,"Baixo",TabelaClean14[[#This Row],[qtde_batalhas]]&gt;=26,"Alto",TabelaClean14[[#This Row],[qtde_batalhas]]&lt;26,"Médio")</f>
        <v>Médio</v>
      </c>
      <c r="S46" s="1" t="str">
        <f>IF(AND(TabelaClean14[[#This Row],[nivel_risco]]="Alto",TabelaClean14[[#This Row],[flag_inadimplente]]="Sim"),"Arriscado","Ok")</f>
        <v>Ok</v>
      </c>
      <c r="T46" s="26">
        <v>47000</v>
      </c>
      <c r="U46" s="81">
        <f>IF(AND(TabelaClean14[[#This Row],[analise_risco]]="Arriscado",TabelaClean14[[#This Row],[analise_credito]]="Reprovado"),0,IF(TabelaClean14[[#This Row],[status]]="Ativo",TabelaClean14[[#This Row],[valor_solicitado]]*1.08,0))</f>
        <v>50760</v>
      </c>
      <c r="W46" s="1"/>
      <c r="Y46" t="s">
        <v>809</v>
      </c>
      <c r="Z46" t="str">
        <f t="shared" si="0"/>
        <v>Null</v>
      </c>
      <c r="AE46">
        <v>21400</v>
      </c>
      <c r="AF46" t="str">
        <f>TEXT(AE46,"000\.000\.000\-00")</f>
        <v>000.000.214-00</v>
      </c>
      <c r="AJ46" s="22">
        <v>5300</v>
      </c>
      <c r="AK46">
        <v>5300</v>
      </c>
      <c r="AM46" s="21">
        <v>6000</v>
      </c>
      <c r="AN46">
        <v>6000</v>
      </c>
      <c r="AO46">
        <v>6000</v>
      </c>
      <c r="AQ46" t="s">
        <v>121</v>
      </c>
      <c r="AZ46" s="38" t="s">
        <v>357</v>
      </c>
      <c r="BA46" t="s">
        <v>121</v>
      </c>
      <c r="BB46" s="26">
        <v>25400</v>
      </c>
      <c r="BC46" s="81">
        <f>IF(AND(TabelaClean14[[#This Row],[analise_risco]]="Arriscado",TabelaClean14[[#This Row],[analise_credito]]="Reprovado"),0,IF(TabelaClean14[[#This Row],[status]]="Ativo",TabelaClean14[[#This Row],[valor_solicitado]]*1.08,0))</f>
        <v>50760</v>
      </c>
    </row>
    <row r="47" spans="1:55">
      <c r="A47" s="24" t="s">
        <v>76</v>
      </c>
      <c r="B47" s="17" t="s">
        <v>306</v>
      </c>
      <c r="C47" s="25" t="s">
        <v>307</v>
      </c>
      <c r="D47" s="54" t="s">
        <v>844</v>
      </c>
      <c r="E47" s="30">
        <v>26161</v>
      </c>
      <c r="F47" s="24" t="str">
        <f>TabelaClean14[[#This Row],[CidadeCPF]]</f>
        <v>Jardim de Cima</v>
      </c>
      <c r="G47" s="17" t="str">
        <f>TabelaClean14[[#This Row],[RegiaoCPF]]</f>
        <v>Campina</v>
      </c>
      <c r="H47" s="17" t="str">
        <f>_xlfn.XLOOKUP(TabelaClean14[[#This Row],[cpf]],TabelaDirty[cpfclean],TabelaDirty[cidade])</f>
        <v>Jardim de Cima</v>
      </c>
      <c r="I47" s="17" t="s">
        <v>149</v>
      </c>
      <c r="J47" s="17" t="str">
        <f>PROPER(TabelaClean14[[#This Row],[Coluna1]])</f>
        <v>Campina</v>
      </c>
      <c r="K47" s="17" t="e">
        <f>_xlfn.TEXTBEFORE(TabelaClean14[[#This Row],[CidadeCPF]]," | ")</f>
        <v>#N/A</v>
      </c>
      <c r="L47" s="24" t="e">
        <f>_xlfn.TEXTAFTER(TabelaClean14[[#This Row],[CidadeCPF]]," | ")</f>
        <v>#N/A</v>
      </c>
      <c r="M47" s="26">
        <v>12200</v>
      </c>
      <c r="N47" s="78">
        <v>70500</v>
      </c>
      <c r="O47" s="1" t="s">
        <v>50</v>
      </c>
      <c r="P4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47" s="84">
        <v>33</v>
      </c>
      <c r="R47" s="1" t="str" cm="1">
        <f t="array" ref="R47">_xlfn.IFS(TabelaClean14[[#This Row],[qtde_batalhas]]&lt;=10,"Baixo",TabelaClean14[[#This Row],[qtde_batalhas]]&gt;=26,"Alto",TabelaClean14[[#This Row],[qtde_batalhas]]&lt;26,"Médio")</f>
        <v>Alto</v>
      </c>
      <c r="S47" s="1" t="str">
        <f>IF(AND(TabelaClean14[[#This Row],[nivel_risco]]="Alto",TabelaClean14[[#This Row],[flag_inadimplente]]="Sim"),"Arriscado","Ok")</f>
        <v>Ok</v>
      </c>
      <c r="T47" s="26">
        <v>78000</v>
      </c>
      <c r="U47" s="81">
        <f>IF(AND(TabelaClean14[[#This Row],[analise_risco]]="Arriscado",TabelaClean14[[#This Row],[analise_credito]]="Reprovado"),0,IF(TabelaClean14[[#This Row],[status]]="Ativo",TabelaClean14[[#This Row],[valor_solicitado]]*1.08,0))</f>
        <v>84240</v>
      </c>
      <c r="W47" s="1"/>
      <c r="Y47" t="s">
        <v>809</v>
      </c>
      <c r="Z47" t="str">
        <f t="shared" si="0"/>
        <v>Null</v>
      </c>
      <c r="AE47">
        <v>21900</v>
      </c>
      <c r="AF47" t="str">
        <f>TEXT(AE47,"000\.000\.000\-00")</f>
        <v>000.000.219-00</v>
      </c>
      <c r="AJ47" s="22">
        <v>6900</v>
      </c>
      <c r="AK47">
        <v>6900</v>
      </c>
      <c r="AM47" s="20">
        <v>52500</v>
      </c>
      <c r="AN47">
        <v>52500</v>
      </c>
      <c r="AO47">
        <v>52500</v>
      </c>
      <c r="AQ47" t="s">
        <v>83</v>
      </c>
      <c r="AZ47" s="39" t="s">
        <v>275</v>
      </c>
      <c r="BA47" t="s">
        <v>83</v>
      </c>
      <c r="BB47" s="26">
        <v>12200</v>
      </c>
      <c r="BC47" s="81">
        <f>IF(AND(TabelaClean14[[#This Row],[analise_risco]]="Arriscado",TabelaClean14[[#This Row],[analise_credito]]="Reprovado"),0,IF(TabelaClean14[[#This Row],[status]]="Ativo",TabelaClean14[[#This Row],[valor_solicitado]]*1.08,0))</f>
        <v>84240</v>
      </c>
    </row>
    <row r="48" spans="1:55">
      <c r="A48" s="24" t="s">
        <v>81</v>
      </c>
      <c r="B48" s="17" t="s">
        <v>177</v>
      </c>
      <c r="C48" s="25" t="s">
        <v>178</v>
      </c>
      <c r="D48" s="54">
        <v>68</v>
      </c>
      <c r="E48" s="30">
        <v>21293</v>
      </c>
      <c r="F48" s="24" t="str">
        <f>TabelaClean14[[#This Row],[CidadeCPF]]</f>
        <v>Pyke</v>
      </c>
      <c r="G48" s="17" t="str">
        <f>TabelaClean14[[#This Row],[RegiaoCPF]]</f>
        <v>Ilhas De Ferro</v>
      </c>
      <c r="H48" s="17" t="str">
        <f>_xlfn.XLOOKUP(TabelaClean14[[#This Row],[cpf]],TabelaDirty[cpfclean],TabelaDirty[cidade])</f>
        <v>Pyke</v>
      </c>
      <c r="I48" s="17" t="str">
        <f>_xlfn.XLOOKUP(TabelaClean14[[#This Row],[cpf]],TabelaDirty[cpfclean],TabelaDirty[regiao])</f>
        <v>Ilhas de Ferro</v>
      </c>
      <c r="J48" s="17" t="str">
        <f>PROPER(TabelaClean14[[#This Row],[Coluna1]])</f>
        <v>Ilhas De Ferro</v>
      </c>
      <c r="K48" s="17" t="e">
        <f>_xlfn.TEXTBEFORE(TabelaClean14[[#This Row],[CidadeCPF]]," | ")</f>
        <v>#N/A</v>
      </c>
      <c r="L48" s="24" t="e">
        <f>_xlfn.TEXTAFTER(TabelaClean14[[#This Row],[CidadeCPF]]," | ")</f>
        <v>#N/A</v>
      </c>
      <c r="M48" s="26">
        <v>3800</v>
      </c>
      <c r="N48" s="78">
        <v>70000</v>
      </c>
      <c r="O48" s="1" t="s">
        <v>51</v>
      </c>
      <c r="P4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48" s="84">
        <v>34</v>
      </c>
      <c r="R48" s="1" t="str" cm="1">
        <f t="array" ref="R48">_xlfn.IFS(TabelaClean14[[#This Row],[qtde_batalhas]]&lt;=10,"Baixo",TabelaClean14[[#This Row],[qtde_batalhas]]&gt;=26,"Alto",TabelaClean14[[#This Row],[qtde_batalhas]]&lt;26,"Médio")</f>
        <v>Alto</v>
      </c>
      <c r="S48" s="1" t="str">
        <f>IF(AND(TabelaClean14[[#This Row],[nivel_risco]]="Alto",TabelaClean14[[#This Row],[flag_inadimplente]]="Sim"),"Arriscado","Ok")</f>
        <v>Arriscado</v>
      </c>
      <c r="T48" s="26">
        <v>7500</v>
      </c>
      <c r="U4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48" s="1"/>
      <c r="Y48" t="s">
        <v>809</v>
      </c>
      <c r="Z48" t="str">
        <f t="shared" si="0"/>
        <v>Null</v>
      </c>
      <c r="AE48">
        <v>22300</v>
      </c>
      <c r="AF48" t="str">
        <f>TEXT(AE48,"000\.000\.000\-00")</f>
        <v>000.000.223-00</v>
      </c>
      <c r="AJ48" s="22">
        <v>18400</v>
      </c>
      <c r="AK48">
        <v>18400</v>
      </c>
      <c r="AM48" s="21">
        <v>62000</v>
      </c>
      <c r="AN48">
        <v>62000</v>
      </c>
      <c r="AO48">
        <v>62000</v>
      </c>
      <c r="AQ48" t="s">
        <v>103</v>
      </c>
      <c r="AZ48" s="38" t="s">
        <v>107</v>
      </c>
      <c r="BA48" t="s">
        <v>103</v>
      </c>
      <c r="BB48" s="26">
        <v>3800</v>
      </c>
      <c r="BC4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49" spans="1:55">
      <c r="A49" s="24" t="s">
        <v>76</v>
      </c>
      <c r="B49" s="17" t="s">
        <v>845</v>
      </c>
      <c r="C49" s="25" t="s">
        <v>846</v>
      </c>
      <c r="D49" s="54">
        <v>50</v>
      </c>
      <c r="E49" s="30">
        <v>27729</v>
      </c>
      <c r="F49" s="25" t="s">
        <v>89</v>
      </c>
      <c r="G49" s="25" t="s">
        <v>90</v>
      </c>
      <c r="H49" s="24">
        <v>22800</v>
      </c>
      <c r="I49" s="24">
        <v>70000</v>
      </c>
      <c r="J49" s="24" t="s">
        <v>51</v>
      </c>
      <c r="K49" s="24"/>
      <c r="L49" s="24"/>
      <c r="M49" s="26">
        <v>25500</v>
      </c>
      <c r="N49" s="78">
        <v>70000</v>
      </c>
      <c r="O49" s="1" t="s">
        <v>51</v>
      </c>
      <c r="P49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R49" s="76" t="str" cm="1">
        <f t="array" ref="R49">_xlfn.IFS(TabelaClean14[[#This Row],[qtde_batalhas]]&lt;=10,"Baixo",TabelaClean14[[#This Row],[qtde_batalhas]]&gt;=26,"Alto",TabelaClean14[[#This Row],[qtde_batalhas]]&lt;26,"Médio")</f>
        <v>Baixo</v>
      </c>
      <c r="S49" s="76" t="str">
        <f>IF(AND(TabelaClean14[[#This Row],[nivel_risco]]="Alto",TabelaClean14[[#This Row],[flag_inadimplente]]="Sim"),"Arriscado","Ok")</f>
        <v>Ok</v>
      </c>
      <c r="T49" s="26">
        <v>25500</v>
      </c>
      <c r="U49" s="81">
        <f>IF(AND(TabelaClean14[[#This Row],[analise_risco]]="Arriscado",TabelaClean14[[#This Row],[analise_credito]]="Reprovado"),0,IF(TabelaClean14[[#This Row],[status]]="Ativo",TabelaClean14[[#This Row],[valor_solicitado]]*1.08,0))</f>
        <v>27540</v>
      </c>
      <c r="W49" s="1"/>
      <c r="Y49" t="s">
        <v>809</v>
      </c>
      <c r="Z49" t="str">
        <f t="shared" si="0"/>
        <v>Null</v>
      </c>
      <c r="AE49">
        <v>23000</v>
      </c>
      <c r="AF49" t="str">
        <f>TEXT(AE49,"000\.000\.000\-00")</f>
        <v>000.000.230-00</v>
      </c>
      <c r="AJ49" s="22" t="s">
        <v>496</v>
      </c>
      <c r="AK49">
        <v>26800</v>
      </c>
      <c r="AM49" s="20">
        <v>42500</v>
      </c>
      <c r="AN49">
        <v>42500</v>
      </c>
      <c r="AO49">
        <v>42500</v>
      </c>
      <c r="AQ49" t="s">
        <v>223</v>
      </c>
      <c r="AZ49" s="39" t="s">
        <v>769</v>
      </c>
      <c r="BA49" t="s">
        <v>223</v>
      </c>
      <c r="BB49" s="26">
        <v>25500</v>
      </c>
      <c r="BC49" s="81">
        <f>IF(AND(TabelaClean14[[#This Row],[analise_risco]]="Arriscado",TabelaClean14[[#This Row],[analise_credito]]="Reprovado"),0,IF(TabelaClean14[[#This Row],[status]]="Ativo",TabelaClean14[[#This Row],[valor_solicitado]]*1.08,0))</f>
        <v>27540</v>
      </c>
    </row>
    <row r="50" spans="1:55">
      <c r="A50" s="24" t="s">
        <v>76</v>
      </c>
      <c r="B50" s="17" t="s">
        <v>369</v>
      </c>
      <c r="C50" s="25" t="s">
        <v>370</v>
      </c>
      <c r="D50" s="54">
        <v>51</v>
      </c>
      <c r="E50" s="30">
        <v>27413</v>
      </c>
      <c r="F50" s="24" t="str">
        <f>TabelaClean14[[#This Row],[CidadeCPF]]</f>
        <v>Fosso Cailin</v>
      </c>
      <c r="G50" s="17" t="str">
        <f>TabelaClean14[[#This Row],[RegiaoCPF]]</f>
        <v>Norte</v>
      </c>
      <c r="H50" s="17" t="str">
        <f>_xlfn.XLOOKUP(TabelaClean14[[#This Row],[cpf]],TabelaDirty[cpfclean],TabelaDirty[cidade])</f>
        <v>Fosso Cailin</v>
      </c>
      <c r="I50" s="17" t="str">
        <f>_xlfn.XLOOKUP(TabelaClean14[[#This Row],[cpf]],TabelaDirty[cpfclean],TabelaDirty[regiao])</f>
        <v>NORTE</v>
      </c>
      <c r="J50" s="17" t="str">
        <f>PROPER(TabelaClean14[[#This Row],[Coluna1]])</f>
        <v>Norte</v>
      </c>
      <c r="K50" s="17" t="e">
        <f>_xlfn.TEXTBEFORE(TabelaClean14[[#This Row],[CidadeCPF]]," | ")</f>
        <v>#N/A</v>
      </c>
      <c r="L50" s="24" t="e">
        <f>_xlfn.TEXTAFTER(TabelaClean14[[#This Row],[CidadeCPF]]," | ")</f>
        <v>#N/A</v>
      </c>
      <c r="M50" s="26">
        <v>18500</v>
      </c>
      <c r="N50" s="78">
        <v>69500</v>
      </c>
      <c r="O50" s="1" t="s">
        <v>50</v>
      </c>
      <c r="P5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0" s="84">
        <v>31</v>
      </c>
      <c r="R50" s="1" t="str" cm="1">
        <f t="array" ref="R50">_xlfn.IFS(TabelaClean14[[#This Row],[qtde_batalhas]]&lt;=10,"Baixo",TabelaClean14[[#This Row],[qtde_batalhas]]&gt;=26,"Alto",TabelaClean14[[#This Row],[qtde_batalhas]]&lt;26,"Médio")</f>
        <v>Alto</v>
      </c>
      <c r="S50" s="1" t="str">
        <f>IF(AND(TabelaClean14[[#This Row],[nivel_risco]]="Alto",TabelaClean14[[#This Row],[flag_inadimplente]]="Sim"),"Arriscado","Ok")</f>
        <v>Ok</v>
      </c>
      <c r="T50" s="26">
        <v>18000</v>
      </c>
      <c r="U50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  <c r="W50" s="1"/>
      <c r="Y50" t="s">
        <v>247</v>
      </c>
      <c r="Z50" t="str">
        <f t="shared" si="0"/>
        <v>Gargalo</v>
      </c>
      <c r="AE50">
        <v>23300</v>
      </c>
      <c r="AF50" t="str">
        <f>TEXT(AE50,"000\.000\.000\-00")</f>
        <v>000.000.233-00</v>
      </c>
      <c r="AJ50" s="22" t="s">
        <v>664</v>
      </c>
      <c r="AK50">
        <v>3600</v>
      </c>
      <c r="AM50" s="21">
        <v>64500</v>
      </c>
      <c r="AN50">
        <v>64500</v>
      </c>
      <c r="AO50">
        <v>64500</v>
      </c>
      <c r="AQ50" t="s">
        <v>223</v>
      </c>
      <c r="AZ50" s="38" t="s">
        <v>847</v>
      </c>
      <c r="BA50" t="s">
        <v>223</v>
      </c>
      <c r="BB50" s="26">
        <v>18500</v>
      </c>
      <c r="BC50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</row>
    <row r="51" spans="1:55">
      <c r="A51" s="24" t="s">
        <v>76</v>
      </c>
      <c r="B51" s="17" t="s">
        <v>848</v>
      </c>
      <c r="C51" s="25" t="s">
        <v>849</v>
      </c>
      <c r="D51" s="54">
        <v>35</v>
      </c>
      <c r="E51" s="30">
        <v>33370</v>
      </c>
      <c r="F51" s="25" t="s">
        <v>89</v>
      </c>
      <c r="G51" s="25" t="s">
        <v>413</v>
      </c>
      <c r="H51" s="24">
        <v>5600</v>
      </c>
      <c r="I51" s="24">
        <v>69500</v>
      </c>
      <c r="J51" s="24" t="s">
        <v>50</v>
      </c>
      <c r="K51" s="24">
        <v>13</v>
      </c>
      <c r="L51" s="24"/>
      <c r="M51" s="26">
        <v>43500</v>
      </c>
      <c r="N51" s="78">
        <v>69500</v>
      </c>
      <c r="O51" s="1" t="s">
        <v>50</v>
      </c>
      <c r="P5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1" s="84">
        <v>13</v>
      </c>
      <c r="R51" s="76" t="str" cm="1">
        <f t="array" ref="R51">_xlfn.IFS(TabelaClean14[[#This Row],[qtde_batalhas]]&lt;=10,"Baixo",TabelaClean14[[#This Row],[qtde_batalhas]]&gt;=26,"Alto",TabelaClean14[[#This Row],[qtde_batalhas]]&lt;26,"Médio")</f>
        <v>Médio</v>
      </c>
      <c r="S51" s="76" t="str">
        <f>IF(AND(TabelaClean14[[#This Row],[nivel_risco]]="Alto",TabelaClean14[[#This Row],[flag_inadimplente]]="Sim"),"Arriscado","Ok")</f>
        <v>Ok</v>
      </c>
      <c r="T51" s="26">
        <v>43500</v>
      </c>
      <c r="U51" s="81">
        <f>IF(AND(TabelaClean14[[#This Row],[analise_risco]]="Arriscado",TabelaClean14[[#This Row],[analise_credito]]="Reprovado"),0,IF(TabelaClean14[[#This Row],[status]]="Ativo",TabelaClean14[[#This Row],[valor_solicitado]]*1.08,0))</f>
        <v>46980</v>
      </c>
      <c r="W51" s="1"/>
      <c r="Y51" t="s">
        <v>809</v>
      </c>
      <c r="Z51" t="str">
        <f t="shared" si="0"/>
        <v>Null</v>
      </c>
      <c r="AE51">
        <v>23700</v>
      </c>
      <c r="AF51" t="str">
        <f>TEXT(AE51,"000\.000\.000\-00")</f>
        <v>000.000.237-00</v>
      </c>
      <c r="AH51" s="14" t="s">
        <v>339</v>
      </c>
      <c r="AI51" t="e" cm="1" vm="1">
        <f t="array" aca="1" ref="AI51" ca="1">_xlfn.TEXTSPLIT(AH51," | ")</f>
        <v>#VALUE!</v>
      </c>
      <c r="AJ51" s="22">
        <v>20300</v>
      </c>
      <c r="AK51">
        <v>20300</v>
      </c>
      <c r="AM51" s="20">
        <v>12000</v>
      </c>
      <c r="AN51">
        <v>12000</v>
      </c>
      <c r="AO51">
        <v>12000</v>
      </c>
      <c r="AQ51" t="s">
        <v>112</v>
      </c>
      <c r="AZ51" s="39" t="s">
        <v>117</v>
      </c>
      <c r="BA51" t="s">
        <v>112</v>
      </c>
      <c r="BB51" s="26">
        <v>43500</v>
      </c>
      <c r="BC51" s="81">
        <f>IF(AND(TabelaClean14[[#This Row],[analise_risco]]="Arriscado",TabelaClean14[[#This Row],[analise_credito]]="Reprovado"),0,IF(TabelaClean14[[#This Row],[status]]="Ativo",TabelaClean14[[#This Row],[valor_solicitado]]*1.08,0))</f>
        <v>46980</v>
      </c>
    </row>
    <row r="52" spans="1:55">
      <c r="A52" s="24" t="s">
        <v>76</v>
      </c>
      <c r="B52" s="17" t="s">
        <v>653</v>
      </c>
      <c r="C52" s="25" t="s">
        <v>654</v>
      </c>
      <c r="D52" s="54">
        <v>33</v>
      </c>
      <c r="E52" s="30">
        <v>34070</v>
      </c>
      <c r="F52" s="24" t="str">
        <f>TabelaClean14[[#This Row],[CidadeCPF]]</f>
        <v>Solar do Entardecer</v>
      </c>
      <c r="G52" s="17" t="str">
        <f>TabelaClean14[[#This Row],[RegiaoCPF]]</f>
        <v>Terras Da Tempestade</v>
      </c>
      <c r="H52" s="17" t="str">
        <f>_xlfn.XLOOKUP(TabelaClean14[[#This Row],[cpf]],TabelaDirty[cpfclean],TabelaDirty[cidade])</f>
        <v>Solar do Entardecer</v>
      </c>
      <c r="I52" s="17" t="str">
        <f>_xlfn.XLOOKUP(TabelaClean14[[#This Row],[cpf]],TabelaDirty[cpfclean],TabelaDirty[regiao])</f>
        <v>terras da tempestade</v>
      </c>
      <c r="J52" s="17" t="str">
        <f>PROPER(TabelaClean14[[#This Row],[Coluna1]])</f>
        <v>Terras Da Tempestade</v>
      </c>
      <c r="K52" s="17" t="e">
        <f>_xlfn.TEXTBEFORE(TabelaClean14[[#This Row],[CidadeCPF]]," | ")</f>
        <v>#N/A</v>
      </c>
      <c r="L52" s="24" t="e">
        <f>_xlfn.TEXTAFTER(TabelaClean14[[#This Row],[CidadeCPF]]," | ")</f>
        <v>#N/A</v>
      </c>
      <c r="M52" s="26">
        <v>29300</v>
      </c>
      <c r="N52" s="78">
        <v>69000</v>
      </c>
      <c r="O52" s="1" t="s">
        <v>51</v>
      </c>
      <c r="P5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52" s="84">
        <v>0</v>
      </c>
      <c r="R52" s="1" t="str" cm="1">
        <f t="array" ref="R52">_xlfn.IFS(TabelaClean14[[#This Row],[qtde_batalhas]]&lt;=10,"Baixo",TabelaClean14[[#This Row],[qtde_batalhas]]&gt;=26,"Alto",TabelaClean14[[#This Row],[qtde_batalhas]]&lt;26,"Médio")</f>
        <v>Baixo</v>
      </c>
      <c r="S52" s="1" t="str">
        <f>IF(AND(TabelaClean14[[#This Row],[nivel_risco]]="Alto",TabelaClean14[[#This Row],[flag_inadimplente]]="Sim"),"Arriscado","Ok")</f>
        <v>Ok</v>
      </c>
      <c r="T52" s="26">
        <v>4500</v>
      </c>
      <c r="U52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  <c r="W52" s="1"/>
      <c r="Y52" t="s">
        <v>809</v>
      </c>
      <c r="Z52" t="str">
        <f t="shared" si="0"/>
        <v>Null</v>
      </c>
      <c r="AE52">
        <v>23900</v>
      </c>
      <c r="AF52" t="str">
        <f>TEXT(AE52,"000\.000\.000\-00")</f>
        <v>000.000.239-00</v>
      </c>
      <c r="AH52" s="15" t="s">
        <v>162</v>
      </c>
      <c r="AJ52" s="22">
        <v>28000</v>
      </c>
      <c r="AK52">
        <v>28000</v>
      </c>
      <c r="AM52" s="21" t="s">
        <v>321</v>
      </c>
      <c r="AN52">
        <v>76500</v>
      </c>
      <c r="AO52">
        <v>76500</v>
      </c>
      <c r="AQ52" t="s">
        <v>103</v>
      </c>
      <c r="AZ52" s="38" t="s">
        <v>192</v>
      </c>
      <c r="BA52" t="s">
        <v>103</v>
      </c>
      <c r="BB52" s="26">
        <v>29300</v>
      </c>
      <c r="BC52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</row>
    <row r="53" spans="1:55">
      <c r="A53" s="24" t="s">
        <v>76</v>
      </c>
      <c r="B53" s="17" t="s">
        <v>721</v>
      </c>
      <c r="C53" s="25" t="s">
        <v>722</v>
      </c>
      <c r="D53" s="54">
        <v>39</v>
      </c>
      <c r="E53" s="30">
        <v>31968</v>
      </c>
      <c r="F53" s="17" t="str">
        <f>TabelaClean14[[#This Row],[CidadeClean]]</f>
        <v>Ilha dos Ursos</v>
      </c>
      <c r="G53" s="17" t="str">
        <f>TabelaClean14[[#This Row],[RegiaoClean]]</f>
        <v>Norte</v>
      </c>
      <c r="H53" s="17" t="str">
        <f>_xlfn.XLOOKUP(TabelaClean14[[#This Row],[cpf]],TabelaDirty[cpfclean],TabelaDirty[cidade])</f>
        <v>Ilha dos Ursos | Norte</v>
      </c>
      <c r="I53" s="17">
        <f>_xlfn.XLOOKUP(TabelaClean14[[#This Row],[cpf]],TabelaDirty[cpfclean],TabelaDirty[regiao])</f>
        <v>0</v>
      </c>
      <c r="J53" s="17" t="s">
        <v>142</v>
      </c>
      <c r="K53" s="17" t="str">
        <f>_xlfn.TEXTBEFORE(TabelaClean14[[#This Row],[CidadeCPF]]," | ")</f>
        <v>Ilha dos Ursos</v>
      </c>
      <c r="L53" s="24" t="str">
        <f>_xlfn.TEXTAFTER(TabelaClean14[[#This Row],[CidadeCPF]]," | ")</f>
        <v>Norte</v>
      </c>
      <c r="M53" s="26">
        <v>8000</v>
      </c>
      <c r="N53" s="78">
        <v>69000</v>
      </c>
      <c r="O53" s="1" t="s">
        <v>50</v>
      </c>
      <c r="P5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3" s="84">
        <v>15</v>
      </c>
      <c r="R53" s="1" t="str" cm="1">
        <f t="array" ref="R53">_xlfn.IFS(TabelaClean14[[#This Row],[qtde_batalhas]]&lt;=10,"Baixo",TabelaClean14[[#This Row],[qtde_batalhas]]&gt;=26,"Alto",TabelaClean14[[#This Row],[qtde_batalhas]]&lt;26,"Médio")</f>
        <v>Médio</v>
      </c>
      <c r="S53" s="1" t="str">
        <f>IF(AND(TabelaClean14[[#This Row],[nivel_risco]]="Alto",TabelaClean14[[#This Row],[flag_inadimplente]]="Sim"),"Arriscado","Ok")</f>
        <v>Ok</v>
      </c>
      <c r="T53" s="26">
        <v>39500</v>
      </c>
      <c r="U53" s="81">
        <f>IF(AND(TabelaClean14[[#This Row],[analise_risco]]="Arriscado",TabelaClean14[[#This Row],[analise_credito]]="Reprovado"),0,IF(TabelaClean14[[#This Row],[status]]="Ativo",TabelaClean14[[#This Row],[valor_solicitado]]*1.08,0))</f>
        <v>42660</v>
      </c>
      <c r="W53" s="1"/>
      <c r="Y53" t="s">
        <v>155</v>
      </c>
      <c r="Z53" t="str">
        <f t="shared" si="0"/>
        <v>Norte</v>
      </c>
      <c r="AE53">
        <v>24000</v>
      </c>
      <c r="AF53" t="str">
        <f>TEXT(AE53,"000\.000\.000\-00")</f>
        <v>000.000.240-00</v>
      </c>
      <c r="AH53" s="15" t="s">
        <v>223</v>
      </c>
      <c r="AJ53" s="22">
        <v>16000</v>
      </c>
      <c r="AK53">
        <v>16000</v>
      </c>
      <c r="AM53" s="20">
        <v>48000</v>
      </c>
      <c r="AN53">
        <v>48000</v>
      </c>
      <c r="AO53">
        <v>48000</v>
      </c>
      <c r="AQ53" t="s">
        <v>302</v>
      </c>
      <c r="AZ53" s="39" t="s">
        <v>780</v>
      </c>
      <c r="BA53" t="s">
        <v>302</v>
      </c>
      <c r="BB53" s="26">
        <v>8000</v>
      </c>
      <c r="BC53" s="81">
        <f>IF(AND(TabelaClean14[[#This Row],[analise_risco]]="Arriscado",TabelaClean14[[#This Row],[analise_credito]]="Reprovado"),0,IF(TabelaClean14[[#This Row],[status]]="Ativo",TabelaClean14[[#This Row],[valor_solicitado]]*1.08,0))</f>
        <v>42660</v>
      </c>
    </row>
    <row r="54" spans="1:55">
      <c r="A54" s="24" t="s">
        <v>76</v>
      </c>
      <c r="B54" s="17" t="s">
        <v>150</v>
      </c>
      <c r="C54" s="25" t="s">
        <v>151</v>
      </c>
      <c r="D54" s="54">
        <v>23</v>
      </c>
      <c r="E54" s="30">
        <v>37627</v>
      </c>
      <c r="F54" s="24" t="str">
        <f>TabelaClean14[[#This Row],[CidadeCPF]]</f>
        <v>Correrrio</v>
      </c>
      <c r="G54" s="17" t="str">
        <f>TabelaClean14[[#This Row],[RegiaoCPF]]</f>
        <v>Terras Fluviais</v>
      </c>
      <c r="H54" s="17" t="str">
        <f>_xlfn.XLOOKUP(TabelaClean14[[#This Row],[cpf]],TabelaDirty[cpfclean],TabelaDirty[cidade])</f>
        <v>Correrrio</v>
      </c>
      <c r="I54" s="17" t="str">
        <f>_xlfn.XLOOKUP(TabelaClean14[[#This Row],[cpf]],TabelaDirty[cpfclean],TabelaDirty[regiao])</f>
        <v>TERRAS FLUVIAIS</v>
      </c>
      <c r="J54" s="17" t="str">
        <f>PROPER(TabelaClean14[[#This Row],[Coluna1]])</f>
        <v>Terras Fluviais</v>
      </c>
      <c r="K54" s="17" t="e">
        <f>_xlfn.TEXTBEFORE(TabelaClean14[[#This Row],[CidadeCPF]]," | ")</f>
        <v>#N/A</v>
      </c>
      <c r="L54" s="24" t="e">
        <f>_xlfn.TEXTAFTER(TabelaClean14[[#This Row],[CidadeCPF]]," | ")</f>
        <v>#N/A</v>
      </c>
      <c r="N54" s="78">
        <v>69000</v>
      </c>
      <c r="O54" s="1" t="s">
        <v>50</v>
      </c>
      <c r="P5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4" s="84">
        <v>20</v>
      </c>
      <c r="R54" s="1" t="str" cm="1">
        <f t="array" ref="R54">_xlfn.IFS(TabelaClean14[[#This Row],[qtde_batalhas]]&lt;=10,"Baixo",TabelaClean14[[#This Row],[qtde_batalhas]]&gt;=26,"Alto",TabelaClean14[[#This Row],[qtde_batalhas]]&lt;26,"Médio")</f>
        <v>Médio</v>
      </c>
      <c r="S54" s="1" t="str">
        <f>IF(AND(TabelaClean14[[#This Row],[nivel_risco]]="Alto",TabelaClean14[[#This Row],[flag_inadimplente]]="Sim"),"Arriscado","Ok")</f>
        <v>Ok</v>
      </c>
      <c r="T54" s="26">
        <v>69000</v>
      </c>
      <c r="U54" s="81">
        <f>IF(AND(TabelaClean14[[#This Row],[analise_risco]]="Arriscado",TabelaClean14[[#This Row],[analise_credito]]="Reprovado"),0,IF(TabelaClean14[[#This Row],[status]]="Ativo",TabelaClean14[[#This Row],[valor_solicitado]]*1.08,0))</f>
        <v>74520</v>
      </c>
      <c r="W54" s="1"/>
      <c r="Y54" t="s">
        <v>809</v>
      </c>
      <c r="Z54" t="str">
        <f t="shared" si="0"/>
        <v>Null</v>
      </c>
      <c r="AE54">
        <v>24300</v>
      </c>
      <c r="AF54" t="str">
        <f>TEXT(AE54,"000\.000\.000\-00")</f>
        <v>000.000.243-00</v>
      </c>
      <c r="AH54" s="15" t="s">
        <v>148</v>
      </c>
      <c r="AJ54" s="22">
        <v>22900</v>
      </c>
      <c r="AK54">
        <v>22900</v>
      </c>
      <c r="AM54" s="21">
        <v>7500</v>
      </c>
      <c r="AN54">
        <v>7500</v>
      </c>
      <c r="AO54">
        <v>7500</v>
      </c>
      <c r="AQ54" t="s">
        <v>141</v>
      </c>
      <c r="AZ54" s="38" t="s">
        <v>850</v>
      </c>
      <c r="BA54" t="s">
        <v>141</v>
      </c>
      <c r="BC54" s="81">
        <f>IF(AND(TabelaClean14[[#This Row],[analise_risco]]="Arriscado",TabelaClean14[[#This Row],[analise_credito]]="Reprovado"),0,IF(TabelaClean14[[#This Row],[status]]="Ativo",TabelaClean14[[#This Row],[valor_solicitado]]*1.08,0))</f>
        <v>74520</v>
      </c>
    </row>
    <row r="55" spans="1:55">
      <c r="A55" s="24" t="s">
        <v>81</v>
      </c>
      <c r="B55" s="17" t="s">
        <v>851</v>
      </c>
      <c r="C55" s="25" t="s">
        <v>637</v>
      </c>
      <c r="D55" s="54">
        <v>49</v>
      </c>
      <c r="E55" s="30">
        <v>28286</v>
      </c>
      <c r="F55" s="24" t="str">
        <f>TabelaClean14[[#This Row],[CidadeCPF]]</f>
        <v>Pyke</v>
      </c>
      <c r="G55" s="17" t="str">
        <f>TabelaClean14[[#This Row],[RegiaoCPF]]</f>
        <v>Ilhas De Ferro</v>
      </c>
      <c r="H55" s="17" t="str">
        <f>_xlfn.XLOOKUP(TabelaClean14[[#This Row],[cpf]],TabelaDirty[cpfclean],TabelaDirty[cidade])</f>
        <v>Pyke</v>
      </c>
      <c r="I55" s="17" t="str">
        <f>_xlfn.XLOOKUP(TabelaClean14[[#This Row],[cpf]],TabelaDirty[cpfclean],TabelaDirty[regiao])</f>
        <v>Ilhas De Ferro</v>
      </c>
      <c r="J55" s="17" t="str">
        <f>PROPER(TabelaClean14[[#This Row],[Coluna1]])</f>
        <v>Ilhas De Ferro</v>
      </c>
      <c r="K55" s="17" t="e">
        <f>_xlfn.TEXTBEFORE(TabelaClean14[[#This Row],[CidadeCPF]]," | ")</f>
        <v>#N/A</v>
      </c>
      <c r="L55" s="24" t="e">
        <f>_xlfn.TEXTAFTER(TabelaClean14[[#This Row],[CidadeCPF]]," | ")</f>
        <v>#N/A</v>
      </c>
      <c r="M55" s="26">
        <v>21900</v>
      </c>
      <c r="N55" s="78">
        <v>69000</v>
      </c>
      <c r="O55" s="1" t="s">
        <v>50</v>
      </c>
      <c r="P5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5" s="84">
        <v>4</v>
      </c>
      <c r="R55" s="1" t="str" cm="1">
        <f t="array" ref="R55">_xlfn.IFS(TabelaClean14[[#This Row],[qtde_batalhas]]&lt;=10,"Baixo",TabelaClean14[[#This Row],[qtde_batalhas]]&gt;=26,"Alto",TabelaClean14[[#This Row],[qtde_batalhas]]&lt;26,"Médio")</f>
        <v>Baixo</v>
      </c>
      <c r="S55" s="1" t="str">
        <f>IF(AND(TabelaClean14[[#This Row],[nivel_risco]]="Alto",TabelaClean14[[#This Row],[flag_inadimplente]]="Sim"),"Arriscado","Ok")</f>
        <v>Ok</v>
      </c>
      <c r="T55" s="26">
        <v>80500</v>
      </c>
      <c r="U5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55" s="1"/>
      <c r="Y55" t="s">
        <v>809</v>
      </c>
      <c r="Z55" t="str">
        <f t="shared" si="0"/>
        <v>Null</v>
      </c>
      <c r="AE55">
        <v>25200</v>
      </c>
      <c r="AF55" t="str">
        <f>TEXT(AE55,"000\.000\.000\-00")</f>
        <v>000.000.252-00</v>
      </c>
      <c r="AH55" s="15" t="s">
        <v>183</v>
      </c>
      <c r="AJ55" s="22">
        <v>13800</v>
      </c>
      <c r="AK55">
        <v>13800</v>
      </c>
      <c r="AM55" s="20">
        <v>42000</v>
      </c>
      <c r="AN55">
        <v>42000</v>
      </c>
      <c r="AO55">
        <v>42000</v>
      </c>
      <c r="AQ55" t="s">
        <v>154</v>
      </c>
      <c r="AZ55" s="39" t="s">
        <v>153</v>
      </c>
      <c r="BA55" t="s">
        <v>154</v>
      </c>
      <c r="BB55" s="26">
        <v>21900</v>
      </c>
      <c r="BC5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56" spans="1:55">
      <c r="A56" s="24" t="s">
        <v>76</v>
      </c>
      <c r="B56" s="17" t="s">
        <v>721</v>
      </c>
      <c r="C56" s="25" t="s">
        <v>722</v>
      </c>
      <c r="D56" s="54">
        <v>39</v>
      </c>
      <c r="E56" s="30">
        <v>31968</v>
      </c>
      <c r="F56" s="25" t="s">
        <v>154</v>
      </c>
      <c r="G56" s="25" t="s">
        <v>142</v>
      </c>
      <c r="H56" s="24">
        <v>8000</v>
      </c>
      <c r="I56" s="24">
        <v>69000</v>
      </c>
      <c r="J56" s="24" t="s">
        <v>50</v>
      </c>
      <c r="K56" s="24"/>
      <c r="L56" s="24"/>
      <c r="M56" s="26">
        <v>6500</v>
      </c>
      <c r="N56" s="78">
        <v>69000</v>
      </c>
      <c r="O56" s="1" t="s">
        <v>50</v>
      </c>
      <c r="P5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56" s="76" t="str" cm="1">
        <f t="array" ref="R56">_xlfn.IFS(TabelaClean14[[#This Row],[qtde_batalhas]]&lt;=10,"Baixo",TabelaClean14[[#This Row],[qtde_batalhas]]&gt;=26,"Alto",TabelaClean14[[#This Row],[qtde_batalhas]]&lt;26,"Médio")</f>
        <v>Baixo</v>
      </c>
      <c r="S56" s="76" t="str">
        <f>IF(AND(TabelaClean14[[#This Row],[nivel_risco]]="Alto",TabelaClean14[[#This Row],[flag_inadimplente]]="Sim"),"Arriscado","Ok")</f>
        <v>Ok</v>
      </c>
      <c r="T56" s="26">
        <v>6500</v>
      </c>
      <c r="U56" s="81">
        <f>IF(AND(TabelaClean14[[#This Row],[analise_risco]]="Arriscado",TabelaClean14[[#This Row],[analise_credito]]="Reprovado"),0,IF(TabelaClean14[[#This Row],[status]]="Ativo",TabelaClean14[[#This Row],[valor_solicitado]]*1.08,0))</f>
        <v>7020.0000000000009</v>
      </c>
      <c r="W56" s="1"/>
      <c r="Y56" t="s">
        <v>809</v>
      </c>
      <c r="Z56" t="str">
        <f t="shared" si="0"/>
        <v>Null</v>
      </c>
      <c r="AE56">
        <v>25700</v>
      </c>
      <c r="AF56" t="str">
        <f>TEXT(AE56,"000\.000\.000\-00")</f>
        <v>000.000.257-00</v>
      </c>
      <c r="AH56" s="15" t="s">
        <v>121</v>
      </c>
      <c r="AJ56" s="22">
        <v>11100</v>
      </c>
      <c r="AK56">
        <v>11100</v>
      </c>
      <c r="AM56" s="21">
        <v>13000</v>
      </c>
      <c r="AN56">
        <v>13000</v>
      </c>
      <c r="AO56">
        <v>13000</v>
      </c>
      <c r="AQ56" t="s">
        <v>162</v>
      </c>
      <c r="AZ56" s="38" t="s">
        <v>586</v>
      </c>
      <c r="BA56" t="s">
        <v>162</v>
      </c>
      <c r="BB56" s="26">
        <v>6500</v>
      </c>
      <c r="BC56" s="81">
        <f>IF(AND(TabelaClean14[[#This Row],[analise_risco]]="Arriscado",TabelaClean14[[#This Row],[analise_credito]]="Reprovado"),0,IF(TabelaClean14[[#This Row],[status]]="Ativo",TabelaClean14[[#This Row],[valor_solicitado]]*1.08,0))</f>
        <v>7020.0000000000009</v>
      </c>
    </row>
    <row r="57" spans="1:55">
      <c r="A57" s="24" t="s">
        <v>76</v>
      </c>
      <c r="B57" s="17" t="s">
        <v>634</v>
      </c>
      <c r="C57" s="25" t="s">
        <v>852</v>
      </c>
      <c r="D57" s="54">
        <v>26</v>
      </c>
      <c r="E57" s="30">
        <v>36411</v>
      </c>
      <c r="F57" s="24" t="str">
        <f>TabelaClean14[[#This Row],[CidadeCPF]]</f>
        <v>Correrrio</v>
      </c>
      <c r="G57" s="17" t="str">
        <f>TabelaClean14[[#This Row],[RegiaoCPF]]</f>
        <v>Terras Fluviais</v>
      </c>
      <c r="H57" s="17" t="str">
        <f>_xlfn.XLOOKUP(TabelaClean14[[#This Row],[cpf]],TabelaDirty[cpfclean],TabelaDirty[cidade])</f>
        <v>Correrrio</v>
      </c>
      <c r="I57" s="17" t="str">
        <f>_xlfn.XLOOKUP(TabelaClean14[[#This Row],[cpf]],TabelaDirty[cpfclean],TabelaDirty[regiao])</f>
        <v>Terras Fluviais</v>
      </c>
      <c r="J57" s="17" t="str">
        <f>PROPER(TabelaClean14[[#This Row],[Coluna1]])</f>
        <v>Terras Fluviais</v>
      </c>
      <c r="K57" s="17" t="e">
        <f>_xlfn.TEXTBEFORE(TabelaClean14[[#This Row],[CidadeCPF]]," | ")</f>
        <v>#N/A</v>
      </c>
      <c r="L57" s="24" t="e">
        <f>_xlfn.TEXTAFTER(TabelaClean14[[#This Row],[CidadeCPF]]," | ")</f>
        <v>#N/A</v>
      </c>
      <c r="M57" s="26">
        <v>9200</v>
      </c>
      <c r="N57" s="78">
        <v>68500</v>
      </c>
      <c r="O57" s="1" t="s">
        <v>50</v>
      </c>
      <c r="P5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7" s="84">
        <v>27</v>
      </c>
      <c r="R57" s="1" t="str" cm="1">
        <f t="array" ref="R57">_xlfn.IFS(TabelaClean14[[#This Row],[qtde_batalhas]]&lt;=10,"Baixo",TabelaClean14[[#This Row],[qtde_batalhas]]&gt;=26,"Alto",TabelaClean14[[#This Row],[qtde_batalhas]]&lt;26,"Médio")</f>
        <v>Alto</v>
      </c>
      <c r="S57" s="1" t="str">
        <f>IF(AND(TabelaClean14[[#This Row],[nivel_risco]]="Alto",TabelaClean14[[#This Row],[flag_inadimplente]]="Sim"),"Arriscado","Ok")</f>
        <v>Ok</v>
      </c>
      <c r="T57" s="26">
        <v>7000</v>
      </c>
      <c r="U57" s="81">
        <f>IF(AND(TabelaClean14[[#This Row],[analise_risco]]="Arriscado",TabelaClean14[[#This Row],[analise_credito]]="Reprovado"),0,IF(TabelaClean14[[#This Row],[status]]="Ativo",TabelaClean14[[#This Row],[valor_solicitado]]*1.08,0))</f>
        <v>7560.0000000000009</v>
      </c>
      <c r="W57" s="1"/>
      <c r="Y57" t="s">
        <v>84</v>
      </c>
      <c r="Z57" t="str">
        <f t="shared" si="0"/>
        <v>Terras Da Tempestade</v>
      </c>
      <c r="AE57">
        <v>26400</v>
      </c>
      <c r="AF57" t="str">
        <f>TEXT(AE57,"000\.000\.000\-00")</f>
        <v>000.000.264-00</v>
      </c>
      <c r="AH57" s="15" t="s">
        <v>141</v>
      </c>
      <c r="AJ57" s="22">
        <v>24500</v>
      </c>
      <c r="AK57">
        <v>24500</v>
      </c>
      <c r="AM57" s="20">
        <v>16500</v>
      </c>
      <c r="AN57">
        <v>16500</v>
      </c>
      <c r="AO57">
        <v>16500</v>
      </c>
      <c r="AQ57" t="s">
        <v>112</v>
      </c>
      <c r="AZ57" s="39" t="s">
        <v>189</v>
      </c>
      <c r="BA57" t="s">
        <v>112</v>
      </c>
      <c r="BB57" s="26">
        <v>9200</v>
      </c>
      <c r="BC57" s="81">
        <f>IF(AND(TabelaClean14[[#This Row],[analise_risco]]="Arriscado",TabelaClean14[[#This Row],[analise_credito]]="Reprovado"),0,IF(TabelaClean14[[#This Row],[status]]="Ativo",TabelaClean14[[#This Row],[valor_solicitado]]*1.08,0))</f>
        <v>7560.0000000000009</v>
      </c>
    </row>
    <row r="58" spans="1:55">
      <c r="A58" s="24" t="s">
        <v>76</v>
      </c>
      <c r="B58" s="17" t="s">
        <v>521</v>
      </c>
      <c r="C58" s="25" t="s">
        <v>522</v>
      </c>
      <c r="D58" s="54">
        <v>53</v>
      </c>
      <c r="E58" s="30">
        <v>26898</v>
      </c>
      <c r="F58" s="24" t="str">
        <f>TabelaClean14[[#This Row],[CidadeCPF]]</f>
        <v>Fosso Cailin</v>
      </c>
      <c r="G58" s="17" t="str">
        <f>TabelaClean14[[#This Row],[RegiaoCPF]]</f>
        <v>Norte</v>
      </c>
      <c r="H58" s="17" t="str">
        <f>_xlfn.XLOOKUP(TabelaClean14[[#This Row],[cpf]],TabelaDirty[cpfclean],TabelaDirty[cidade])</f>
        <v>Fosso Cailin</v>
      </c>
      <c r="I58" s="17" t="str">
        <f>_xlfn.XLOOKUP(TabelaClean14[[#This Row],[cpf]],TabelaDirty[cpfclean],TabelaDirty[regiao])</f>
        <v>Norte</v>
      </c>
      <c r="J58" s="17" t="str">
        <f>PROPER(TabelaClean14[[#This Row],[Coluna1]])</f>
        <v>Norte</v>
      </c>
      <c r="K58" s="17" t="e">
        <f>_xlfn.TEXTBEFORE(TabelaClean14[[#This Row],[CidadeCPF]]," | ")</f>
        <v>#N/A</v>
      </c>
      <c r="L58" s="24" t="e">
        <f>_xlfn.TEXTAFTER(TabelaClean14[[#This Row],[CidadeCPF]]," | ")</f>
        <v>#N/A</v>
      </c>
      <c r="M58" s="26">
        <v>27100</v>
      </c>
      <c r="N58" s="78">
        <v>68000</v>
      </c>
      <c r="O58" s="1" t="s">
        <v>50</v>
      </c>
      <c r="P5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8" s="84">
        <v>40</v>
      </c>
      <c r="R58" s="1" t="str" cm="1">
        <f t="array" ref="R58">_xlfn.IFS(TabelaClean14[[#This Row],[qtde_batalhas]]&lt;=10,"Baixo",TabelaClean14[[#This Row],[qtde_batalhas]]&gt;=26,"Alto",TabelaClean14[[#This Row],[qtde_batalhas]]&lt;26,"Médio")</f>
        <v>Alto</v>
      </c>
      <c r="S58" s="1" t="str">
        <f>IF(AND(TabelaClean14[[#This Row],[nivel_risco]]="Alto",TabelaClean14[[#This Row],[flag_inadimplente]]="Sim"),"Arriscado","Ok")</f>
        <v>Ok</v>
      </c>
      <c r="T58" s="26">
        <v>49500</v>
      </c>
      <c r="U58" s="81">
        <f>IF(AND(TabelaClean14[[#This Row],[analise_risco]]="Arriscado",TabelaClean14[[#This Row],[analise_credito]]="Reprovado"),0,IF(TabelaClean14[[#This Row],[status]]="Ativo",TabelaClean14[[#This Row],[valor_solicitado]]*1.08,0))</f>
        <v>53460</v>
      </c>
      <c r="W58" s="1"/>
      <c r="Y58" t="s">
        <v>809</v>
      </c>
      <c r="Z58" t="str">
        <f t="shared" si="0"/>
        <v>Null</v>
      </c>
      <c r="AE58">
        <v>26700</v>
      </c>
      <c r="AF58" t="str">
        <f>TEXT(AE58,"000\.000\.000\-00")</f>
        <v>000.000.267-00</v>
      </c>
      <c r="AH58" s="15" t="s">
        <v>112</v>
      </c>
      <c r="AJ58" s="22">
        <v>13800</v>
      </c>
      <c r="AK58">
        <v>13800</v>
      </c>
      <c r="AM58" s="21">
        <v>45500</v>
      </c>
      <c r="AN58">
        <v>45500</v>
      </c>
      <c r="AO58">
        <v>45500</v>
      </c>
      <c r="AQ58" t="s">
        <v>162</v>
      </c>
      <c r="AZ58" s="38" t="s">
        <v>195</v>
      </c>
      <c r="BA58" t="s">
        <v>162</v>
      </c>
      <c r="BB58" s="26">
        <v>27100</v>
      </c>
      <c r="BC58" s="81">
        <f>IF(AND(TabelaClean14[[#This Row],[analise_risco]]="Arriscado",TabelaClean14[[#This Row],[analise_credito]]="Reprovado"),0,IF(TabelaClean14[[#This Row],[status]]="Ativo",TabelaClean14[[#This Row],[valor_solicitado]]*1.08,0))</f>
        <v>53460</v>
      </c>
    </row>
    <row r="59" spans="1:55">
      <c r="A59" s="24" t="s">
        <v>76</v>
      </c>
      <c r="B59" s="17" t="s">
        <v>160</v>
      </c>
      <c r="C59" s="25" t="s">
        <v>161</v>
      </c>
      <c r="D59" s="54">
        <v>68</v>
      </c>
      <c r="E59" s="30">
        <v>21145</v>
      </c>
      <c r="F59" s="24" t="str">
        <f>TabelaClean14[[#This Row],[CidadeCPF]]</f>
        <v>Fosso Cailin</v>
      </c>
      <c r="G59" s="17" t="str">
        <f>TabelaClean14[[#This Row],[RegiaoCPF]]</f>
        <v>Norte</v>
      </c>
      <c r="H59" s="17" t="str">
        <f>_xlfn.XLOOKUP(TabelaClean14[[#This Row],[cpf]],TabelaDirty[cpfclean],TabelaDirty[cidade])</f>
        <v>Fosso Cailin</v>
      </c>
      <c r="I59" s="17" t="str">
        <f>_xlfn.XLOOKUP(TabelaClean14[[#This Row],[cpf]],TabelaDirty[cpfclean],TabelaDirty[regiao])</f>
        <v>Norte</v>
      </c>
      <c r="J59" s="17" t="str">
        <f>PROPER(TabelaClean14[[#This Row],[Coluna1]])</f>
        <v>Norte</v>
      </c>
      <c r="K59" s="17" t="e">
        <f>_xlfn.TEXTBEFORE(TabelaClean14[[#This Row],[CidadeCPF]]," | ")</f>
        <v>#N/A</v>
      </c>
      <c r="L59" s="24" t="e">
        <f>_xlfn.TEXTAFTER(TabelaClean14[[#This Row],[CidadeCPF]]," | ")</f>
        <v>#N/A</v>
      </c>
      <c r="M59" s="26">
        <v>29000</v>
      </c>
      <c r="N59" s="78">
        <v>67500</v>
      </c>
      <c r="O59" s="1" t="s">
        <v>50</v>
      </c>
      <c r="P5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59" s="84">
        <v>25</v>
      </c>
      <c r="R59" s="1" t="str" cm="1">
        <f t="array" ref="R59">_xlfn.IFS(TabelaClean14[[#This Row],[qtde_batalhas]]&lt;=10,"Baixo",TabelaClean14[[#This Row],[qtde_batalhas]]&gt;=26,"Alto",TabelaClean14[[#This Row],[qtde_batalhas]]&lt;26,"Médio")</f>
        <v>Médio</v>
      </c>
      <c r="S59" s="1" t="str">
        <f>IF(AND(TabelaClean14[[#This Row],[nivel_risco]]="Alto",TabelaClean14[[#This Row],[flag_inadimplente]]="Sim"),"Arriscado","Ok")</f>
        <v>Ok</v>
      </c>
      <c r="T59" s="26">
        <v>18000</v>
      </c>
      <c r="U59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  <c r="W59" s="1"/>
      <c r="Y59" t="s">
        <v>809</v>
      </c>
      <c r="Z59" t="str">
        <f t="shared" si="0"/>
        <v>Null</v>
      </c>
      <c r="AE59">
        <v>27100</v>
      </c>
      <c r="AF59" t="str">
        <f>TEXT(AE59,"000\.000\.000\-00")</f>
        <v>000.000.271-00</v>
      </c>
      <c r="AH59" s="15" t="s">
        <v>83</v>
      </c>
      <c r="AJ59" s="22">
        <v>29300</v>
      </c>
      <c r="AK59">
        <v>29300</v>
      </c>
      <c r="AM59" s="20">
        <v>69000</v>
      </c>
      <c r="AN59">
        <v>69000</v>
      </c>
      <c r="AO59">
        <v>69000</v>
      </c>
      <c r="AQ59" t="s">
        <v>162</v>
      </c>
      <c r="AZ59" s="39" t="s">
        <v>853</v>
      </c>
      <c r="BA59" t="s">
        <v>162</v>
      </c>
      <c r="BB59" s="26">
        <v>29000</v>
      </c>
      <c r="BC59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</row>
    <row r="60" spans="1:55">
      <c r="A60" s="24" t="s">
        <v>81</v>
      </c>
      <c r="B60" s="17" t="s">
        <v>620</v>
      </c>
      <c r="C60" s="25" t="s">
        <v>621</v>
      </c>
      <c r="D60" s="54">
        <v>67</v>
      </c>
      <c r="E60" s="30">
        <v>21674</v>
      </c>
      <c r="F60" s="24" t="str">
        <f>TabelaClean14[[#This Row],[CidadeCPF]]</f>
        <v>Atalaia da Água Cinzenta</v>
      </c>
      <c r="G60" s="17" t="str">
        <f>TabelaClean14[[#This Row],[RegiaoCPF]]</f>
        <v>Gargalo</v>
      </c>
      <c r="H60" s="17" t="str">
        <f>_xlfn.XLOOKUP(TabelaClean14[[#This Row],[cpf]],TabelaDirty[cpfclean],TabelaDirty[cidade])</f>
        <v>Atalaia da Água Cinzenta</v>
      </c>
      <c r="I60" s="17" t="str">
        <f>_xlfn.XLOOKUP(TabelaClean14[[#This Row],[cpf]],TabelaDirty[cpfclean],TabelaDirty[regiao])</f>
        <v>Gargalo</v>
      </c>
      <c r="J60" s="17" t="str">
        <f>PROPER(TabelaClean14[[#This Row],[Coluna1]])</f>
        <v>Gargalo</v>
      </c>
      <c r="K60" s="17" t="e">
        <f>_xlfn.TEXTBEFORE(TabelaClean14[[#This Row],[CidadeCPF]]," | ")</f>
        <v>#N/A</v>
      </c>
      <c r="L60" s="24" t="e">
        <f>_xlfn.TEXTAFTER(TabelaClean14[[#This Row],[CidadeCPF]]," | ")</f>
        <v>#N/A</v>
      </c>
      <c r="M60" s="26">
        <v>15200</v>
      </c>
      <c r="N60" s="78">
        <v>67500</v>
      </c>
      <c r="O60" s="1" t="s">
        <v>50</v>
      </c>
      <c r="P6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0" s="84">
        <v>12</v>
      </c>
      <c r="R60" s="1" t="str" cm="1">
        <f t="array" ref="R60">_xlfn.IFS(TabelaClean14[[#This Row],[qtde_batalhas]]&lt;=10,"Baixo",TabelaClean14[[#This Row],[qtde_batalhas]]&gt;=26,"Alto",TabelaClean14[[#This Row],[qtde_batalhas]]&lt;26,"Médio")</f>
        <v>Médio</v>
      </c>
      <c r="S60" s="1" t="str">
        <f>IF(AND(TabelaClean14[[#This Row],[nivel_risco]]="Alto",TabelaClean14[[#This Row],[flag_inadimplente]]="Sim"),"Arriscado","Ok")</f>
        <v>Ok</v>
      </c>
      <c r="T60" s="26">
        <v>97500</v>
      </c>
      <c r="U6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60" s="1"/>
      <c r="Y60" t="s">
        <v>142</v>
      </c>
      <c r="Z60" t="str">
        <f t="shared" si="0"/>
        <v>Norte</v>
      </c>
      <c r="AE60">
        <v>27200</v>
      </c>
      <c r="AF60" t="str">
        <f>TEXT(AE60,"000\.000\.000\-00")</f>
        <v>000.000.272-00</v>
      </c>
      <c r="AH60" s="15" t="s">
        <v>103</v>
      </c>
      <c r="AJ60" s="22">
        <v>11200</v>
      </c>
      <c r="AK60">
        <v>11200</v>
      </c>
      <c r="AM60" s="21"/>
      <c r="AN60" t="s">
        <v>809</v>
      </c>
      <c r="AO60" t="s">
        <v>809</v>
      </c>
      <c r="AQ60" t="s">
        <v>112</v>
      </c>
      <c r="AZ60" s="38" t="s">
        <v>231</v>
      </c>
      <c r="BA60" t="s">
        <v>112</v>
      </c>
      <c r="BB60" s="26">
        <v>15200</v>
      </c>
      <c r="BC6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61" spans="1:55">
      <c r="A61" s="24" t="s">
        <v>76</v>
      </c>
      <c r="B61" s="17" t="s">
        <v>401</v>
      </c>
      <c r="C61" s="25" t="s">
        <v>854</v>
      </c>
      <c r="D61" s="54">
        <v>41</v>
      </c>
      <c r="E61" s="30">
        <v>30992</v>
      </c>
      <c r="F61" s="24" t="str">
        <f>TabelaClean14[[#This Row],[CidadeCPF]]</f>
        <v>Lannisporto</v>
      </c>
      <c r="G61" s="17" t="str">
        <f>TabelaClean14[[#This Row],[RegiaoCPF]]</f>
        <v>Oeste</v>
      </c>
      <c r="H61" s="17" t="str">
        <f>_xlfn.XLOOKUP(TabelaClean14[[#This Row],[cpf]],TabelaDirty[cpfclean],TabelaDirty[cidade])</f>
        <v>Lannisporto</v>
      </c>
      <c r="I61" s="17" t="str">
        <f>_xlfn.XLOOKUP(TabelaClean14[[#This Row],[cpf]],TabelaDirty[cpfclean],TabelaDirty[regiao])</f>
        <v>OESTE</v>
      </c>
      <c r="J61" s="17" t="str">
        <f>PROPER(TabelaClean14[[#This Row],[Coluna1]])</f>
        <v>Oeste</v>
      </c>
      <c r="K61" s="17" t="e">
        <f>_xlfn.TEXTBEFORE(TabelaClean14[[#This Row],[CidadeCPF]]," | ")</f>
        <v>#N/A</v>
      </c>
      <c r="L61" s="24" t="e">
        <f>_xlfn.TEXTAFTER(TabelaClean14[[#This Row],[CidadeCPF]]," | ")</f>
        <v>#N/A</v>
      </c>
      <c r="M61" s="26">
        <v>28600</v>
      </c>
      <c r="N61" s="78">
        <v>67500</v>
      </c>
      <c r="O61" s="1" t="s">
        <v>50</v>
      </c>
      <c r="P6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1" s="84">
        <v>39</v>
      </c>
      <c r="R61" s="1" t="str" cm="1">
        <f t="array" ref="R61">_xlfn.IFS(TabelaClean14[[#This Row],[qtde_batalhas]]&lt;=10,"Baixo",TabelaClean14[[#This Row],[qtde_batalhas]]&gt;=26,"Alto",TabelaClean14[[#This Row],[qtde_batalhas]]&lt;26,"Médio")</f>
        <v>Alto</v>
      </c>
      <c r="S61" s="1" t="str">
        <f>IF(AND(TabelaClean14[[#This Row],[nivel_risco]]="Alto",TabelaClean14[[#This Row],[flag_inadimplente]]="Sim"),"Arriscado","Ok")</f>
        <v>Ok</v>
      </c>
      <c r="T61" s="26">
        <v>22000</v>
      </c>
      <c r="U61" s="81">
        <f>IF(AND(TabelaClean14[[#This Row],[analise_risco]]="Arriscado",TabelaClean14[[#This Row],[analise_credito]]="Reprovado"),0,IF(TabelaClean14[[#This Row],[status]]="Ativo",TabelaClean14[[#This Row],[valor_solicitado]]*1.08,0))</f>
        <v>23760</v>
      </c>
      <c r="W61" s="1"/>
      <c r="Y61" t="s">
        <v>142</v>
      </c>
      <c r="Z61" t="str">
        <f t="shared" si="0"/>
        <v>Norte</v>
      </c>
      <c r="AE61">
        <v>27300</v>
      </c>
      <c r="AF61" t="str">
        <f>TEXT(AE61,"000\.000\.000\-00")</f>
        <v>000.000.273-00</v>
      </c>
      <c r="AH61" s="15" t="s">
        <v>172</v>
      </c>
      <c r="AJ61" s="22">
        <v>14000</v>
      </c>
      <c r="AK61">
        <v>14000</v>
      </c>
      <c r="AM61" s="20">
        <v>63500</v>
      </c>
      <c r="AN61">
        <v>63500</v>
      </c>
      <c r="AO61">
        <v>63500</v>
      </c>
      <c r="AQ61" t="s">
        <v>302</v>
      </c>
      <c r="AZ61" s="39" t="s">
        <v>601</v>
      </c>
      <c r="BA61" t="s">
        <v>302</v>
      </c>
      <c r="BB61" s="26">
        <v>28600</v>
      </c>
      <c r="BC61" s="81">
        <f>IF(AND(TabelaClean14[[#This Row],[analise_risco]]="Arriscado",TabelaClean14[[#This Row],[analise_credito]]="Reprovado"),0,IF(TabelaClean14[[#This Row],[status]]="Ativo",TabelaClean14[[#This Row],[valor_solicitado]]*1.08,0))</f>
        <v>23760</v>
      </c>
    </row>
    <row r="62" spans="1:55">
      <c r="A62" s="24" t="s">
        <v>76</v>
      </c>
      <c r="B62" s="17" t="s">
        <v>689</v>
      </c>
      <c r="C62" s="25" t="s">
        <v>690</v>
      </c>
      <c r="D62" s="54">
        <v>53</v>
      </c>
      <c r="E62" s="30">
        <v>26840</v>
      </c>
      <c r="F62" s="17" t="str">
        <f>TabelaClean14[[#This Row],[CidadeClean]]</f>
        <v>Ilha dos Ursos</v>
      </c>
      <c r="G62" s="17" t="str">
        <f>TabelaClean14[[#This Row],[RegiaoClean]]</f>
        <v>Norte</v>
      </c>
      <c r="H62" s="17" t="str">
        <f>_xlfn.XLOOKUP(TabelaClean14[[#This Row],[cpf]],TabelaDirty[cpfclean],TabelaDirty[cidade])</f>
        <v>Ilha dos Ursos | Norte</v>
      </c>
      <c r="I62" s="17">
        <f>_xlfn.XLOOKUP(TabelaClean14[[#This Row],[cpf]],TabelaDirty[cpfclean],TabelaDirty[regiao])</f>
        <v>0</v>
      </c>
      <c r="J62" s="17" t="s">
        <v>142</v>
      </c>
      <c r="K62" s="17" t="str">
        <f>_xlfn.TEXTBEFORE(TabelaClean14[[#This Row],[CidadeCPF]]," | ")</f>
        <v>Ilha dos Ursos</v>
      </c>
      <c r="L62" s="24" t="str">
        <f>_xlfn.TEXTAFTER(TabelaClean14[[#This Row],[CidadeCPF]]," | ")</f>
        <v>Norte</v>
      </c>
      <c r="M62" s="26">
        <v>9500</v>
      </c>
      <c r="N62" s="78">
        <v>66500</v>
      </c>
      <c r="O62" s="1" t="s">
        <v>51</v>
      </c>
      <c r="P6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62" s="84">
        <v>38</v>
      </c>
      <c r="R62" s="1" t="str" cm="1">
        <f t="array" ref="R62">_xlfn.IFS(TabelaClean14[[#This Row],[qtde_batalhas]]&lt;=10,"Baixo",TabelaClean14[[#This Row],[qtde_batalhas]]&gt;=26,"Alto",TabelaClean14[[#This Row],[qtde_batalhas]]&lt;26,"Médio")</f>
        <v>Alto</v>
      </c>
      <c r="S62" s="1" t="str">
        <f>IF(AND(TabelaClean14[[#This Row],[nivel_risco]]="Alto",TabelaClean14[[#This Row],[flag_inadimplente]]="Sim"),"Arriscado","Ok")</f>
        <v>Arriscado</v>
      </c>
      <c r="T62" s="26">
        <v>42500</v>
      </c>
      <c r="U6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62" s="1"/>
      <c r="Y62" t="s">
        <v>809</v>
      </c>
      <c r="Z62" t="str">
        <f t="shared" si="0"/>
        <v>Null</v>
      </c>
      <c r="AE62">
        <v>27800</v>
      </c>
      <c r="AF62" t="str">
        <f>TEXT(AE62,"000\.000\.000\-00")</f>
        <v>000.000.278-00</v>
      </c>
      <c r="AH62" s="15" t="s">
        <v>154</v>
      </c>
      <c r="AJ62" s="22">
        <v>2900</v>
      </c>
      <c r="AK62">
        <v>2900</v>
      </c>
      <c r="AM62" s="21">
        <v>76000</v>
      </c>
      <c r="AN62">
        <v>76000</v>
      </c>
      <c r="AO62">
        <v>76000</v>
      </c>
      <c r="AQ62" t="s">
        <v>183</v>
      </c>
      <c r="AZ62" s="38" t="s">
        <v>782</v>
      </c>
      <c r="BA62" t="s">
        <v>183</v>
      </c>
      <c r="BB62" s="26">
        <v>9500</v>
      </c>
      <c r="BC6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63" spans="1:55">
      <c r="A63" s="24" t="s">
        <v>81</v>
      </c>
      <c r="B63" s="17" t="s">
        <v>855</v>
      </c>
      <c r="C63" s="25" t="s">
        <v>346</v>
      </c>
      <c r="D63" s="54">
        <v>68</v>
      </c>
      <c r="E63" s="30">
        <v>21205</v>
      </c>
      <c r="F63" s="24" t="str">
        <f>TabelaClean14[[#This Row],[CidadeCPF]]</f>
        <v>Jardim de Cima</v>
      </c>
      <c r="G63" s="17" t="str">
        <f>TabelaClean14[[#This Row],[RegiaoCPF]]</f>
        <v>Campina</v>
      </c>
      <c r="H63" s="17" t="str">
        <f>_xlfn.XLOOKUP(TabelaClean14[[#This Row],[cpf]],TabelaDirty[cpfclean],TabelaDirty[cidade])</f>
        <v>Jardim de Cima</v>
      </c>
      <c r="I63" s="17" t="str">
        <f>_xlfn.XLOOKUP(TabelaClean14[[#This Row],[cpf]],TabelaDirty[cpfclean],TabelaDirty[regiao])</f>
        <v>Campina</v>
      </c>
      <c r="J63" s="17" t="str">
        <f>PROPER(TabelaClean14[[#This Row],[Coluna1]])</f>
        <v>Campina</v>
      </c>
      <c r="K63" s="17" t="e">
        <f>_xlfn.TEXTBEFORE(TabelaClean14[[#This Row],[CidadeCPF]]," | ")</f>
        <v>#N/A</v>
      </c>
      <c r="L63" s="24" t="e">
        <f>_xlfn.TEXTAFTER(TabelaClean14[[#This Row],[CidadeCPF]]," | ")</f>
        <v>#N/A</v>
      </c>
      <c r="M63" s="26">
        <v>8200</v>
      </c>
      <c r="N63" s="78">
        <v>66000</v>
      </c>
      <c r="O63" s="1" t="s">
        <v>50</v>
      </c>
      <c r="P6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3" s="84">
        <v>16</v>
      </c>
      <c r="R63" s="1" t="str" cm="1">
        <f t="array" ref="R63">_xlfn.IFS(TabelaClean14[[#This Row],[qtde_batalhas]]&lt;=10,"Baixo",TabelaClean14[[#This Row],[qtde_batalhas]]&gt;=26,"Alto",TabelaClean14[[#This Row],[qtde_batalhas]]&lt;26,"Médio")</f>
        <v>Médio</v>
      </c>
      <c r="S63" s="1" t="str">
        <f>IF(AND(TabelaClean14[[#This Row],[nivel_risco]]="Alto",TabelaClean14[[#This Row],[flag_inadimplente]]="Sim"),"Arriscado","Ok")</f>
        <v>Ok</v>
      </c>
      <c r="T63" s="26">
        <v>84000</v>
      </c>
      <c r="U6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63" s="1"/>
      <c r="Y63" t="s">
        <v>122</v>
      </c>
      <c r="Z63" t="str">
        <f t="shared" si="0"/>
        <v>Essos</v>
      </c>
      <c r="AE63">
        <v>27900</v>
      </c>
      <c r="AF63" t="str">
        <f>TEXT(AE63,"000\.000\.000\-00")</f>
        <v>000.000.279-00</v>
      </c>
      <c r="AH63" s="15" t="s">
        <v>141</v>
      </c>
      <c r="AJ63" s="22" t="s">
        <v>128</v>
      </c>
      <c r="AK63">
        <v>19500</v>
      </c>
      <c r="AM63" s="20">
        <v>62000</v>
      </c>
      <c r="AN63">
        <v>62000</v>
      </c>
      <c r="AO63">
        <v>62000</v>
      </c>
      <c r="AQ63" t="s">
        <v>172</v>
      </c>
      <c r="AZ63" s="39" t="s">
        <v>593</v>
      </c>
      <c r="BA63" t="s">
        <v>172</v>
      </c>
      <c r="BB63" s="26">
        <v>8200</v>
      </c>
      <c r="BC6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64" spans="1:55">
      <c r="A64" s="24" t="s">
        <v>76</v>
      </c>
      <c r="B64" s="17" t="s">
        <v>856</v>
      </c>
      <c r="C64" s="25" t="s">
        <v>857</v>
      </c>
      <c r="D64" s="54">
        <v>44</v>
      </c>
      <c r="E64" s="30">
        <v>30081</v>
      </c>
      <c r="F64" s="24" t="str">
        <f>TabelaClean14[[#This Row],[CidadeCPF]]</f>
        <v>Braavos</v>
      </c>
      <c r="G64" s="17" t="str">
        <f>TabelaClean14[[#This Row],[RegiaoCPF]]</f>
        <v>Essos</v>
      </c>
      <c r="H64" s="17" t="str">
        <f>_xlfn.XLOOKUP(TabelaClean14[[#This Row],[cpf]],TabelaDirty[cpfclean],TabelaDirty[cidade])</f>
        <v>Braavos</v>
      </c>
      <c r="I64" s="17" t="str">
        <f>_xlfn.XLOOKUP(TabelaClean14[[#This Row],[cpf]],TabelaDirty[cpfclean],TabelaDirty[regiao])</f>
        <v>Essos</v>
      </c>
      <c r="J64" s="17" t="str">
        <f>PROPER(TabelaClean14[[#This Row],[Coluna1]])</f>
        <v>Essos</v>
      </c>
      <c r="K64" s="17" t="e">
        <f>_xlfn.TEXTBEFORE(TabelaClean14[[#This Row],[CidadeCPF]]," | ")</f>
        <v>#N/A</v>
      </c>
      <c r="L64" s="24" t="e">
        <f>_xlfn.TEXTAFTER(TabelaClean14[[#This Row],[CidadeCPF]]," | ")</f>
        <v>#N/A</v>
      </c>
      <c r="M64" s="26">
        <v>9600</v>
      </c>
      <c r="N64" s="78">
        <v>66000</v>
      </c>
      <c r="O64" s="1" t="s">
        <v>50</v>
      </c>
      <c r="P6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4" s="84">
        <v>11</v>
      </c>
      <c r="R64" s="1" t="str" cm="1">
        <f t="array" ref="R64">_xlfn.IFS(TabelaClean14[[#This Row],[qtde_batalhas]]&lt;=10,"Baixo",TabelaClean14[[#This Row],[qtde_batalhas]]&gt;=26,"Alto",TabelaClean14[[#This Row],[qtde_batalhas]]&lt;26,"Médio")</f>
        <v>Médio</v>
      </c>
      <c r="S64" s="1" t="str">
        <f>IF(AND(TabelaClean14[[#This Row],[nivel_risco]]="Alto",TabelaClean14[[#This Row],[flag_inadimplente]]="Sim"),"Arriscado","Ok")</f>
        <v>Ok</v>
      </c>
      <c r="T64" s="26">
        <v>4500</v>
      </c>
      <c r="U64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  <c r="W64" s="1"/>
      <c r="Y64" t="s">
        <v>809</v>
      </c>
      <c r="Z64" t="str">
        <f t="shared" si="0"/>
        <v>Null</v>
      </c>
      <c r="AE64">
        <v>29500</v>
      </c>
      <c r="AF64" t="str">
        <f>TEXT(AE64,"000\.000\.000\-00")</f>
        <v>000.000.295-00</v>
      </c>
      <c r="AH64" s="15" t="s">
        <v>169</v>
      </c>
      <c r="AJ64" s="22" t="s">
        <v>128</v>
      </c>
      <c r="AK64">
        <v>19500</v>
      </c>
      <c r="AM64" s="21">
        <v>39000</v>
      </c>
      <c r="AN64">
        <v>39000</v>
      </c>
      <c r="AO64">
        <v>39000</v>
      </c>
      <c r="AQ64" t="s">
        <v>172</v>
      </c>
      <c r="AZ64" s="38" t="s">
        <v>858</v>
      </c>
      <c r="BA64" t="s">
        <v>172</v>
      </c>
      <c r="BB64" s="26">
        <v>9600</v>
      </c>
      <c r="BC64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</row>
    <row r="65" spans="1:55">
      <c r="A65" s="24" t="s">
        <v>76</v>
      </c>
      <c r="B65" s="17" t="s">
        <v>539</v>
      </c>
      <c r="C65" s="25" t="s">
        <v>540</v>
      </c>
      <c r="D65" s="54">
        <v>64</v>
      </c>
      <c r="E65" s="30">
        <v>22886</v>
      </c>
      <c r="F65" s="24" t="str">
        <f>TabelaClean14[[#This Row],[CidadeCPF]]</f>
        <v>Pyke</v>
      </c>
      <c r="G65" s="17" t="str">
        <f>TabelaClean14[[#This Row],[RegiaoCPF]]</f>
        <v>Ilhas De Ferro</v>
      </c>
      <c r="H65" s="17" t="str">
        <f>_xlfn.XLOOKUP(TabelaClean14[[#This Row],[cpf]],TabelaDirty[cpfclean],TabelaDirty[cidade])</f>
        <v>Pyke</v>
      </c>
      <c r="I65" s="17" t="str">
        <f>_xlfn.XLOOKUP(TabelaClean14[[#This Row],[cpf]],TabelaDirty[cpfclean],TabelaDirty[regiao])</f>
        <v>Ilhas de Ferro</v>
      </c>
      <c r="J65" s="17" t="str">
        <f>PROPER(TabelaClean14[[#This Row],[Coluna1]])</f>
        <v>Ilhas De Ferro</v>
      </c>
      <c r="K65" s="17" t="e">
        <f>_xlfn.TEXTBEFORE(TabelaClean14[[#This Row],[CidadeCPF]]," | ")</f>
        <v>#N/A</v>
      </c>
      <c r="L65" s="24" t="e">
        <f>_xlfn.TEXTAFTER(TabelaClean14[[#This Row],[CidadeCPF]]," | ")</f>
        <v>#N/A</v>
      </c>
      <c r="M65" s="26">
        <v>8800</v>
      </c>
      <c r="N65" s="78">
        <v>66000</v>
      </c>
      <c r="O65" s="1" t="s">
        <v>50</v>
      </c>
      <c r="P6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5" s="84">
        <v>28</v>
      </c>
      <c r="R65" s="1" t="str" cm="1">
        <f t="array" ref="R65">_xlfn.IFS(TabelaClean14[[#This Row],[qtde_batalhas]]&lt;=10,"Baixo",TabelaClean14[[#This Row],[qtde_batalhas]]&gt;=26,"Alto",TabelaClean14[[#This Row],[qtde_batalhas]]&lt;26,"Médio")</f>
        <v>Alto</v>
      </c>
      <c r="S65" s="1" t="str">
        <f>IF(AND(TabelaClean14[[#This Row],[nivel_risco]]="Alto",TabelaClean14[[#This Row],[flag_inadimplente]]="Sim"),"Arriscado","Ok")</f>
        <v>Ok</v>
      </c>
      <c r="T65" s="26">
        <v>5000</v>
      </c>
      <c r="U65" s="81">
        <f>IF(AND(TabelaClean14[[#This Row],[analise_risco]]="Arriscado",TabelaClean14[[#This Row],[analise_credito]]="Reprovado"),0,IF(TabelaClean14[[#This Row],[status]]="Ativo",TabelaClean14[[#This Row],[valor_solicitado]]*1.08,0))</f>
        <v>5400</v>
      </c>
      <c r="W65" s="1"/>
      <c r="Y65" t="s">
        <v>809</v>
      </c>
      <c r="Z65" t="str">
        <f t="shared" si="0"/>
        <v>Null</v>
      </c>
      <c r="AE65">
        <v>29900</v>
      </c>
      <c r="AF65" t="str">
        <f>TEXT(AE65,"000\.000\.000\-00")</f>
        <v>000.000.299-00</v>
      </c>
      <c r="AH65" s="15" t="s">
        <v>302</v>
      </c>
      <c r="AJ65" s="22">
        <v>9500</v>
      </c>
      <c r="AK65">
        <v>9500</v>
      </c>
      <c r="AM65" s="20">
        <v>58000</v>
      </c>
      <c r="AN65">
        <v>58000</v>
      </c>
      <c r="AO65">
        <v>58000</v>
      </c>
      <c r="AQ65" t="s">
        <v>83</v>
      </c>
      <c r="AZ65" s="39" t="s">
        <v>673</v>
      </c>
      <c r="BA65" t="s">
        <v>83</v>
      </c>
      <c r="BB65" s="26">
        <v>8800</v>
      </c>
      <c r="BC65" s="81">
        <f>IF(AND(TabelaClean14[[#This Row],[analise_risco]]="Arriscado",TabelaClean14[[#This Row],[analise_credito]]="Reprovado"),0,IF(TabelaClean14[[#This Row],[status]]="Ativo",TabelaClean14[[#This Row],[valor_solicitado]]*1.08,0))</f>
        <v>5400</v>
      </c>
    </row>
    <row r="66" spans="1:55">
      <c r="A66" s="24" t="s">
        <v>76</v>
      </c>
      <c r="B66" s="17" t="s">
        <v>755</v>
      </c>
      <c r="C66" s="25" t="s">
        <v>756</v>
      </c>
      <c r="D66" s="54" t="s">
        <v>809</v>
      </c>
      <c r="E66" s="30">
        <v>34769</v>
      </c>
      <c r="F66" s="24" t="str">
        <f>TabelaClean14[[#This Row],[CidadeCPF]]</f>
        <v>Lannisporto</v>
      </c>
      <c r="G66" s="17" t="str">
        <f>TabelaClean14[[#This Row],[RegiaoCPF]]</f>
        <v>Oeste</v>
      </c>
      <c r="H66" s="17" t="str">
        <f>_xlfn.XLOOKUP(TabelaClean14[[#This Row],[cpf]],TabelaDirty[cpfclean],TabelaDirty[cidade])</f>
        <v>Lannisporto</v>
      </c>
      <c r="I66" s="17" t="str">
        <f>_xlfn.XLOOKUP(TabelaClean14[[#This Row],[cpf]],TabelaDirty[cpfclean],TabelaDirty[regiao])</f>
        <v>oeste</v>
      </c>
      <c r="J66" s="17" t="str">
        <f>PROPER(TabelaClean14[[#This Row],[Coluna1]])</f>
        <v>Oeste</v>
      </c>
      <c r="K66" s="17" t="e">
        <f>_xlfn.TEXTBEFORE(TabelaClean14[[#This Row],[CidadeCPF]]," | ")</f>
        <v>#N/A</v>
      </c>
      <c r="L66" s="24" t="e">
        <f>_xlfn.TEXTAFTER(TabelaClean14[[#This Row],[CidadeCPF]]," | ")</f>
        <v>#N/A</v>
      </c>
      <c r="M66" s="26">
        <v>9000</v>
      </c>
      <c r="N66" s="78">
        <v>66000</v>
      </c>
      <c r="O66" s="1" t="s">
        <v>50</v>
      </c>
      <c r="P6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6" s="84">
        <v>24</v>
      </c>
      <c r="R66" s="1" t="str" cm="1">
        <f t="array" ref="R66">_xlfn.IFS(TabelaClean14[[#This Row],[qtde_batalhas]]&lt;=10,"Baixo",TabelaClean14[[#This Row],[qtde_batalhas]]&gt;=26,"Alto",TabelaClean14[[#This Row],[qtde_batalhas]]&lt;26,"Médio")</f>
        <v>Médio</v>
      </c>
      <c r="S66" s="1" t="str">
        <f>IF(AND(TabelaClean14[[#This Row],[nivel_risco]]="Alto",TabelaClean14[[#This Row],[flag_inadimplente]]="Sim"),"Arriscado","Ok")</f>
        <v>Ok</v>
      </c>
      <c r="T66" s="26">
        <v>72000</v>
      </c>
      <c r="U66" s="81">
        <f>IF(AND(TabelaClean14[[#This Row],[analise_risco]]="Arriscado",TabelaClean14[[#This Row],[analise_credito]]="Reprovado"),0,IF(TabelaClean14[[#This Row],[status]]="Ativo",TabelaClean14[[#This Row],[valor_solicitado]]*1.08,0))</f>
        <v>77760</v>
      </c>
      <c r="W66" s="1"/>
      <c r="Y66" t="s">
        <v>183</v>
      </c>
      <c r="Z66" t="str">
        <f t="shared" si="0"/>
        <v>Dorne</v>
      </c>
      <c r="AE66">
        <v>30000</v>
      </c>
      <c r="AF66" t="str">
        <f>TEXT(AE66,"000\.000\.000\-00")</f>
        <v>000.000.300-00</v>
      </c>
      <c r="AH66" s="15" t="s">
        <v>162</v>
      </c>
      <c r="AJ66" s="22">
        <v>25200</v>
      </c>
      <c r="AK66">
        <v>25200</v>
      </c>
      <c r="AM66" s="21">
        <v>0</v>
      </c>
      <c r="AN66">
        <v>0</v>
      </c>
      <c r="AO66">
        <v>0</v>
      </c>
      <c r="AQ66" t="s">
        <v>223</v>
      </c>
      <c r="AZ66" s="38" t="s">
        <v>677</v>
      </c>
      <c r="BA66" t="s">
        <v>223</v>
      </c>
      <c r="BB66" s="26">
        <v>9000</v>
      </c>
      <c r="BC66" s="81">
        <f>IF(AND(TabelaClean14[[#This Row],[analise_risco]]="Arriscado",TabelaClean14[[#This Row],[analise_credito]]="Reprovado"),0,IF(TabelaClean14[[#This Row],[status]]="Ativo",TabelaClean14[[#This Row],[valor_solicitado]]*1.08,0))</f>
        <v>77760</v>
      </c>
    </row>
    <row r="67" spans="1:55">
      <c r="A67" s="24" t="s">
        <v>76</v>
      </c>
      <c r="B67" s="17" t="s">
        <v>859</v>
      </c>
      <c r="C67" s="25" t="s">
        <v>389</v>
      </c>
      <c r="D67" s="54">
        <v>26</v>
      </c>
      <c r="E67" s="30">
        <v>36622</v>
      </c>
      <c r="F67" s="24" t="str">
        <f>TabelaClean14[[#This Row],[CidadeCPF]]</f>
        <v>Dorne</v>
      </c>
      <c r="G67" s="17" t="str">
        <f>TabelaClean14[[#This Row],[RegiaoCPF]]</f>
        <v>Dorne</v>
      </c>
      <c r="H67" s="17" t="str">
        <f>_xlfn.XLOOKUP(TabelaClean14[[#This Row],[cpf]],TabelaDirty[cpfclean],TabelaDirty[cidade])</f>
        <v>Dorne</v>
      </c>
      <c r="I67" s="17" t="str">
        <f>_xlfn.XLOOKUP(TabelaClean14[[#This Row],[cpf]],TabelaDirty[cpfclean],TabelaDirty[regiao])</f>
        <v>Dorne</v>
      </c>
      <c r="J67" s="17" t="str">
        <f>PROPER(TabelaClean14[[#This Row],[Coluna1]])</f>
        <v>Dorne</v>
      </c>
      <c r="K67" s="17" t="e">
        <f>_xlfn.TEXTBEFORE(TabelaClean14[[#This Row],[CidadeCPF]]," | ")</f>
        <v>#N/A</v>
      </c>
      <c r="L67" s="24" t="e">
        <f>_xlfn.TEXTAFTER(TabelaClean14[[#This Row],[CidadeCPF]]," | ")</f>
        <v>#N/A</v>
      </c>
      <c r="M67" s="26">
        <v>22900</v>
      </c>
      <c r="N67" s="78">
        <v>65500</v>
      </c>
      <c r="O67" s="1" t="s">
        <v>51</v>
      </c>
      <c r="P6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67" s="84">
        <v>40</v>
      </c>
      <c r="R67" s="1" t="str" cm="1">
        <f t="array" ref="R67">_xlfn.IFS(TabelaClean14[[#This Row],[qtde_batalhas]]&lt;=10,"Baixo",TabelaClean14[[#This Row],[qtde_batalhas]]&gt;=26,"Alto",TabelaClean14[[#This Row],[qtde_batalhas]]&lt;26,"Médio")</f>
        <v>Alto</v>
      </c>
      <c r="S67" s="1" t="str">
        <f>IF(AND(TabelaClean14[[#This Row],[nivel_risco]]="Alto",TabelaClean14[[#This Row],[flag_inadimplente]]="Sim"),"Arriscado","Ok")</f>
        <v>Arriscado</v>
      </c>
      <c r="T67" s="26">
        <v>95500</v>
      </c>
      <c r="U6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67" s="1"/>
      <c r="Y67" t="s">
        <v>809</v>
      </c>
      <c r="Z67" t="str">
        <f t="shared" si="0"/>
        <v>Null</v>
      </c>
      <c r="AE67">
        <v>30500</v>
      </c>
      <c r="AF67" t="str">
        <f>TEXT(AE67,"000\.000\.000\-00")</f>
        <v>000.000.305-00</v>
      </c>
      <c r="AH67" s="15" t="s">
        <v>112</v>
      </c>
      <c r="AJ67" s="22">
        <v>21900</v>
      </c>
      <c r="AK67">
        <v>21900</v>
      </c>
      <c r="AM67" s="20">
        <v>69000</v>
      </c>
      <c r="AN67">
        <v>69000</v>
      </c>
      <c r="AO67">
        <v>69000</v>
      </c>
      <c r="AQ67" t="s">
        <v>210</v>
      </c>
      <c r="AZ67" s="39" t="s">
        <v>209</v>
      </c>
      <c r="BA67" t="s">
        <v>210</v>
      </c>
      <c r="BB67" s="26">
        <v>22900</v>
      </c>
      <c r="BC6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68" spans="1:55">
      <c r="A68" s="24" t="s">
        <v>76</v>
      </c>
      <c r="B68" s="17" t="s">
        <v>663</v>
      </c>
      <c r="C68" s="25" t="s">
        <v>860</v>
      </c>
      <c r="D68" s="54">
        <v>68</v>
      </c>
      <c r="E68" s="30">
        <v>21079</v>
      </c>
      <c r="F68" s="24" t="str">
        <f>TabelaClean14[[#This Row],[CidadeCPF]]</f>
        <v>Atalaia da Água Cinzenta</v>
      </c>
      <c r="G68" s="17" t="str">
        <f>TabelaClean14[[#This Row],[RegiaoCPF]]</f>
        <v>Gargalo</v>
      </c>
      <c r="H68" s="17" t="str">
        <f>_xlfn.XLOOKUP(TabelaClean14[[#This Row],[cpf]],TabelaDirty[cpfclean],TabelaDirty[cidade])</f>
        <v>Atalaia da Água Cinzenta</v>
      </c>
      <c r="I68" s="17" t="str">
        <f>_xlfn.XLOOKUP(TabelaClean14[[#This Row],[cpf]],TabelaDirty[cpfclean],TabelaDirty[regiao])</f>
        <v>GARGALO</v>
      </c>
      <c r="J68" s="17" t="str">
        <f>PROPER(TabelaClean14[[#This Row],[Coluna1]])</f>
        <v>Gargalo</v>
      </c>
      <c r="K68" s="17" t="e">
        <f>_xlfn.TEXTBEFORE(TabelaClean14[[#This Row],[CidadeCPF]]," | ")</f>
        <v>#N/A</v>
      </c>
      <c r="L68" s="24" t="e">
        <f>_xlfn.TEXTAFTER(TabelaClean14[[#This Row],[CidadeCPF]]," | ")</f>
        <v>#N/A</v>
      </c>
      <c r="M68" s="26">
        <v>3600</v>
      </c>
      <c r="N68" s="78">
        <v>64500</v>
      </c>
      <c r="O68" s="1" t="s">
        <v>51</v>
      </c>
      <c r="P6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68" s="84">
        <v>32</v>
      </c>
      <c r="R68" s="1" t="str" cm="1">
        <f t="array" ref="R68">_xlfn.IFS(TabelaClean14[[#This Row],[qtde_batalhas]]&lt;=10,"Baixo",TabelaClean14[[#This Row],[qtde_batalhas]]&gt;=26,"Alto",TabelaClean14[[#This Row],[qtde_batalhas]]&lt;26,"Médio")</f>
        <v>Alto</v>
      </c>
      <c r="S68" s="1" t="str">
        <f>IF(AND(TabelaClean14[[#This Row],[nivel_risco]]="Alto",TabelaClean14[[#This Row],[flag_inadimplente]]="Sim"),"Arriscado","Ok")</f>
        <v>Arriscado</v>
      </c>
      <c r="T68" s="26">
        <v>35500</v>
      </c>
      <c r="U6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68" s="1"/>
      <c r="Y68" t="s">
        <v>809</v>
      </c>
      <c r="Z68" t="str">
        <f t="shared" ref="Z68:Z131" si="1">PROPER(Y68)</f>
        <v>Null</v>
      </c>
      <c r="AE68">
        <v>31800</v>
      </c>
      <c r="AF68" t="str">
        <f>TEXT(AE68,"000\.000\.000\-00")</f>
        <v>000.000.318-00</v>
      </c>
      <c r="AH68" s="15" t="s">
        <v>688</v>
      </c>
      <c r="AI68" t="e" cm="1" vm="1">
        <f t="array" aca="1" ref="AI68" ca="1">_xlfn.TEXTSPLIT(AH68," | ")</f>
        <v>#VALUE!</v>
      </c>
      <c r="AJ68" s="22" t="s">
        <v>615</v>
      </c>
      <c r="AK68">
        <v>21300</v>
      </c>
      <c r="AL68" t="s">
        <v>142</v>
      </c>
      <c r="AM68" s="21">
        <v>62000</v>
      </c>
      <c r="AN68">
        <v>62000</v>
      </c>
      <c r="AO68">
        <v>62000</v>
      </c>
      <c r="AQ68" t="s">
        <v>148</v>
      </c>
      <c r="AZ68" s="38" t="s">
        <v>206</v>
      </c>
      <c r="BA68" t="s">
        <v>148</v>
      </c>
      <c r="BB68" s="26">
        <v>3600</v>
      </c>
      <c r="BC6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69" spans="1:55">
      <c r="A69" s="29" t="s">
        <v>809</v>
      </c>
      <c r="B69" s="17" t="s">
        <v>719</v>
      </c>
      <c r="C69" s="25" t="s">
        <v>720</v>
      </c>
      <c r="D69" s="54" t="s">
        <v>809</v>
      </c>
      <c r="E69" s="30">
        <v>33188</v>
      </c>
      <c r="F69" s="24" t="str">
        <f>TabelaClean14[[#This Row],[CidadeCPF]]</f>
        <v>Braavos</v>
      </c>
      <c r="G69" s="17" t="str">
        <f>TabelaClean14[[#This Row],[RegiaoCPF]]</f>
        <v>Essos</v>
      </c>
      <c r="H69" s="17" t="str">
        <f>_xlfn.XLOOKUP(TabelaClean14[[#This Row],[cpf]],TabelaDirty[cpfclean],TabelaDirty[cidade])</f>
        <v>Braavos</v>
      </c>
      <c r="I69" s="17" t="str">
        <f>_xlfn.XLOOKUP(TabelaClean14[[#This Row],[cpf]],TabelaDirty[cpfclean],TabelaDirty[regiao])</f>
        <v>Essos</v>
      </c>
      <c r="J69" s="17" t="str">
        <f>PROPER(TabelaClean14[[#This Row],[Coluna1]])</f>
        <v>Essos</v>
      </c>
      <c r="K69" s="17" t="e">
        <f>_xlfn.TEXTBEFORE(TabelaClean14[[#This Row],[CidadeCPF]]," | ")</f>
        <v>#N/A</v>
      </c>
      <c r="L69" s="24" t="e">
        <f>_xlfn.TEXTAFTER(TabelaClean14[[#This Row],[CidadeCPF]]," | ")</f>
        <v>#N/A</v>
      </c>
      <c r="M69" s="26">
        <v>29900</v>
      </c>
      <c r="N69" s="78">
        <v>64500</v>
      </c>
      <c r="O69" s="1" t="s">
        <v>50</v>
      </c>
      <c r="P6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69" s="84">
        <v>34</v>
      </c>
      <c r="R69" s="1" t="str" cm="1">
        <f t="array" ref="R69">_xlfn.IFS(TabelaClean14[[#This Row],[qtde_batalhas]]&lt;=10,"Baixo",TabelaClean14[[#This Row],[qtde_batalhas]]&gt;=26,"Alto",TabelaClean14[[#This Row],[qtde_batalhas]]&lt;26,"Médio")</f>
        <v>Alto</v>
      </c>
      <c r="S69" s="1" t="str">
        <f>IF(AND(TabelaClean14[[#This Row],[nivel_risco]]="Alto",TabelaClean14[[#This Row],[flag_inadimplente]]="Sim"),"Arriscado","Ok")</f>
        <v>Ok</v>
      </c>
      <c r="T69" s="26">
        <v>48500</v>
      </c>
      <c r="U6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69" s="1"/>
      <c r="Y69" t="s">
        <v>809</v>
      </c>
      <c r="Z69" t="str">
        <f t="shared" si="1"/>
        <v>Null</v>
      </c>
      <c r="AE69">
        <v>31900</v>
      </c>
      <c r="AF69" t="str">
        <f>TEXT(AE69,"000\.000\.000\-00")</f>
        <v>000.000.319-00</v>
      </c>
      <c r="AH69" s="15" t="s">
        <v>127</v>
      </c>
      <c r="AJ69" s="22">
        <v>28800</v>
      </c>
      <c r="AK69">
        <v>28800</v>
      </c>
      <c r="AM69" s="20"/>
      <c r="AN69" t="s">
        <v>809</v>
      </c>
      <c r="AO69" t="s">
        <v>809</v>
      </c>
      <c r="AQ69" t="s">
        <v>162</v>
      </c>
      <c r="AZ69" s="39" t="s">
        <v>714</v>
      </c>
      <c r="BA69" t="s">
        <v>162</v>
      </c>
      <c r="BB69" s="26">
        <v>29900</v>
      </c>
      <c r="BC6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70" spans="1:55">
      <c r="A70" s="24" t="s">
        <v>76</v>
      </c>
      <c r="B70" s="17" t="s">
        <v>861</v>
      </c>
      <c r="C70" s="25" t="s">
        <v>409</v>
      </c>
      <c r="D70" s="54">
        <v>57</v>
      </c>
      <c r="E70" s="30">
        <v>25199</v>
      </c>
      <c r="F70" s="24" t="str">
        <f>TabelaClean14[[#This Row],[CidadeCPF]]</f>
        <v>Vilavelha</v>
      </c>
      <c r="G70" s="17" t="str">
        <f>TabelaClean14[[#This Row],[RegiaoCPF]]</f>
        <v>Campina</v>
      </c>
      <c r="H70" s="17" t="str">
        <f>_xlfn.XLOOKUP(TabelaClean14[[#This Row],[cpf]],TabelaDirty[cpfclean],TabelaDirty[cidade])</f>
        <v>Vilavelha</v>
      </c>
      <c r="I70" s="17" t="str">
        <f>_xlfn.XLOOKUP(TabelaClean14[[#This Row],[cpf]],TabelaDirty[cpfclean],TabelaDirty[regiao])</f>
        <v>CAMPINA</v>
      </c>
      <c r="J70" s="17" t="str">
        <f>PROPER(TabelaClean14[[#This Row],[Coluna1]])</f>
        <v>Campina</v>
      </c>
      <c r="K70" s="17" t="e">
        <f>_xlfn.TEXTBEFORE(TabelaClean14[[#This Row],[CidadeCPF]]," | ")</f>
        <v>#N/A</v>
      </c>
      <c r="L70" s="24" t="e">
        <f>_xlfn.TEXTAFTER(TabelaClean14[[#This Row],[CidadeCPF]]," | ")</f>
        <v>#N/A</v>
      </c>
      <c r="M70" s="26">
        <v>20700</v>
      </c>
      <c r="N70" s="78">
        <v>64500</v>
      </c>
      <c r="O70" s="1" t="s">
        <v>50</v>
      </c>
      <c r="P7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0" s="84">
        <v>19</v>
      </c>
      <c r="R70" s="1" t="str" cm="1">
        <f t="array" ref="R70">_xlfn.IFS(TabelaClean14[[#This Row],[qtde_batalhas]]&lt;=10,"Baixo",TabelaClean14[[#This Row],[qtde_batalhas]]&gt;=26,"Alto",TabelaClean14[[#This Row],[qtde_batalhas]]&lt;26,"Médio")</f>
        <v>Médio</v>
      </c>
      <c r="S70" s="1" t="str">
        <f>IF(AND(TabelaClean14[[#This Row],[nivel_risco]]="Alto",TabelaClean14[[#This Row],[flag_inadimplente]]="Sim"),"Arriscado","Ok")</f>
        <v>Ok</v>
      </c>
      <c r="T70" s="26">
        <v>54500</v>
      </c>
      <c r="U70" s="81">
        <f>IF(AND(TabelaClean14[[#This Row],[analise_risco]]="Arriscado",TabelaClean14[[#This Row],[analise_credito]]="Reprovado"),0,IF(TabelaClean14[[#This Row],[status]]="Ativo",TabelaClean14[[#This Row],[valor_solicitado]]*1.08,0))</f>
        <v>58860.000000000007</v>
      </c>
      <c r="W70" s="1"/>
      <c r="Y70" t="s">
        <v>809</v>
      </c>
      <c r="Z70" t="str">
        <f t="shared" si="1"/>
        <v>Null</v>
      </c>
      <c r="AE70">
        <v>32000</v>
      </c>
      <c r="AF70" t="str">
        <f>TEXT(AE70,"000\.000\.000\-00")</f>
        <v>000.000.320-00</v>
      </c>
      <c r="AH70" s="15" t="s">
        <v>112</v>
      </c>
      <c r="AJ70" s="22">
        <v>7300</v>
      </c>
      <c r="AK70">
        <v>7300</v>
      </c>
      <c r="AM70" s="21" t="s">
        <v>685</v>
      </c>
      <c r="AN70" t="s">
        <v>809</v>
      </c>
      <c r="AO70" t="s">
        <v>809</v>
      </c>
      <c r="AQ70" t="s">
        <v>302</v>
      </c>
      <c r="AZ70" s="38" t="s">
        <v>767</v>
      </c>
      <c r="BA70" t="s">
        <v>302</v>
      </c>
      <c r="BB70" s="26">
        <v>20700</v>
      </c>
      <c r="BC70" s="81">
        <f>IF(AND(TabelaClean14[[#This Row],[analise_risco]]="Arriscado",TabelaClean14[[#This Row],[analise_credito]]="Reprovado"),0,IF(TabelaClean14[[#This Row],[status]]="Ativo",TabelaClean14[[#This Row],[valor_solicitado]]*1.08,0))</f>
        <v>58860.000000000007</v>
      </c>
    </row>
    <row r="71" spans="1:55">
      <c r="A71" s="24" t="s">
        <v>76</v>
      </c>
      <c r="B71" s="17" t="s">
        <v>596</v>
      </c>
      <c r="C71" s="25" t="s">
        <v>862</v>
      </c>
      <c r="D71" s="54">
        <v>62</v>
      </c>
      <c r="E71" s="30">
        <v>23278</v>
      </c>
      <c r="F71" s="24" t="str">
        <f>TabelaClean14[[#This Row],[CidadeCPF]]</f>
        <v>Castelo Negro</v>
      </c>
      <c r="G71" s="17" t="str">
        <f>TabelaClean14[[#This Row],[RegiaoCPF]]</f>
        <v>Norte</v>
      </c>
      <c r="H71" s="17" t="str">
        <f>_xlfn.XLOOKUP(TabelaClean14[[#This Row],[cpf]],TabelaDirty[cpfclean],TabelaDirty[cidade])</f>
        <v>Castelo Negro</v>
      </c>
      <c r="I71" s="17" t="str">
        <f>_xlfn.XLOOKUP(TabelaClean14[[#This Row],[cpf]],TabelaDirty[cpfclean],TabelaDirty[regiao])</f>
        <v>Norte</v>
      </c>
      <c r="J71" s="17" t="str">
        <f>PROPER(TabelaClean14[[#This Row],[Coluna1]])</f>
        <v>Norte</v>
      </c>
      <c r="K71" s="17" t="e">
        <f>_xlfn.TEXTBEFORE(TabelaClean14[[#This Row],[CidadeCPF]]," | ")</f>
        <v>#N/A</v>
      </c>
      <c r="L71" s="24" t="e">
        <f>_xlfn.TEXTAFTER(TabelaClean14[[#This Row],[CidadeCPF]]," | ")</f>
        <v>#N/A</v>
      </c>
      <c r="M71" s="26">
        <v>17000</v>
      </c>
      <c r="N71" s="78">
        <v>64000</v>
      </c>
      <c r="O71" s="1" t="s">
        <v>51</v>
      </c>
      <c r="P7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71" s="84">
        <v>21</v>
      </c>
      <c r="R71" s="1" t="str" cm="1">
        <f t="array" ref="R71">_xlfn.IFS(TabelaClean14[[#This Row],[qtde_batalhas]]&lt;=10,"Baixo",TabelaClean14[[#This Row],[qtde_batalhas]]&gt;=26,"Alto",TabelaClean14[[#This Row],[qtde_batalhas]]&lt;26,"Médio")</f>
        <v>Médio</v>
      </c>
      <c r="S71" s="1" t="str">
        <f>IF(AND(TabelaClean14[[#This Row],[nivel_risco]]="Alto",TabelaClean14[[#This Row],[flag_inadimplente]]="Sim"),"Arriscado","Ok")</f>
        <v>Ok</v>
      </c>
      <c r="T71" s="26">
        <v>19000</v>
      </c>
      <c r="U71" s="81">
        <f>IF(AND(TabelaClean14[[#This Row],[analise_risco]]="Arriscado",TabelaClean14[[#This Row],[analise_credito]]="Reprovado"),0,IF(TabelaClean14[[#This Row],[status]]="Ativo",TabelaClean14[[#This Row],[valor_solicitado]]*1.08,0))</f>
        <v>20520</v>
      </c>
      <c r="W71" s="1"/>
      <c r="Y71" t="s">
        <v>809</v>
      </c>
      <c r="Z71" t="str">
        <f t="shared" si="1"/>
        <v>Null</v>
      </c>
      <c r="AE71">
        <v>32500</v>
      </c>
      <c r="AF71" t="str">
        <f>TEXT(AE71,"000\.000\.000\-00")</f>
        <v>000.000.325-00</v>
      </c>
      <c r="AH71" s="15" t="s">
        <v>183</v>
      </c>
      <c r="AJ71" s="22">
        <v>1900</v>
      </c>
      <c r="AK71">
        <v>1900</v>
      </c>
      <c r="AM71" s="20">
        <v>3500</v>
      </c>
      <c r="AN71">
        <v>3500</v>
      </c>
      <c r="AO71">
        <v>3500</v>
      </c>
      <c r="AQ71" t="s">
        <v>127</v>
      </c>
      <c r="AZ71" s="39" t="s">
        <v>272</v>
      </c>
      <c r="BA71" t="s">
        <v>127</v>
      </c>
      <c r="BB71" s="26">
        <v>17000</v>
      </c>
      <c r="BC71" s="81">
        <f>IF(AND(TabelaClean14[[#This Row],[analise_risco]]="Arriscado",TabelaClean14[[#This Row],[analise_credito]]="Reprovado"),0,IF(TabelaClean14[[#This Row],[status]]="Ativo",TabelaClean14[[#This Row],[valor_solicitado]]*1.08,0))</f>
        <v>20520</v>
      </c>
    </row>
    <row r="72" spans="1:55">
      <c r="A72" s="24" t="s">
        <v>76</v>
      </c>
      <c r="B72" s="17" t="s">
        <v>519</v>
      </c>
      <c r="C72" s="25" t="s">
        <v>863</v>
      </c>
      <c r="D72" s="54" t="s">
        <v>864</v>
      </c>
      <c r="E72" s="30">
        <v>36255</v>
      </c>
      <c r="F72" s="24" t="str">
        <f>TabelaClean14[[#This Row],[CidadeCPF]]</f>
        <v>Castelo Negro</v>
      </c>
      <c r="G72" s="17" t="str">
        <f>TabelaClean14[[#This Row],[RegiaoCPF]]</f>
        <v>Norte</v>
      </c>
      <c r="H72" s="17" t="str">
        <f>_xlfn.XLOOKUP(TabelaClean14[[#This Row],[cpf]],TabelaDirty[cpfclean],TabelaDirty[cidade])</f>
        <v>Castelo Negro</v>
      </c>
      <c r="I72" s="17" t="str">
        <f>_xlfn.XLOOKUP(TabelaClean14[[#This Row],[cpf]],TabelaDirty[cpfclean],TabelaDirty[regiao])</f>
        <v>Norte</v>
      </c>
      <c r="J72" s="17" t="str">
        <f>PROPER(TabelaClean14[[#This Row],[Coluna1]])</f>
        <v>Norte</v>
      </c>
      <c r="K72" s="17" t="e">
        <f>_xlfn.TEXTBEFORE(TabelaClean14[[#This Row],[CidadeCPF]]," | ")</f>
        <v>#N/A</v>
      </c>
      <c r="L72" s="24" t="e">
        <f>_xlfn.TEXTAFTER(TabelaClean14[[#This Row],[CidadeCPF]]," | ")</f>
        <v>#N/A</v>
      </c>
      <c r="M72" s="26">
        <v>14000</v>
      </c>
      <c r="N72" s="78">
        <v>63500</v>
      </c>
      <c r="O72" s="1" t="s">
        <v>50</v>
      </c>
      <c r="P7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2" s="84">
        <v>24</v>
      </c>
      <c r="R72" s="1" t="str" cm="1">
        <f t="array" ref="R72">_xlfn.IFS(TabelaClean14[[#This Row],[qtde_batalhas]]&lt;=10,"Baixo",TabelaClean14[[#This Row],[qtde_batalhas]]&gt;=26,"Alto",TabelaClean14[[#This Row],[qtde_batalhas]]&lt;26,"Médio")</f>
        <v>Médio</v>
      </c>
      <c r="S72" s="1" t="str">
        <f>IF(AND(TabelaClean14[[#This Row],[nivel_risco]]="Alto",TabelaClean14[[#This Row],[flag_inadimplente]]="Sim"),"Arriscado","Ok")</f>
        <v>Ok</v>
      </c>
      <c r="T72" s="26">
        <v>87000</v>
      </c>
      <c r="U72" s="81">
        <f>IF(AND(TabelaClean14[[#This Row],[analise_risco]]="Arriscado",TabelaClean14[[#This Row],[analise_credito]]="Reprovado"),0,IF(TabelaClean14[[#This Row],[status]]="Ativo",TabelaClean14[[#This Row],[valor_solicitado]]*1.08,0))</f>
        <v>93960</v>
      </c>
      <c r="W72" s="1"/>
      <c r="Y72" t="s">
        <v>809</v>
      </c>
      <c r="Z72" t="str">
        <f t="shared" si="1"/>
        <v>Null</v>
      </c>
      <c r="AE72">
        <v>33100</v>
      </c>
      <c r="AF72" t="str">
        <f>TEXT(AE72,"000\.000\.000\-00")</f>
        <v>000.000.331-00</v>
      </c>
      <c r="AH72" s="15" t="s">
        <v>79</v>
      </c>
      <c r="AJ72" s="22">
        <v>28200</v>
      </c>
      <c r="AK72">
        <v>28200</v>
      </c>
      <c r="AM72" s="21">
        <v>0</v>
      </c>
      <c r="AN72">
        <v>0</v>
      </c>
      <c r="AO72">
        <v>0</v>
      </c>
      <c r="AQ72" t="s">
        <v>141</v>
      </c>
      <c r="AZ72" s="38" t="s">
        <v>229</v>
      </c>
      <c r="BA72" t="s">
        <v>141</v>
      </c>
      <c r="BB72" s="26">
        <v>14000</v>
      </c>
      <c r="BC72" s="81">
        <f>IF(AND(TabelaClean14[[#This Row],[analise_risco]]="Arriscado",TabelaClean14[[#This Row],[analise_credito]]="Reprovado"),0,IF(TabelaClean14[[#This Row],[status]]="Ativo",TabelaClean14[[#This Row],[valor_solicitado]]*1.08,0))</f>
        <v>93960</v>
      </c>
    </row>
    <row r="73" spans="1:55">
      <c r="A73" s="24" t="s">
        <v>76</v>
      </c>
      <c r="B73" s="17" t="s">
        <v>416</v>
      </c>
      <c r="C73" s="25" t="s">
        <v>417</v>
      </c>
      <c r="D73" s="54">
        <v>47</v>
      </c>
      <c r="E73" s="30" t="s">
        <v>809</v>
      </c>
      <c r="F73" s="24" t="str">
        <f>TabelaClean14[[#This Row],[CidadeCPF]]</f>
        <v>Braavos</v>
      </c>
      <c r="G73" s="17" t="str">
        <f>TabelaClean14[[#This Row],[RegiaoCPF]]</f>
        <v>Essos</v>
      </c>
      <c r="H73" s="17" t="str">
        <f>_xlfn.XLOOKUP(TabelaClean14[[#This Row],[cpf]],TabelaDirty[cpfclean],TabelaDirty[cidade])</f>
        <v>Braavos</v>
      </c>
      <c r="I73" s="17" t="s">
        <v>122</v>
      </c>
      <c r="J73" s="17" t="str">
        <f>PROPER(TabelaClean14[[#This Row],[Coluna1]])</f>
        <v>Essos</v>
      </c>
      <c r="K73" s="17" t="e">
        <f>_xlfn.TEXTBEFORE(TabelaClean14[[#This Row],[CidadeCPF]]," | ")</f>
        <v>#N/A</v>
      </c>
      <c r="L73" s="24" t="e">
        <f>_xlfn.TEXTAFTER(TabelaClean14[[#This Row],[CidadeCPF]]," | ")</f>
        <v>#N/A</v>
      </c>
      <c r="M73" s="26">
        <v>11600</v>
      </c>
      <c r="N73" s="78">
        <v>63500</v>
      </c>
      <c r="O73" s="1" t="s">
        <v>50</v>
      </c>
      <c r="P7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3" s="84">
        <v>18</v>
      </c>
      <c r="R73" s="1" t="str" cm="1">
        <f t="array" ref="R73">_xlfn.IFS(TabelaClean14[[#This Row],[qtde_batalhas]]&lt;=10,"Baixo",TabelaClean14[[#This Row],[qtde_batalhas]]&gt;=26,"Alto",TabelaClean14[[#This Row],[qtde_batalhas]]&lt;26,"Médio")</f>
        <v>Médio</v>
      </c>
      <c r="S73" s="1" t="str">
        <f>IF(AND(TabelaClean14[[#This Row],[nivel_risco]]="Alto",TabelaClean14[[#This Row],[flag_inadimplente]]="Sim"),"Arriscado","Ok")</f>
        <v>Ok</v>
      </c>
      <c r="T73" s="26">
        <v>3000</v>
      </c>
      <c r="U73" s="81">
        <f>IF(AND(TabelaClean14[[#This Row],[analise_risco]]="Arriscado",TabelaClean14[[#This Row],[analise_credito]]="Reprovado"),0,IF(TabelaClean14[[#This Row],[status]]="Ativo",TabelaClean14[[#This Row],[valor_solicitado]]*1.08,0))</f>
        <v>3240</v>
      </c>
      <c r="W73" s="1"/>
      <c r="Y73" t="s">
        <v>809</v>
      </c>
      <c r="Z73" t="str">
        <f t="shared" si="1"/>
        <v>Null</v>
      </c>
      <c r="AE73">
        <v>33700</v>
      </c>
      <c r="AF73" t="str">
        <f>TEXT(AE73,"000\.000\.000\-00")</f>
        <v>000.000.337-00</v>
      </c>
      <c r="AH73" s="15" t="s">
        <v>96</v>
      </c>
      <c r="AJ73" s="22">
        <v>9300</v>
      </c>
      <c r="AK73">
        <v>9300</v>
      </c>
      <c r="AM73" s="20">
        <v>48500</v>
      </c>
      <c r="AN73">
        <v>48500</v>
      </c>
      <c r="AO73">
        <v>48500</v>
      </c>
      <c r="AQ73" t="s">
        <v>215</v>
      </c>
      <c r="AZ73" s="39" t="s">
        <v>784</v>
      </c>
      <c r="BA73" t="s">
        <v>215</v>
      </c>
      <c r="BB73" s="26">
        <v>11600</v>
      </c>
      <c r="BC73" s="81">
        <f>IF(AND(TabelaClean14[[#This Row],[analise_risco]]="Arriscado",TabelaClean14[[#This Row],[analise_credito]]="Reprovado"),0,IF(TabelaClean14[[#This Row],[status]]="Ativo",TabelaClean14[[#This Row],[valor_solicitado]]*1.08,0))</f>
        <v>3240</v>
      </c>
    </row>
    <row r="74" spans="1:55">
      <c r="A74" s="24" t="s">
        <v>76</v>
      </c>
      <c r="B74" s="17" t="s">
        <v>233</v>
      </c>
      <c r="C74" s="25" t="s">
        <v>234</v>
      </c>
      <c r="D74" s="54">
        <v>56</v>
      </c>
      <c r="E74" s="30">
        <v>25525</v>
      </c>
      <c r="F74" s="24" t="str">
        <f>TabelaClean14[[#This Row],[CidadeCPF]]</f>
        <v>Dorne</v>
      </c>
      <c r="G74" s="17" t="str">
        <f>TabelaClean14[[#This Row],[RegiaoCPF]]</f>
        <v>Dorne</v>
      </c>
      <c r="H74" s="17" t="str">
        <f>_xlfn.XLOOKUP(TabelaClean14[[#This Row],[cpf]],TabelaDirty[cpfclean],TabelaDirty[cidade])</f>
        <v>Dorne</v>
      </c>
      <c r="I74" s="17" t="str">
        <f>_xlfn.XLOOKUP(TabelaClean14[[#This Row],[cpf]],TabelaDirty[cpfclean],TabelaDirty[regiao])</f>
        <v>Dorne</v>
      </c>
      <c r="J74" s="17" t="str">
        <f>PROPER(TabelaClean14[[#This Row],[Coluna1]])</f>
        <v>Dorne</v>
      </c>
      <c r="K74" s="17" t="e">
        <f>_xlfn.TEXTBEFORE(TabelaClean14[[#This Row],[CidadeCPF]]," | ")</f>
        <v>#N/A</v>
      </c>
      <c r="L74" s="24" t="e">
        <f>_xlfn.TEXTAFTER(TabelaClean14[[#This Row],[CidadeCPF]]," | ")</f>
        <v>#N/A</v>
      </c>
      <c r="M74" s="26">
        <v>11100</v>
      </c>
      <c r="N74" s="78">
        <v>63000</v>
      </c>
      <c r="O74" s="1" t="s">
        <v>50</v>
      </c>
      <c r="P7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4" s="84">
        <v>0</v>
      </c>
      <c r="R74" s="1" t="str" cm="1">
        <f t="array" ref="R74">_xlfn.IFS(TabelaClean14[[#This Row],[qtde_batalhas]]&lt;=10,"Baixo",TabelaClean14[[#This Row],[qtde_batalhas]]&gt;=26,"Alto",TabelaClean14[[#This Row],[qtde_batalhas]]&lt;26,"Médio")</f>
        <v>Baixo</v>
      </c>
      <c r="S74" s="1" t="str">
        <f>IF(AND(TabelaClean14[[#This Row],[nivel_risco]]="Alto",TabelaClean14[[#This Row],[flag_inadimplente]]="Sim"),"Arriscado","Ok")</f>
        <v>Ok</v>
      </c>
      <c r="T74" s="26">
        <v>56000</v>
      </c>
      <c r="U74" s="81">
        <f>IF(AND(TabelaClean14[[#This Row],[analise_risco]]="Arriscado",TabelaClean14[[#This Row],[analise_credito]]="Reprovado"),0,IF(TabelaClean14[[#This Row],[status]]="Ativo",TabelaClean14[[#This Row],[valor_solicitado]]*1.08,0))</f>
        <v>60480.000000000007</v>
      </c>
      <c r="W74" s="1"/>
      <c r="Y74" t="s">
        <v>809</v>
      </c>
      <c r="Z74" t="str">
        <f t="shared" si="1"/>
        <v>Null</v>
      </c>
      <c r="AE74">
        <v>34400</v>
      </c>
      <c r="AF74" t="str">
        <f>TEXT(AE74,"000\.000\.000\-00")</f>
        <v>000.000.344-00</v>
      </c>
      <c r="AH74" s="15" t="s">
        <v>210</v>
      </c>
      <c r="AJ74" s="22">
        <v>10100</v>
      </c>
      <c r="AK74">
        <v>10100</v>
      </c>
      <c r="AM74" s="21">
        <v>55000</v>
      </c>
      <c r="AN74">
        <v>55000</v>
      </c>
      <c r="AO74">
        <v>55000</v>
      </c>
      <c r="AQ74" t="s">
        <v>121</v>
      </c>
      <c r="AZ74" s="38" t="s">
        <v>373</v>
      </c>
      <c r="BA74" t="s">
        <v>121</v>
      </c>
      <c r="BB74" s="26">
        <v>11100</v>
      </c>
      <c r="BC74" s="81">
        <f>IF(AND(TabelaClean14[[#This Row],[analise_risco]]="Arriscado",TabelaClean14[[#This Row],[analise_credito]]="Reprovado"),0,IF(TabelaClean14[[#This Row],[status]]="Ativo",TabelaClean14[[#This Row],[valor_solicitado]]*1.08,0))</f>
        <v>60480.000000000007</v>
      </c>
    </row>
    <row r="75" spans="1:55">
      <c r="A75" s="24" t="s">
        <v>76</v>
      </c>
      <c r="B75" s="17" t="s">
        <v>630</v>
      </c>
      <c r="C75" s="25" t="s">
        <v>631</v>
      </c>
      <c r="D75" s="54">
        <v>56</v>
      </c>
      <c r="E75" s="30">
        <v>25551</v>
      </c>
      <c r="F75" s="24" t="str">
        <f>TabelaClean14[[#This Row],[CidadeCPF]]</f>
        <v>Dorne</v>
      </c>
      <c r="G75" s="17" t="str">
        <f>TabelaClean14[[#This Row],[RegiaoCPF]]</f>
        <v>Dorne</v>
      </c>
      <c r="H75" s="17" t="str">
        <f>_xlfn.XLOOKUP(TabelaClean14[[#This Row],[cpf]],TabelaDirty[cpfclean],TabelaDirty[cidade])</f>
        <v>Dorne</v>
      </c>
      <c r="I75" s="17" t="str">
        <f>_xlfn.XLOOKUP(TabelaClean14[[#This Row],[cpf]],TabelaDirty[cpfclean],TabelaDirty[regiao])</f>
        <v>Dorne</v>
      </c>
      <c r="J75" s="17" t="str">
        <f>PROPER(TabelaClean14[[#This Row],[Coluna1]])</f>
        <v>Dorne</v>
      </c>
      <c r="K75" s="17" t="e">
        <f>_xlfn.TEXTBEFORE(TabelaClean14[[#This Row],[CidadeCPF]]," | ")</f>
        <v>#N/A</v>
      </c>
      <c r="L75" s="24" t="e">
        <f>_xlfn.TEXTAFTER(TabelaClean14[[#This Row],[CidadeCPF]]," | ")</f>
        <v>#N/A</v>
      </c>
      <c r="M75" s="26">
        <v>22600</v>
      </c>
      <c r="N75" s="78">
        <v>63000</v>
      </c>
      <c r="O75" s="1" t="s">
        <v>50</v>
      </c>
      <c r="P7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5" s="84">
        <v>33</v>
      </c>
      <c r="R75" s="1" t="str" cm="1">
        <f t="array" ref="R75">_xlfn.IFS(TabelaClean14[[#This Row],[qtde_batalhas]]&lt;=10,"Baixo",TabelaClean14[[#This Row],[qtde_batalhas]]&gt;=26,"Alto",TabelaClean14[[#This Row],[qtde_batalhas]]&lt;26,"Médio")</f>
        <v>Alto</v>
      </c>
      <c r="S75" s="1" t="str">
        <f>IF(AND(TabelaClean14[[#This Row],[nivel_risco]]="Alto",TabelaClean14[[#This Row],[flag_inadimplente]]="Sim"),"Arriscado","Ok")</f>
        <v>Ok</v>
      </c>
      <c r="T75" s="26">
        <v>53000</v>
      </c>
      <c r="U75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  <c r="W75" s="1"/>
      <c r="Y75" t="s">
        <v>809</v>
      </c>
      <c r="Z75" t="str">
        <f t="shared" si="1"/>
        <v>Null</v>
      </c>
      <c r="AE75">
        <v>34800</v>
      </c>
      <c r="AF75" t="str">
        <f>TEXT(AE75,"000\.000\.000\-00")</f>
        <v>000.000.348-00</v>
      </c>
      <c r="AH75" s="15" t="s">
        <v>141</v>
      </c>
      <c r="AJ75" s="22">
        <v>29700</v>
      </c>
      <c r="AK75">
        <v>29700</v>
      </c>
      <c r="AM75" s="20">
        <v>22000</v>
      </c>
      <c r="AN75">
        <v>22000</v>
      </c>
      <c r="AO75">
        <v>22000</v>
      </c>
      <c r="AQ75" t="s">
        <v>154</v>
      </c>
      <c r="AZ75" s="39" t="s">
        <v>375</v>
      </c>
      <c r="BA75" t="s">
        <v>154</v>
      </c>
      <c r="BB75" s="26">
        <v>22600</v>
      </c>
      <c r="BC75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</row>
    <row r="76" spans="1:55">
      <c r="A76" s="24" t="s">
        <v>76</v>
      </c>
      <c r="B76" s="17" t="s">
        <v>476</v>
      </c>
      <c r="C76" s="25" t="s">
        <v>865</v>
      </c>
      <c r="D76" s="54">
        <v>35</v>
      </c>
      <c r="E76" s="30">
        <v>33444</v>
      </c>
      <c r="F76" s="24" t="str">
        <f>TabelaClean14[[#This Row],[CidadeCPF]]</f>
        <v>Pedra do Dragão</v>
      </c>
      <c r="G76" s="17" t="str">
        <f>TabelaClean14[[#This Row],[RegiaoCPF]]</f>
        <v>Terras Da Coroa</v>
      </c>
      <c r="H76" s="17" t="str">
        <f>_xlfn.XLOOKUP(TabelaClean14[[#This Row],[cpf]],TabelaDirty[cpfclean],TabelaDirty[cidade])</f>
        <v>Pedra do Dragão</v>
      </c>
      <c r="I76" s="17" t="str">
        <f>_xlfn.XLOOKUP(TabelaClean14[[#This Row],[cpf]],TabelaDirty[cpfclean],TabelaDirty[regiao])</f>
        <v>Terras da Coroa</v>
      </c>
      <c r="J76" s="17" t="str">
        <f>PROPER(TabelaClean14[[#This Row],[Coluna1]])</f>
        <v>Terras Da Coroa</v>
      </c>
      <c r="K76" s="17" t="e">
        <f>_xlfn.TEXTBEFORE(TabelaClean14[[#This Row],[CidadeCPF]]," | ")</f>
        <v>#N/A</v>
      </c>
      <c r="L76" s="24" t="e">
        <f>_xlfn.TEXTAFTER(TabelaClean14[[#This Row],[CidadeCPF]]," | ")</f>
        <v>#N/A</v>
      </c>
      <c r="M76" s="26">
        <v>8400</v>
      </c>
      <c r="N76" s="78">
        <v>62500</v>
      </c>
      <c r="O76" s="1" t="s">
        <v>50</v>
      </c>
      <c r="P7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6" s="84">
        <v>31</v>
      </c>
      <c r="R76" s="1" t="str" cm="1">
        <f t="array" ref="R76">_xlfn.IFS(TabelaClean14[[#This Row],[qtde_batalhas]]&lt;=10,"Baixo",TabelaClean14[[#This Row],[qtde_batalhas]]&gt;=26,"Alto",TabelaClean14[[#This Row],[qtde_batalhas]]&lt;26,"Médio")</f>
        <v>Alto</v>
      </c>
      <c r="S76" s="1" t="str">
        <f>IF(AND(TabelaClean14[[#This Row],[nivel_risco]]="Alto",TabelaClean14[[#This Row],[flag_inadimplente]]="Sim"),"Arriscado","Ok")</f>
        <v>Ok</v>
      </c>
      <c r="T76" s="26">
        <v>83500</v>
      </c>
      <c r="U76" s="81">
        <f>IF(AND(TabelaClean14[[#This Row],[analise_risco]]="Arriscado",TabelaClean14[[#This Row],[analise_credito]]="Reprovado"),0,IF(TabelaClean14[[#This Row],[status]]="Ativo",TabelaClean14[[#This Row],[valor_solicitado]]*1.08,0))</f>
        <v>90180</v>
      </c>
      <c r="W76" s="1"/>
      <c r="Y76" t="s">
        <v>142</v>
      </c>
      <c r="Z76" t="str">
        <f t="shared" si="1"/>
        <v>Norte</v>
      </c>
      <c r="AE76">
        <v>34900</v>
      </c>
      <c r="AF76" t="str">
        <f>TEXT(AE76,"000\.000\.000\-00")</f>
        <v>000.000.349-00</v>
      </c>
      <c r="AH76" s="15" t="s">
        <v>172</v>
      </c>
      <c r="AJ76" s="22">
        <v>15000</v>
      </c>
      <c r="AK76">
        <v>15000</v>
      </c>
      <c r="AM76" s="21">
        <v>32500</v>
      </c>
      <c r="AN76">
        <v>32500</v>
      </c>
      <c r="AO76">
        <v>32500</v>
      </c>
      <c r="AQ76" t="s">
        <v>79</v>
      </c>
      <c r="AZ76" s="38" t="s">
        <v>407</v>
      </c>
      <c r="BA76" t="s">
        <v>79</v>
      </c>
      <c r="BB76" s="26">
        <v>8400</v>
      </c>
      <c r="BC76" s="81">
        <f>IF(AND(TabelaClean14[[#This Row],[analise_risco]]="Arriscado",TabelaClean14[[#This Row],[analise_credito]]="Reprovado"),0,IF(TabelaClean14[[#This Row],[status]]="Ativo",TabelaClean14[[#This Row],[valor_solicitado]]*1.08,0))</f>
        <v>90180</v>
      </c>
    </row>
    <row r="77" spans="1:55">
      <c r="A77" s="24" t="s">
        <v>76</v>
      </c>
      <c r="B77" s="17" t="s">
        <v>866</v>
      </c>
      <c r="C77" s="25" t="s">
        <v>867</v>
      </c>
      <c r="D77" s="54">
        <v>70</v>
      </c>
      <c r="E77" s="30">
        <v>20515</v>
      </c>
      <c r="F77" s="24" t="str">
        <f>TabelaClean14[[#This Row],[CidadeCPF]]</f>
        <v>Braavos</v>
      </c>
      <c r="G77" s="17" t="str">
        <f>TabelaClean14[[#This Row],[RegiaoCPF]]</f>
        <v>Essos</v>
      </c>
      <c r="H77" s="17" t="str">
        <f>_xlfn.XLOOKUP(TabelaClean14[[#This Row],[cpf]],TabelaDirty[cpfclean],TabelaDirty[cidade])</f>
        <v>Braavos</v>
      </c>
      <c r="I77" s="17" t="str">
        <f>_xlfn.XLOOKUP(TabelaClean14[[#This Row],[cpf]],TabelaDirty[cpfclean],TabelaDirty[regiao])</f>
        <v>Essos</v>
      </c>
      <c r="J77" s="17" t="str">
        <f>PROPER(TabelaClean14[[#This Row],[Coluna1]])</f>
        <v>Essos</v>
      </c>
      <c r="K77" s="17" t="e">
        <f>_xlfn.TEXTBEFORE(TabelaClean14[[#This Row],[CidadeCPF]]," | ")</f>
        <v>#N/A</v>
      </c>
      <c r="L77" s="24" t="e">
        <f>_xlfn.TEXTAFTER(TabelaClean14[[#This Row],[CidadeCPF]]," | ")</f>
        <v>#N/A</v>
      </c>
      <c r="M77" s="26">
        <v>19500</v>
      </c>
      <c r="N77" s="78">
        <v>62000</v>
      </c>
      <c r="O77" s="1" t="s">
        <v>51</v>
      </c>
      <c r="P7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77" s="84">
        <v>45</v>
      </c>
      <c r="R77" s="1" t="str" cm="1">
        <f t="array" ref="R77">_xlfn.IFS(TabelaClean14[[#This Row],[qtde_batalhas]]&lt;=10,"Baixo",TabelaClean14[[#This Row],[qtde_batalhas]]&gt;=26,"Alto",TabelaClean14[[#This Row],[qtde_batalhas]]&lt;26,"Médio")</f>
        <v>Alto</v>
      </c>
      <c r="S77" s="1" t="str">
        <f>IF(AND(TabelaClean14[[#This Row],[nivel_risco]]="Alto",TabelaClean14[[#This Row],[flag_inadimplente]]="Sim"),"Arriscado","Ok")</f>
        <v>Arriscado</v>
      </c>
      <c r="T77" s="26">
        <v>35500</v>
      </c>
      <c r="U7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77" s="1"/>
      <c r="Y77" t="s">
        <v>809</v>
      </c>
      <c r="Z77" t="str">
        <f t="shared" si="1"/>
        <v>Null</v>
      </c>
      <c r="AE77">
        <v>35000</v>
      </c>
      <c r="AF77" t="str">
        <f>TEXT(AE77,"000\.000\.000\-00")</f>
        <v>000.000.350-00</v>
      </c>
      <c r="AH77" s="15" t="s">
        <v>89</v>
      </c>
      <c r="AJ77" s="22">
        <v>9800</v>
      </c>
      <c r="AK77">
        <v>9800</v>
      </c>
      <c r="AM77" s="20">
        <v>0</v>
      </c>
      <c r="AN77">
        <v>0</v>
      </c>
      <c r="AO77">
        <v>0</v>
      </c>
      <c r="AQ77" t="s">
        <v>121</v>
      </c>
      <c r="AZ77" s="39" t="s">
        <v>651</v>
      </c>
      <c r="BA77" t="s">
        <v>121</v>
      </c>
      <c r="BB77" s="26">
        <v>19500</v>
      </c>
      <c r="BC7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78" spans="1:55">
      <c r="A78" s="24" t="s">
        <v>76</v>
      </c>
      <c r="B78" s="17" t="s">
        <v>613</v>
      </c>
      <c r="C78" s="25" t="s">
        <v>614</v>
      </c>
      <c r="D78" s="54">
        <v>47</v>
      </c>
      <c r="E78" s="30">
        <v>28841</v>
      </c>
      <c r="F78" s="24" t="str">
        <f>TabelaClean14[[#This Row],[CidadeCPF]]</f>
        <v>Dorne</v>
      </c>
      <c r="G78" s="17" t="str">
        <f>TabelaClean14[[#This Row],[RegiaoCPF]]</f>
        <v>Dorne</v>
      </c>
      <c r="H78" s="17" t="str">
        <f>_xlfn.XLOOKUP(TabelaClean14[[#This Row],[cpf]],TabelaDirty[cpfclean],TabelaDirty[cidade])</f>
        <v>Dorne</v>
      </c>
      <c r="I78" s="17" t="str">
        <f>_xlfn.XLOOKUP(TabelaClean14[[#This Row],[cpf]],TabelaDirty[cpfclean],TabelaDirty[regiao])</f>
        <v>Dorne</v>
      </c>
      <c r="J78" s="17" t="str">
        <f>PROPER(TabelaClean14[[#This Row],[Coluna1]])</f>
        <v>Dorne</v>
      </c>
      <c r="K78" s="17" t="e">
        <f>_xlfn.TEXTBEFORE(TabelaClean14[[#This Row],[CidadeCPF]]," | ")</f>
        <v>#N/A</v>
      </c>
      <c r="L78" s="24" t="e">
        <f>_xlfn.TEXTAFTER(TabelaClean14[[#This Row],[CidadeCPF]]," | ")</f>
        <v>#N/A</v>
      </c>
      <c r="M78" s="26">
        <v>21300</v>
      </c>
      <c r="N78" s="78">
        <v>62000</v>
      </c>
      <c r="O78" s="1" t="s">
        <v>51</v>
      </c>
      <c r="P7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78" s="84">
        <v>37</v>
      </c>
      <c r="R78" s="1" t="str" cm="1">
        <f t="array" ref="R78">_xlfn.IFS(TabelaClean14[[#This Row],[qtde_batalhas]]&lt;=10,"Baixo",TabelaClean14[[#This Row],[qtde_batalhas]]&gt;=26,"Alto",TabelaClean14[[#This Row],[qtde_batalhas]]&lt;26,"Médio")</f>
        <v>Alto</v>
      </c>
      <c r="S78" s="1" t="str">
        <f>IF(AND(TabelaClean14[[#This Row],[nivel_risco]]="Alto",TabelaClean14[[#This Row],[flag_inadimplente]]="Sim"),"Arriscado","Ok")</f>
        <v>Arriscado</v>
      </c>
      <c r="T78" s="26">
        <v>92500</v>
      </c>
      <c r="U7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78" s="1"/>
      <c r="Y78" t="s">
        <v>809</v>
      </c>
      <c r="Z78" t="str">
        <f t="shared" si="1"/>
        <v>Null</v>
      </c>
      <c r="AE78">
        <v>35200</v>
      </c>
      <c r="AF78" t="str">
        <f>TEXT(AE78,"000\.000\.000\-00")</f>
        <v>000.000.352-00</v>
      </c>
      <c r="AH78" s="15" t="s">
        <v>210</v>
      </c>
      <c r="AJ78" s="22">
        <v>16300</v>
      </c>
      <c r="AK78">
        <v>16300</v>
      </c>
      <c r="AM78" s="21"/>
      <c r="AN78" t="s">
        <v>809</v>
      </c>
      <c r="AO78" t="s">
        <v>809</v>
      </c>
      <c r="AQ78" t="s">
        <v>183</v>
      </c>
      <c r="AZ78" s="38" t="s">
        <v>478</v>
      </c>
      <c r="BA78" t="s">
        <v>183</v>
      </c>
      <c r="BB78" s="26">
        <v>21300</v>
      </c>
      <c r="BC7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79" spans="1:55">
      <c r="A79" s="24" t="s">
        <v>76</v>
      </c>
      <c r="B79" s="17" t="s">
        <v>604</v>
      </c>
      <c r="C79" s="25" t="s">
        <v>605</v>
      </c>
      <c r="D79" s="54">
        <v>69</v>
      </c>
      <c r="E79" s="30">
        <v>20943</v>
      </c>
      <c r="F79" s="17" t="str">
        <f>TabelaClean14[[#This Row],[CidadeClean]]</f>
        <v>Pedra do Dragão</v>
      </c>
      <c r="G79" s="17" t="str">
        <f>TabelaClean14[[#This Row],[RegiaoClean]]</f>
        <v>Terras da Coroa</v>
      </c>
      <c r="H79" s="17" t="str">
        <f>_xlfn.XLOOKUP(TabelaClean14[[#This Row],[cpf]],TabelaDirty[cpfclean],TabelaDirty[cidade])</f>
        <v>Pedra do Dragão | Terras da Coroa</v>
      </c>
      <c r="I79" s="17">
        <f>_xlfn.XLOOKUP(TabelaClean14[[#This Row],[cpf]],TabelaDirty[cpfclean],TabelaDirty[regiao])</f>
        <v>0</v>
      </c>
      <c r="J79" s="17" t="s">
        <v>90</v>
      </c>
      <c r="K79" s="17" t="str">
        <f>_xlfn.TEXTBEFORE(TabelaClean14[[#This Row],[CidadeCPF]]," | ")</f>
        <v>Pedra do Dragão</v>
      </c>
      <c r="L79" s="24" t="str">
        <f>_xlfn.TEXTAFTER(TabelaClean14[[#This Row],[CidadeCPF]]," | ")</f>
        <v>Terras da Coroa</v>
      </c>
      <c r="M79" s="26">
        <v>13800</v>
      </c>
      <c r="N79" s="78">
        <v>62000</v>
      </c>
      <c r="O79" s="1" t="s">
        <v>50</v>
      </c>
      <c r="P7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79" s="84">
        <v>31</v>
      </c>
      <c r="R79" s="1" t="str" cm="1">
        <f t="array" ref="R79">_xlfn.IFS(TabelaClean14[[#This Row],[qtde_batalhas]]&lt;=10,"Baixo",TabelaClean14[[#This Row],[qtde_batalhas]]&gt;=26,"Alto",TabelaClean14[[#This Row],[qtde_batalhas]]&lt;26,"Médio")</f>
        <v>Alto</v>
      </c>
      <c r="S79" s="1" t="str">
        <f>IF(AND(TabelaClean14[[#This Row],[nivel_risco]]="Alto",TabelaClean14[[#This Row],[flag_inadimplente]]="Sim"),"Arriscado","Ok")</f>
        <v>Ok</v>
      </c>
      <c r="T79" s="26">
        <v>60500</v>
      </c>
      <c r="U79" s="81">
        <f>IF(AND(TabelaClean14[[#This Row],[analise_risco]]="Arriscado",TabelaClean14[[#This Row],[analise_credito]]="Reprovado"),0,IF(TabelaClean14[[#This Row],[status]]="Ativo",TabelaClean14[[#This Row],[valor_solicitado]]*1.08,0))</f>
        <v>65340.000000000007</v>
      </c>
      <c r="W79" s="1"/>
      <c r="Y79" t="s">
        <v>809</v>
      </c>
      <c r="Z79" t="str">
        <f t="shared" si="1"/>
        <v>Null</v>
      </c>
      <c r="AE79">
        <v>35800</v>
      </c>
      <c r="AF79" t="str">
        <f>TEXT(AE79,"000\.000\.000\-00")</f>
        <v>000.000.358-00</v>
      </c>
      <c r="AH79" s="15" t="s">
        <v>79</v>
      </c>
      <c r="AJ79" s="22">
        <v>29700</v>
      </c>
      <c r="AK79">
        <v>29700</v>
      </c>
      <c r="AM79" s="20">
        <v>34000</v>
      </c>
      <c r="AN79">
        <v>34000</v>
      </c>
      <c r="AO79">
        <v>34000</v>
      </c>
      <c r="AQ79" t="s">
        <v>89</v>
      </c>
      <c r="AZ79" s="39" t="s">
        <v>88</v>
      </c>
      <c r="BA79" t="s">
        <v>89</v>
      </c>
      <c r="BB79" s="26">
        <v>13800</v>
      </c>
      <c r="BC79" s="81">
        <f>IF(AND(TabelaClean14[[#This Row],[analise_risco]]="Arriscado",TabelaClean14[[#This Row],[analise_credito]]="Reprovado"),0,IF(TabelaClean14[[#This Row],[status]]="Ativo",TabelaClean14[[#This Row],[valor_solicitado]]*1.08,0))</f>
        <v>65340.000000000007</v>
      </c>
    </row>
    <row r="80" spans="1:55">
      <c r="A80" s="24" t="s">
        <v>76</v>
      </c>
      <c r="B80" s="17" t="s">
        <v>445</v>
      </c>
      <c r="C80" s="25" t="s">
        <v>446</v>
      </c>
      <c r="D80" s="54">
        <v>43</v>
      </c>
      <c r="E80" s="30">
        <v>30309</v>
      </c>
      <c r="F80" s="24" t="str">
        <f>TabelaClean14[[#This Row],[CidadeCPF]]</f>
        <v>Atalaia da Água Cinzenta</v>
      </c>
      <c r="G80" s="17" t="str">
        <f>TabelaClean14[[#This Row],[RegiaoCPF]]</f>
        <v>Gargalo</v>
      </c>
      <c r="H80" s="17" t="str">
        <f>_xlfn.XLOOKUP(TabelaClean14[[#This Row],[cpf]],TabelaDirty[cpfclean],TabelaDirty[cidade])</f>
        <v>Atalaia da Água Cinzenta</v>
      </c>
      <c r="I80" s="17" t="str">
        <f>_xlfn.XLOOKUP(TabelaClean14[[#This Row],[cpf]],TabelaDirty[cpfclean],TabelaDirty[regiao])</f>
        <v>gargalo</v>
      </c>
      <c r="J80" s="17" t="str">
        <f>PROPER(TabelaClean14[[#This Row],[Coluna1]])</f>
        <v>Gargalo</v>
      </c>
      <c r="K80" s="17" t="e">
        <f>_xlfn.TEXTBEFORE(TabelaClean14[[#This Row],[CidadeCPF]]," | ")</f>
        <v>#N/A</v>
      </c>
      <c r="L80" s="24" t="e">
        <f>_xlfn.TEXTAFTER(TabelaClean14[[#This Row],[CidadeCPF]]," | ")</f>
        <v>#N/A</v>
      </c>
      <c r="M80" s="26">
        <v>18400</v>
      </c>
      <c r="N80" s="78">
        <v>62000</v>
      </c>
      <c r="O80" s="1" t="s">
        <v>50</v>
      </c>
      <c r="P8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0" s="84">
        <v>33</v>
      </c>
      <c r="R80" s="1" t="str" cm="1">
        <f t="array" ref="R80">_xlfn.IFS(TabelaClean14[[#This Row],[qtde_batalhas]]&lt;=10,"Baixo",TabelaClean14[[#This Row],[qtde_batalhas]]&gt;=26,"Alto",TabelaClean14[[#This Row],[qtde_batalhas]]&lt;26,"Médio")</f>
        <v>Alto</v>
      </c>
      <c r="S80" s="1" t="str">
        <f>IF(AND(TabelaClean14[[#This Row],[nivel_risco]]="Alto",TabelaClean14[[#This Row],[flag_inadimplente]]="Sim"),"Arriscado","Ok")</f>
        <v>Ok</v>
      </c>
      <c r="T80" s="26">
        <v>31000</v>
      </c>
      <c r="U80" s="81">
        <f>IF(AND(TabelaClean14[[#This Row],[analise_risco]]="Arriscado",TabelaClean14[[#This Row],[analise_credito]]="Reprovado"),0,IF(TabelaClean14[[#This Row],[status]]="Ativo",TabelaClean14[[#This Row],[valor_solicitado]]*1.08,0))</f>
        <v>33480</v>
      </c>
      <c r="W80" s="1"/>
      <c r="Y80" t="s">
        <v>183</v>
      </c>
      <c r="Z80" t="str">
        <f t="shared" si="1"/>
        <v>Dorne</v>
      </c>
      <c r="AE80">
        <v>36100</v>
      </c>
      <c r="AF80" t="str">
        <f>TEXT(AE80,"000\.000\.000\-00")</f>
        <v>000.000.361-00</v>
      </c>
      <c r="AH80" s="15" t="s">
        <v>89</v>
      </c>
      <c r="AJ80" s="22">
        <v>15800</v>
      </c>
      <c r="AK80">
        <v>15800</v>
      </c>
      <c r="AM80" s="21" t="s">
        <v>92</v>
      </c>
      <c r="AN80" t="s">
        <v>809</v>
      </c>
      <c r="AO80" t="s">
        <v>809</v>
      </c>
      <c r="AQ80" t="s">
        <v>103</v>
      </c>
      <c r="AZ80" s="38" t="s">
        <v>868</v>
      </c>
      <c r="BA80" t="s">
        <v>103</v>
      </c>
      <c r="BB80" s="26">
        <v>18400</v>
      </c>
      <c r="BC80" s="81">
        <f>IF(AND(TabelaClean14[[#This Row],[analise_risco]]="Arriscado",TabelaClean14[[#This Row],[analise_credito]]="Reprovado"),0,IF(TabelaClean14[[#This Row],[status]]="Ativo",TabelaClean14[[#This Row],[valor_solicitado]]*1.08,0))</f>
        <v>33480</v>
      </c>
    </row>
    <row r="81" spans="1:55">
      <c r="A81" s="24" t="s">
        <v>76</v>
      </c>
      <c r="B81" s="17" t="s">
        <v>497</v>
      </c>
      <c r="C81" s="25" t="s">
        <v>498</v>
      </c>
      <c r="D81" s="54">
        <v>30</v>
      </c>
      <c r="E81" s="30">
        <v>35109</v>
      </c>
      <c r="F81" s="24" t="str">
        <f>TabelaClean14[[#This Row],[CidadeCPF]]</f>
        <v>Ponta Tempestade</v>
      </c>
      <c r="G81" s="17" t="str">
        <f>TabelaClean14[[#This Row],[RegiaoCPF]]</f>
        <v>Terras Da Tempestade</v>
      </c>
      <c r="H81" s="17" t="str">
        <f>_xlfn.XLOOKUP(TabelaClean14[[#This Row],[cpf]],TabelaDirty[cpfclean],TabelaDirty[cidade])</f>
        <v>Ponta Tempestade</v>
      </c>
      <c r="I81" s="17" t="str">
        <f>_xlfn.XLOOKUP(TabelaClean14[[#This Row],[cpf]],TabelaDirty[cpfclean],TabelaDirty[regiao])</f>
        <v>TERRAS DA TEMPESTADE</v>
      </c>
      <c r="J81" s="17" t="str">
        <f>PROPER(TabelaClean14[[#This Row],[Coluna1]])</f>
        <v>Terras Da Tempestade</v>
      </c>
      <c r="K81" s="17" t="e">
        <f>_xlfn.TEXTBEFORE(TabelaClean14[[#This Row],[CidadeCPF]]," | ")</f>
        <v>#N/A</v>
      </c>
      <c r="L81" s="24" t="e">
        <f>_xlfn.TEXTAFTER(TabelaClean14[[#This Row],[CidadeCPF]]," | ")</f>
        <v>#N/A</v>
      </c>
      <c r="M81" s="26">
        <v>2600</v>
      </c>
      <c r="N81" s="78">
        <v>62000</v>
      </c>
      <c r="O81" s="1" t="s">
        <v>50</v>
      </c>
      <c r="P8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1" s="84">
        <v>22</v>
      </c>
      <c r="R81" s="1" t="str" cm="1">
        <f t="array" ref="R81">_xlfn.IFS(TabelaClean14[[#This Row],[qtde_batalhas]]&lt;=10,"Baixo",TabelaClean14[[#This Row],[qtde_batalhas]]&gt;=26,"Alto",TabelaClean14[[#This Row],[qtde_batalhas]]&lt;26,"Médio")</f>
        <v>Médio</v>
      </c>
      <c r="S81" s="1" t="str">
        <f>IF(AND(TabelaClean14[[#This Row],[nivel_risco]]="Alto",TabelaClean14[[#This Row],[flag_inadimplente]]="Sim"),"Arriscado","Ok")</f>
        <v>Ok</v>
      </c>
      <c r="T81" s="26">
        <v>62000</v>
      </c>
      <c r="U81" s="81">
        <f>IF(AND(TabelaClean14[[#This Row],[analise_risco]]="Arriscado",TabelaClean14[[#This Row],[analise_credito]]="Reprovado"),0,IF(TabelaClean14[[#This Row],[status]]="Ativo",TabelaClean14[[#This Row],[valor_solicitado]]*1.08,0))</f>
        <v>66960</v>
      </c>
      <c r="W81" s="1"/>
      <c r="Y81" t="s">
        <v>809</v>
      </c>
      <c r="Z81" t="str">
        <f t="shared" si="1"/>
        <v>Null</v>
      </c>
      <c r="AE81">
        <v>36900</v>
      </c>
      <c r="AF81" t="str">
        <f>TEXT(AE81,"000\.000\.000\-00")</f>
        <v>000.000.369-00</v>
      </c>
      <c r="AH81" s="15" t="s">
        <v>302</v>
      </c>
      <c r="AJ81" s="22">
        <v>29200</v>
      </c>
      <c r="AK81">
        <v>29200</v>
      </c>
      <c r="AM81" s="20">
        <v>45000</v>
      </c>
      <c r="AN81">
        <v>45000</v>
      </c>
      <c r="AO81">
        <v>45000</v>
      </c>
      <c r="AQ81" t="s">
        <v>79</v>
      </c>
      <c r="AZ81" s="39" t="s">
        <v>315</v>
      </c>
      <c r="BA81" t="s">
        <v>79</v>
      </c>
      <c r="BB81" s="26">
        <v>2600</v>
      </c>
      <c r="BC81" s="81">
        <f>IF(AND(TabelaClean14[[#This Row],[analise_risco]]="Arriscado",TabelaClean14[[#This Row],[analise_credito]]="Reprovado"),0,IF(TabelaClean14[[#This Row],[status]]="Ativo",TabelaClean14[[#This Row],[valor_solicitado]]*1.08,0))</f>
        <v>66960</v>
      </c>
    </row>
    <row r="82" spans="1:55">
      <c r="A82" s="24" t="s">
        <v>81</v>
      </c>
      <c r="B82" s="17" t="s">
        <v>869</v>
      </c>
      <c r="C82" s="25" t="s">
        <v>538</v>
      </c>
      <c r="D82" s="54">
        <v>74</v>
      </c>
      <c r="E82" s="30">
        <v>19073</v>
      </c>
      <c r="F82" s="24" t="str">
        <f>TabelaClean14[[#This Row],[CidadeCPF]]</f>
        <v>Lannisporto</v>
      </c>
      <c r="G82" s="17" t="str">
        <f>TabelaClean14[[#This Row],[RegiaoCPF]]</f>
        <v>Oeste</v>
      </c>
      <c r="H82" s="17" t="str">
        <f>_xlfn.XLOOKUP(TabelaClean14[[#This Row],[cpf]],TabelaDirty[cpfclean],TabelaDirty[cidade])</f>
        <v>Lannisporto</v>
      </c>
      <c r="I82" s="17" t="s">
        <v>108</v>
      </c>
      <c r="J82" s="17" t="str">
        <f>PROPER(TabelaClean14[[#This Row],[Coluna1]])</f>
        <v>Oeste</v>
      </c>
      <c r="K82" s="17" t="e">
        <f>_xlfn.TEXTBEFORE(TabelaClean14[[#This Row],[CidadeCPF]]," | ")</f>
        <v>#N/A</v>
      </c>
      <c r="L82" s="24" t="e">
        <f>_xlfn.TEXTAFTER(TabelaClean14[[#This Row],[CidadeCPF]]," | ")</f>
        <v>#N/A</v>
      </c>
      <c r="M82" s="26">
        <v>7100</v>
      </c>
      <c r="N82" s="78">
        <v>61500</v>
      </c>
      <c r="O82" s="1" t="s">
        <v>50</v>
      </c>
      <c r="P8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2" s="84">
        <v>1</v>
      </c>
      <c r="R82" s="1" t="str" cm="1">
        <f t="array" ref="R82">_xlfn.IFS(TabelaClean14[[#This Row],[qtde_batalhas]]&lt;=10,"Baixo",TabelaClean14[[#This Row],[qtde_batalhas]]&gt;=26,"Alto",TabelaClean14[[#This Row],[qtde_batalhas]]&lt;26,"Médio")</f>
        <v>Baixo</v>
      </c>
      <c r="S82" s="1" t="str">
        <f>IF(AND(TabelaClean14[[#This Row],[nivel_risco]]="Alto",TabelaClean14[[#This Row],[flag_inadimplente]]="Sim"),"Arriscado","Ok")</f>
        <v>Ok</v>
      </c>
      <c r="T82" s="26">
        <v>50500</v>
      </c>
      <c r="U8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82" s="1"/>
      <c r="Y82" t="s">
        <v>142</v>
      </c>
      <c r="Z82" t="str">
        <f t="shared" si="1"/>
        <v>Norte</v>
      </c>
      <c r="AE82">
        <v>37000</v>
      </c>
      <c r="AF82" t="str">
        <f>TEXT(AE82,"000\.000\.000\-00")</f>
        <v>000.000.370-00</v>
      </c>
      <c r="AH82" s="15" t="s">
        <v>121</v>
      </c>
      <c r="AJ82" s="22">
        <v>22500</v>
      </c>
      <c r="AK82">
        <v>22500</v>
      </c>
      <c r="AM82" s="21">
        <v>55500</v>
      </c>
      <c r="AN82">
        <v>55500</v>
      </c>
      <c r="AO82">
        <v>55500</v>
      </c>
      <c r="AQ82" t="s">
        <v>79</v>
      </c>
      <c r="AZ82" s="38" t="s">
        <v>305</v>
      </c>
      <c r="BA82" t="s">
        <v>79</v>
      </c>
      <c r="BB82" s="26">
        <v>7100</v>
      </c>
      <c r="BC8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83" spans="1:55">
      <c r="A83" s="24" t="s">
        <v>76</v>
      </c>
      <c r="B83" s="17" t="s">
        <v>366</v>
      </c>
      <c r="C83" s="25" t="s">
        <v>870</v>
      </c>
      <c r="D83" s="54">
        <v>26</v>
      </c>
      <c r="E83" s="30">
        <v>36518</v>
      </c>
      <c r="F83" s="24" t="str">
        <f>TabelaClean14[[#This Row],[CidadeCPF]]</f>
        <v>Ilha dos Ursos</v>
      </c>
      <c r="G83" s="17" t="str">
        <f>TabelaClean14[[#This Row],[RegiaoCPF]]</f>
        <v>Norte</v>
      </c>
      <c r="H83" s="17" t="str">
        <f>_xlfn.XLOOKUP(TabelaClean14[[#This Row],[cpf]],TabelaDirty[cpfclean],TabelaDirty[cidade])</f>
        <v>Ilha dos Ursos</v>
      </c>
      <c r="I83" s="17" t="str">
        <f>_xlfn.XLOOKUP(TabelaClean14[[#This Row],[cpf]],TabelaDirty[cpfclean],TabelaDirty[regiao])</f>
        <v>Norte</v>
      </c>
      <c r="J83" s="17" t="str">
        <f>PROPER(TabelaClean14[[#This Row],[Coluna1]])</f>
        <v>Norte</v>
      </c>
      <c r="K83" s="17" t="e">
        <f>_xlfn.TEXTBEFORE(TabelaClean14[[#This Row],[CidadeCPF]]," | ")</f>
        <v>#N/A</v>
      </c>
      <c r="L83" s="24" t="e">
        <f>_xlfn.TEXTAFTER(TabelaClean14[[#This Row],[CidadeCPF]]," | ")</f>
        <v>#N/A</v>
      </c>
      <c r="M83" s="26">
        <v>5000</v>
      </c>
      <c r="N83" s="78">
        <v>61500</v>
      </c>
      <c r="O83" s="1" t="s">
        <v>50</v>
      </c>
      <c r="P8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3" s="84">
        <v>35</v>
      </c>
      <c r="R83" s="1" t="str" cm="1">
        <f t="array" ref="R83">_xlfn.IFS(TabelaClean14[[#This Row],[qtde_batalhas]]&lt;=10,"Baixo",TabelaClean14[[#This Row],[qtde_batalhas]]&gt;=26,"Alto",TabelaClean14[[#This Row],[qtde_batalhas]]&lt;26,"Médio")</f>
        <v>Alto</v>
      </c>
      <c r="S83" s="1" t="str">
        <f>IF(AND(TabelaClean14[[#This Row],[nivel_risco]]="Alto",TabelaClean14[[#This Row],[flag_inadimplente]]="Sim"),"Arriscado","Ok")</f>
        <v>Ok</v>
      </c>
      <c r="T83" s="26">
        <v>18500</v>
      </c>
      <c r="U83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  <c r="W83" s="1"/>
      <c r="Y83" t="s">
        <v>809</v>
      </c>
      <c r="Z83" t="str">
        <f t="shared" si="1"/>
        <v>Null</v>
      </c>
      <c r="AE83">
        <v>37700</v>
      </c>
      <c r="AF83" t="str">
        <f>TEXT(AE83,"000\.000\.000\-00")</f>
        <v>000.000.377-00</v>
      </c>
      <c r="AH83" s="15" t="s">
        <v>154</v>
      </c>
      <c r="AJ83" s="22" t="s">
        <v>184</v>
      </c>
      <c r="AK83">
        <v>0</v>
      </c>
      <c r="AM83" s="20"/>
      <c r="AN83" t="s">
        <v>809</v>
      </c>
      <c r="AO83" t="s">
        <v>809</v>
      </c>
      <c r="AQ83" t="s">
        <v>154</v>
      </c>
      <c r="AZ83" s="39" t="s">
        <v>684</v>
      </c>
      <c r="BA83" t="s">
        <v>154</v>
      </c>
      <c r="BB83" s="26">
        <v>5000</v>
      </c>
      <c r="BC83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</row>
    <row r="84" spans="1:55">
      <c r="A84" s="24" t="s">
        <v>76</v>
      </c>
      <c r="B84" s="17" t="s">
        <v>488</v>
      </c>
      <c r="C84" s="25" t="s">
        <v>489</v>
      </c>
      <c r="D84" s="54" t="s">
        <v>809</v>
      </c>
      <c r="E84" s="30">
        <v>25925</v>
      </c>
      <c r="F84" s="24" t="str">
        <f>TabelaClean14[[#This Row],[CidadeCPF]]</f>
        <v>Pyke</v>
      </c>
      <c r="G84" s="17" t="str">
        <f>TabelaClean14[[#This Row],[RegiaoCPF]]</f>
        <v>Ilhas De Ferro</v>
      </c>
      <c r="H84" s="17" t="str">
        <f>_xlfn.XLOOKUP(TabelaClean14[[#This Row],[cpf]],TabelaDirty[cpfclean],TabelaDirty[cidade])</f>
        <v>Pyke</v>
      </c>
      <c r="I84" s="17" t="str">
        <f>_xlfn.XLOOKUP(TabelaClean14[[#This Row],[cpf]],TabelaDirty[cpfclean],TabelaDirty[regiao])</f>
        <v>ILHAS DE FERRO</v>
      </c>
      <c r="J84" s="17" t="str">
        <f>PROPER(TabelaClean14[[#This Row],[Coluna1]])</f>
        <v>Ilhas De Ferro</v>
      </c>
      <c r="K84" s="17" t="e">
        <f>_xlfn.TEXTBEFORE(TabelaClean14[[#This Row],[CidadeCPF]]," | ")</f>
        <v>#N/A</v>
      </c>
      <c r="L84" s="24" t="e">
        <f>_xlfn.TEXTAFTER(TabelaClean14[[#This Row],[CidadeCPF]]," | ")</f>
        <v>#N/A</v>
      </c>
      <c r="M84" s="26">
        <v>20200</v>
      </c>
      <c r="N84" s="78">
        <v>61000</v>
      </c>
      <c r="O84" s="1" t="s">
        <v>50</v>
      </c>
      <c r="P8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4" s="84">
        <v>10</v>
      </c>
      <c r="R84" s="1" t="str" cm="1">
        <f t="array" ref="R84">_xlfn.IFS(TabelaClean14[[#This Row],[qtde_batalhas]]&lt;=10,"Baixo",TabelaClean14[[#This Row],[qtde_batalhas]]&gt;=26,"Alto",TabelaClean14[[#This Row],[qtde_batalhas]]&lt;26,"Médio")</f>
        <v>Baixo</v>
      </c>
      <c r="S84" s="1" t="str">
        <f>IF(AND(TabelaClean14[[#This Row],[nivel_risco]]="Alto",TabelaClean14[[#This Row],[flag_inadimplente]]="Sim"),"Arriscado","Ok")</f>
        <v>Ok</v>
      </c>
      <c r="T84" s="26">
        <v>6500</v>
      </c>
      <c r="U84" s="81">
        <f>IF(AND(TabelaClean14[[#This Row],[analise_risco]]="Arriscado",TabelaClean14[[#This Row],[analise_credito]]="Reprovado"),0,IF(TabelaClean14[[#This Row],[status]]="Ativo",TabelaClean14[[#This Row],[valor_solicitado]]*1.08,0))</f>
        <v>7020.0000000000009</v>
      </c>
      <c r="W84" s="1"/>
      <c r="Y84" t="s">
        <v>108</v>
      </c>
      <c r="Z84" t="str">
        <f t="shared" si="1"/>
        <v>Oeste</v>
      </c>
      <c r="AE84" t="s">
        <v>584</v>
      </c>
      <c r="AF84" t="str">
        <f>TEXT(AE84,"000\.000\.000\-00")</f>
        <v>000.000.001-00</v>
      </c>
      <c r="AH84" s="15" t="s">
        <v>127</v>
      </c>
      <c r="AJ84" s="22">
        <v>24000</v>
      </c>
      <c r="AK84">
        <v>24000</v>
      </c>
      <c r="AM84" s="21">
        <v>35000</v>
      </c>
      <c r="AN84">
        <v>35000</v>
      </c>
      <c r="AO84">
        <v>35000</v>
      </c>
      <c r="AQ84" t="s">
        <v>112</v>
      </c>
      <c r="AZ84" s="38" t="s">
        <v>259</v>
      </c>
      <c r="BA84" t="s">
        <v>112</v>
      </c>
      <c r="BB84" s="26">
        <v>20200</v>
      </c>
      <c r="BC84" s="81">
        <f>IF(AND(TabelaClean14[[#This Row],[analise_risco]]="Arriscado",TabelaClean14[[#This Row],[analise_credito]]="Reprovado"),0,IF(TabelaClean14[[#This Row],[status]]="Ativo",TabelaClean14[[#This Row],[valor_solicitado]]*1.08,0))</f>
        <v>7020.0000000000009</v>
      </c>
    </row>
    <row r="85" spans="1:55">
      <c r="A85" s="24" t="s">
        <v>76</v>
      </c>
      <c r="B85" s="17" t="s">
        <v>474</v>
      </c>
      <c r="C85" s="25" t="s">
        <v>475</v>
      </c>
      <c r="D85" s="54">
        <v>56</v>
      </c>
      <c r="E85" s="30">
        <v>25808</v>
      </c>
      <c r="F85" s="24" t="str">
        <f>TabelaClean14[[#This Row],[CidadeCPF]]</f>
        <v>Vilavelha</v>
      </c>
      <c r="G85" s="17" t="str">
        <f>TabelaClean14[[#This Row],[RegiaoCPF]]</f>
        <v>Campina</v>
      </c>
      <c r="H85" s="17" t="str">
        <f>_xlfn.XLOOKUP(TabelaClean14[[#This Row],[cpf]],TabelaDirty[cpfclean],TabelaDirty[cidade])</f>
        <v>Vilavelha</v>
      </c>
      <c r="I85" s="17" t="str">
        <f>_xlfn.XLOOKUP(TabelaClean14[[#This Row],[cpf]],TabelaDirty[cpfclean],TabelaDirty[regiao])</f>
        <v>Campina</v>
      </c>
      <c r="J85" s="17" t="str">
        <f>PROPER(TabelaClean14[[#This Row],[Coluna1]])</f>
        <v>Campina</v>
      </c>
      <c r="K85" s="17" t="e">
        <f>_xlfn.TEXTBEFORE(TabelaClean14[[#This Row],[CidadeCPF]]," | ")</f>
        <v>#N/A</v>
      </c>
      <c r="L85" s="24" t="e">
        <f>_xlfn.TEXTAFTER(TabelaClean14[[#This Row],[CidadeCPF]]," | ")</f>
        <v>#N/A</v>
      </c>
      <c r="M85" s="26">
        <v>5400</v>
      </c>
      <c r="N85" s="78">
        <v>61000</v>
      </c>
      <c r="O85" s="1" t="s">
        <v>50</v>
      </c>
      <c r="P8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5" s="84">
        <v>12</v>
      </c>
      <c r="R85" s="1" t="str" cm="1">
        <f t="array" ref="R85">_xlfn.IFS(TabelaClean14[[#This Row],[qtde_batalhas]]&lt;=10,"Baixo",TabelaClean14[[#This Row],[qtde_batalhas]]&gt;=26,"Alto",TabelaClean14[[#This Row],[qtde_batalhas]]&lt;26,"Médio")</f>
        <v>Médio</v>
      </c>
      <c r="S85" s="1" t="str">
        <f>IF(AND(TabelaClean14[[#This Row],[nivel_risco]]="Alto",TabelaClean14[[#This Row],[flag_inadimplente]]="Sim"),"Arriscado","Ok")</f>
        <v>Ok</v>
      </c>
      <c r="T85" s="26">
        <v>96500</v>
      </c>
      <c r="U85" s="81">
        <f>IF(AND(TabelaClean14[[#This Row],[analise_risco]]="Arriscado",TabelaClean14[[#This Row],[analise_credito]]="Reprovado"),0,IF(TabelaClean14[[#This Row],[status]]="Ativo",TabelaClean14[[#This Row],[valor_solicitado]]*1.08,0))</f>
        <v>104220</v>
      </c>
      <c r="W85" s="1"/>
      <c r="Y85" t="s">
        <v>809</v>
      </c>
      <c r="Z85" t="str">
        <f t="shared" si="1"/>
        <v>Null</v>
      </c>
      <c r="AE85" t="s">
        <v>576</v>
      </c>
      <c r="AF85" t="str">
        <f>TEXT(AE85,"000\.000\.000\-00")</f>
        <v>000.000.003-00</v>
      </c>
      <c r="AH85" s="15" t="s">
        <v>138</v>
      </c>
      <c r="AJ85" s="22">
        <v>7100</v>
      </c>
      <c r="AK85">
        <v>7100</v>
      </c>
      <c r="AM85" s="20" t="s">
        <v>143</v>
      </c>
      <c r="AN85" t="s">
        <v>809</v>
      </c>
      <c r="AO85" t="s">
        <v>809</v>
      </c>
      <c r="AQ85" t="s">
        <v>141</v>
      </c>
      <c r="AZ85" s="39" t="s">
        <v>871</v>
      </c>
      <c r="BA85" t="s">
        <v>141</v>
      </c>
      <c r="BB85" s="26">
        <v>5400</v>
      </c>
      <c r="BC85" s="81">
        <f>IF(AND(TabelaClean14[[#This Row],[analise_risco]]="Arriscado",TabelaClean14[[#This Row],[analise_credito]]="Reprovado"),0,IF(TabelaClean14[[#This Row],[status]]="Ativo",TabelaClean14[[#This Row],[valor_solicitado]]*1.08,0))</f>
        <v>104220</v>
      </c>
    </row>
    <row r="86" spans="1:55">
      <c r="A86" s="24" t="s">
        <v>76</v>
      </c>
      <c r="B86" s="17" t="s">
        <v>579</v>
      </c>
      <c r="C86" s="25" t="s">
        <v>872</v>
      </c>
      <c r="D86" s="54">
        <v>60</v>
      </c>
      <c r="E86" s="30">
        <v>24100</v>
      </c>
      <c r="F86" s="25" t="s">
        <v>138</v>
      </c>
      <c r="G86" s="25" t="s">
        <v>139</v>
      </c>
      <c r="H86" s="24">
        <v>9700</v>
      </c>
      <c r="I86" s="24">
        <v>61000</v>
      </c>
      <c r="J86" s="24" t="s">
        <v>51</v>
      </c>
      <c r="K86" s="24">
        <v>9</v>
      </c>
      <c r="L86" s="24"/>
      <c r="M86" s="26">
        <v>88000</v>
      </c>
      <c r="N86" s="78">
        <v>61000</v>
      </c>
      <c r="O86" s="1" t="s">
        <v>51</v>
      </c>
      <c r="P8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86" s="84">
        <v>9</v>
      </c>
      <c r="R86" s="76" t="str" cm="1">
        <f t="array" ref="R86">_xlfn.IFS(TabelaClean14[[#This Row],[qtde_batalhas]]&lt;=10,"Baixo",TabelaClean14[[#This Row],[qtde_batalhas]]&gt;=26,"Alto",TabelaClean14[[#This Row],[qtde_batalhas]]&lt;26,"Médio")</f>
        <v>Baixo</v>
      </c>
      <c r="S86" s="76" t="str">
        <f>IF(AND(TabelaClean14[[#This Row],[nivel_risco]]="Alto",TabelaClean14[[#This Row],[flag_inadimplente]]="Sim"),"Arriscado","Ok")</f>
        <v>Ok</v>
      </c>
      <c r="T86" s="26">
        <v>88000</v>
      </c>
      <c r="U86" s="81">
        <f>IF(AND(TabelaClean14[[#This Row],[analise_risco]]="Arriscado",TabelaClean14[[#This Row],[analise_credito]]="Reprovado"),0,IF(TabelaClean14[[#This Row],[status]]="Ativo",TabelaClean14[[#This Row],[valor_solicitado]]*1.08,0))</f>
        <v>95040</v>
      </c>
      <c r="W86" s="1"/>
      <c r="Y86" t="s">
        <v>809</v>
      </c>
      <c r="Z86" t="str">
        <f t="shared" si="1"/>
        <v>Null</v>
      </c>
      <c r="AE86" t="s">
        <v>197</v>
      </c>
      <c r="AF86" t="str">
        <f>TEXT(AE86,"000\.000\.000\-00")</f>
        <v>000.000.005-00</v>
      </c>
      <c r="AH86" s="15" t="s">
        <v>103</v>
      </c>
      <c r="AJ86" s="22">
        <v>18200</v>
      </c>
      <c r="AK86">
        <v>18200</v>
      </c>
      <c r="AM86" s="21">
        <v>78500</v>
      </c>
      <c r="AN86">
        <v>78500</v>
      </c>
      <c r="AO86">
        <v>78500</v>
      </c>
      <c r="AQ86" t="s">
        <v>89</v>
      </c>
      <c r="AZ86" s="38" t="s">
        <v>571</v>
      </c>
      <c r="BA86" t="s">
        <v>89</v>
      </c>
      <c r="BB86" s="26">
        <v>88000</v>
      </c>
      <c r="BC86" s="81">
        <f>IF(AND(TabelaClean14[[#This Row],[analise_risco]]="Arriscado",TabelaClean14[[#This Row],[analise_credito]]="Reprovado"),0,IF(TabelaClean14[[#This Row],[status]]="Ativo",TabelaClean14[[#This Row],[valor_solicitado]]*1.08,0))</f>
        <v>95040</v>
      </c>
    </row>
    <row r="87" spans="1:55">
      <c r="A87" s="24" t="s">
        <v>76</v>
      </c>
      <c r="B87" s="17" t="s">
        <v>873</v>
      </c>
      <c r="C87" s="25" t="s">
        <v>874</v>
      </c>
      <c r="D87" s="54" t="s">
        <v>875</v>
      </c>
      <c r="E87" s="30" t="s">
        <v>809</v>
      </c>
      <c r="F87" s="24" t="str">
        <f>TabelaClean14[[#This Row],[CidadeCPF]]</f>
        <v>Castelo Negro</v>
      </c>
      <c r="G87" s="17" t="str">
        <f>TabelaClean14[[#This Row],[RegiaoCPF]]</f>
        <v>Norte</v>
      </c>
      <c r="H87" s="17" t="str">
        <f>_xlfn.XLOOKUP(TabelaClean14[[#This Row],[cpf]],TabelaDirty[cpfclean],TabelaDirty[cidade])</f>
        <v>Castelo Negro</v>
      </c>
      <c r="I87" s="17" t="str">
        <f>_xlfn.XLOOKUP(TabelaClean14[[#This Row],[cpf]],TabelaDirty[cpfclean],TabelaDirty[regiao])</f>
        <v>Norte</v>
      </c>
      <c r="J87" s="17" t="str">
        <f>PROPER(TabelaClean14[[#This Row],[Coluna1]])</f>
        <v>Norte</v>
      </c>
      <c r="K87" s="17" t="e">
        <f>_xlfn.TEXTBEFORE(TabelaClean14[[#This Row],[CidadeCPF]]," | ")</f>
        <v>#N/A</v>
      </c>
      <c r="L87" s="24" t="e">
        <f>_xlfn.TEXTAFTER(TabelaClean14[[#This Row],[CidadeCPF]]," | ")</f>
        <v>#N/A</v>
      </c>
      <c r="M87" s="26">
        <v>21300</v>
      </c>
      <c r="N87" s="78">
        <v>60500</v>
      </c>
      <c r="O87" s="1" t="s">
        <v>50</v>
      </c>
      <c r="P8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7" s="84">
        <v>15</v>
      </c>
      <c r="R87" s="1" t="str" cm="1">
        <f t="array" ref="R87">_xlfn.IFS(TabelaClean14[[#This Row],[qtde_batalhas]]&lt;=10,"Baixo",TabelaClean14[[#This Row],[qtde_batalhas]]&gt;=26,"Alto",TabelaClean14[[#This Row],[qtde_batalhas]]&lt;26,"Médio")</f>
        <v>Médio</v>
      </c>
      <c r="S87" s="1" t="str">
        <f>IF(AND(TabelaClean14[[#This Row],[nivel_risco]]="Alto",TabelaClean14[[#This Row],[flag_inadimplente]]="Sim"),"Arriscado","Ok")</f>
        <v>Ok</v>
      </c>
      <c r="T87" s="26">
        <v>74500</v>
      </c>
      <c r="U87" s="81">
        <f>IF(AND(TabelaClean14[[#This Row],[analise_risco]]="Arriscado",TabelaClean14[[#This Row],[analise_credito]]="Reprovado"),0,IF(TabelaClean14[[#This Row],[status]]="Ativo",TabelaClean14[[#This Row],[valor_solicitado]]*1.08,0))</f>
        <v>80460</v>
      </c>
      <c r="W87" s="1"/>
      <c r="Y87" t="s">
        <v>809</v>
      </c>
      <c r="Z87" t="str">
        <f t="shared" si="1"/>
        <v>Null</v>
      </c>
      <c r="AE87" t="s">
        <v>535</v>
      </c>
      <c r="AF87" t="str">
        <f>TEXT(AE87,"000\.000\.000\-00")</f>
        <v>000.000.009-00</v>
      </c>
      <c r="AH87" s="15" t="s">
        <v>302</v>
      </c>
      <c r="AK87" t="s">
        <v>809</v>
      </c>
      <c r="AM87" s="20">
        <v>5000</v>
      </c>
      <c r="AN87">
        <v>5000</v>
      </c>
      <c r="AO87">
        <v>5000</v>
      </c>
      <c r="AQ87" t="s">
        <v>183</v>
      </c>
      <c r="AZ87" s="39" t="s">
        <v>548</v>
      </c>
      <c r="BA87" t="s">
        <v>183</v>
      </c>
      <c r="BB87" s="26">
        <v>21300</v>
      </c>
      <c r="BC87" s="81">
        <f>IF(AND(TabelaClean14[[#This Row],[analise_risco]]="Arriscado",TabelaClean14[[#This Row],[analise_credito]]="Reprovado"),0,IF(TabelaClean14[[#This Row],[status]]="Ativo",TabelaClean14[[#This Row],[valor_solicitado]]*1.08,0))</f>
        <v>80460</v>
      </c>
    </row>
    <row r="88" spans="1:55">
      <c r="A88" s="24" t="s">
        <v>76</v>
      </c>
      <c r="B88" s="17" t="s">
        <v>554</v>
      </c>
      <c r="C88" s="25" t="s">
        <v>876</v>
      </c>
      <c r="D88" s="54">
        <v>38</v>
      </c>
      <c r="E88" s="30">
        <v>32152</v>
      </c>
      <c r="F88" s="17" t="str">
        <f>TabelaClean14[[#This Row],[CidadeClean]]</f>
        <v>Monte Chifre</v>
      </c>
      <c r="G88" s="17" t="str">
        <f>TabelaClean14[[#This Row],[RegiaoClean]]</f>
        <v>Campina</v>
      </c>
      <c r="H88" s="17" t="str">
        <f>_xlfn.XLOOKUP(TabelaClean14[[#This Row],[cpf]],TabelaDirty[cpfclean],TabelaDirty[cidade])</f>
        <v>Monte Chifre | Campina</v>
      </c>
      <c r="I88" s="17">
        <f>_xlfn.XLOOKUP(TabelaClean14[[#This Row],[cpf]],TabelaDirty[cpfclean],TabelaDirty[regiao])</f>
        <v>0</v>
      </c>
      <c r="J88" s="17" t="s">
        <v>149</v>
      </c>
      <c r="K88" s="17" t="str">
        <f>_xlfn.TEXTBEFORE(TabelaClean14[[#This Row],[CidadeCPF]]," | ")</f>
        <v>Monte Chifre</v>
      </c>
      <c r="L88" s="24" t="str">
        <f>_xlfn.TEXTAFTER(TabelaClean14[[#This Row],[CidadeCPF]]," | ")</f>
        <v>Campina</v>
      </c>
      <c r="M88" s="26">
        <v>2000</v>
      </c>
      <c r="N88" s="78">
        <v>60000</v>
      </c>
      <c r="O88" s="1" t="s">
        <v>50</v>
      </c>
      <c r="P8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8" s="84">
        <v>18</v>
      </c>
      <c r="R88" s="1" t="str" cm="1">
        <f t="array" ref="R88">_xlfn.IFS(TabelaClean14[[#This Row],[qtde_batalhas]]&lt;=10,"Baixo",TabelaClean14[[#This Row],[qtde_batalhas]]&gt;=26,"Alto",TabelaClean14[[#This Row],[qtde_batalhas]]&lt;26,"Médio")</f>
        <v>Médio</v>
      </c>
      <c r="S88" s="1" t="str">
        <f>IF(AND(TabelaClean14[[#This Row],[nivel_risco]]="Alto",TabelaClean14[[#This Row],[flag_inadimplente]]="Sim"),"Arriscado","Ok")</f>
        <v>Ok</v>
      </c>
      <c r="T88" s="26">
        <v>54000</v>
      </c>
      <c r="U88" s="81">
        <f>IF(AND(TabelaClean14[[#This Row],[analise_risco]]="Arriscado",TabelaClean14[[#This Row],[analise_credito]]="Reprovado"),0,IF(TabelaClean14[[#This Row],[status]]="Ativo",TabelaClean14[[#This Row],[valor_solicitado]]*1.08,0))</f>
        <v>58320.000000000007</v>
      </c>
      <c r="W88" s="1"/>
      <c r="Y88" t="s">
        <v>809</v>
      </c>
      <c r="Z88" t="str">
        <f t="shared" si="1"/>
        <v>Null</v>
      </c>
      <c r="AE88" t="s">
        <v>298</v>
      </c>
      <c r="AF88" t="str">
        <f>TEXT(AE88,"000\.000\.000\-00")</f>
        <v>000.000.011-00</v>
      </c>
      <c r="AH88" s="15" t="s">
        <v>215</v>
      </c>
      <c r="AJ88" s="22">
        <v>22700</v>
      </c>
      <c r="AK88">
        <v>22700</v>
      </c>
      <c r="AM88" s="21">
        <v>8500</v>
      </c>
      <c r="AN88">
        <v>8500</v>
      </c>
      <c r="AO88">
        <v>8500</v>
      </c>
      <c r="AQ88" t="s">
        <v>162</v>
      </c>
      <c r="AZ88" s="38" t="s">
        <v>877</v>
      </c>
      <c r="BA88" t="s">
        <v>162</v>
      </c>
      <c r="BB88" s="26">
        <v>2000</v>
      </c>
      <c r="BC88" s="81">
        <f>IF(AND(TabelaClean14[[#This Row],[analise_risco]]="Arriscado",TabelaClean14[[#This Row],[analise_credito]]="Reprovado"),0,IF(TabelaClean14[[#This Row],[status]]="Ativo",TabelaClean14[[#This Row],[valor_solicitado]]*1.08,0))</f>
        <v>58320.000000000007</v>
      </c>
    </row>
    <row r="89" spans="1:55">
      <c r="A89" s="24" t="s">
        <v>76</v>
      </c>
      <c r="B89" s="17" t="s">
        <v>606</v>
      </c>
      <c r="C89" s="25" t="s">
        <v>607</v>
      </c>
      <c r="D89" s="54">
        <v>27</v>
      </c>
      <c r="E89" s="30">
        <v>36316</v>
      </c>
      <c r="F89" s="24" t="str">
        <f>TabelaClean14[[#This Row],[CidadeCPF]]</f>
        <v>Vilavelha</v>
      </c>
      <c r="G89" s="17" t="str">
        <f>TabelaClean14[[#This Row],[RegiaoCPF]]</f>
        <v>Campina</v>
      </c>
      <c r="H89" s="17" t="str">
        <f>_xlfn.XLOOKUP(TabelaClean14[[#This Row],[cpf]],TabelaDirty[cpfclean],TabelaDirty[cidade])</f>
        <v>Vilavelha</v>
      </c>
      <c r="I89" s="17" t="str">
        <f>_xlfn.XLOOKUP(TabelaClean14[[#This Row],[cpf]],TabelaDirty[cpfclean],TabelaDirty[regiao])</f>
        <v>campina</v>
      </c>
      <c r="J89" s="17" t="str">
        <f>PROPER(TabelaClean14[[#This Row],[Coluna1]])</f>
        <v>Campina</v>
      </c>
      <c r="K89" s="17" t="e">
        <f>_xlfn.TEXTBEFORE(TabelaClean14[[#This Row],[CidadeCPF]]," | ")</f>
        <v>#N/A</v>
      </c>
      <c r="L89" s="24" t="e">
        <f>_xlfn.TEXTAFTER(TabelaClean14[[#This Row],[CidadeCPF]]," | ")</f>
        <v>#N/A</v>
      </c>
      <c r="M89" s="26">
        <v>10700</v>
      </c>
      <c r="N89" s="78">
        <v>60000</v>
      </c>
      <c r="O89" s="1" t="s">
        <v>50</v>
      </c>
      <c r="P8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89" s="84">
        <v>44</v>
      </c>
      <c r="R89" s="1" t="str" cm="1">
        <f t="array" ref="R89">_xlfn.IFS(TabelaClean14[[#This Row],[qtde_batalhas]]&lt;=10,"Baixo",TabelaClean14[[#This Row],[qtde_batalhas]]&gt;=26,"Alto",TabelaClean14[[#This Row],[qtde_batalhas]]&lt;26,"Médio")</f>
        <v>Alto</v>
      </c>
      <c r="S89" s="1" t="str">
        <f>IF(AND(TabelaClean14[[#This Row],[nivel_risco]]="Alto",TabelaClean14[[#This Row],[flag_inadimplente]]="Sim"),"Arriscado","Ok")</f>
        <v>Ok</v>
      </c>
      <c r="T89" s="26">
        <v>48000</v>
      </c>
      <c r="U89" s="81">
        <f>IF(AND(TabelaClean14[[#This Row],[analise_risco]]="Arriscado",TabelaClean14[[#This Row],[analise_credito]]="Reprovado"),0,IF(TabelaClean14[[#This Row],[status]]="Ativo",TabelaClean14[[#This Row],[valor_solicitado]]*1.08,0))</f>
        <v>51840</v>
      </c>
      <c r="W89" s="1"/>
      <c r="Y89" t="s">
        <v>809</v>
      </c>
      <c r="Z89" t="str">
        <f t="shared" si="1"/>
        <v>Null</v>
      </c>
      <c r="AE89" t="s">
        <v>455</v>
      </c>
      <c r="AF89" t="str">
        <f>TEXT(AE89,"000\.000\.000\-00")</f>
        <v>000.000.012-00</v>
      </c>
      <c r="AH89" s="15" t="s">
        <v>242</v>
      </c>
      <c r="AJ89" s="22" t="s">
        <v>635</v>
      </c>
      <c r="AK89">
        <v>9200</v>
      </c>
      <c r="AM89" s="20">
        <v>68500</v>
      </c>
      <c r="AN89">
        <v>68500</v>
      </c>
      <c r="AO89">
        <v>68500</v>
      </c>
      <c r="AQ89" t="s">
        <v>79</v>
      </c>
      <c r="AZ89" s="39" t="s">
        <v>99</v>
      </c>
      <c r="BA89" t="s">
        <v>79</v>
      </c>
      <c r="BB89" s="26">
        <v>10700</v>
      </c>
      <c r="BC89" s="81">
        <f>IF(AND(TabelaClean14[[#This Row],[analise_risco]]="Arriscado",TabelaClean14[[#This Row],[analise_credito]]="Reprovado"),0,IF(TabelaClean14[[#This Row],[status]]="Ativo",TabelaClean14[[#This Row],[valor_solicitado]]*1.08,0))</f>
        <v>51840</v>
      </c>
    </row>
    <row r="90" spans="1:55">
      <c r="A90" s="24" t="s">
        <v>81</v>
      </c>
      <c r="B90" s="17" t="s">
        <v>513</v>
      </c>
      <c r="C90" s="25" t="s">
        <v>514</v>
      </c>
      <c r="D90" s="54">
        <v>49</v>
      </c>
      <c r="E90" s="30">
        <v>28049</v>
      </c>
      <c r="F90" s="24" t="str">
        <f>TabelaClean14[[#This Row],[CidadeCPF]]</f>
        <v>Castelo Negro</v>
      </c>
      <c r="G90" s="17" t="str">
        <f>TabelaClean14[[#This Row],[RegiaoCPF]]</f>
        <v>Norte</v>
      </c>
      <c r="H90" s="17" t="str">
        <f>_xlfn.XLOOKUP(TabelaClean14[[#This Row],[cpf]],TabelaDirty[cpfclean],TabelaDirty[cidade])</f>
        <v>Castelo Negro</v>
      </c>
      <c r="I90" s="17" t="str">
        <f>_xlfn.XLOOKUP(TabelaClean14[[#This Row],[cpf]],TabelaDirty[cpfclean],TabelaDirty[regiao])</f>
        <v>Norte</v>
      </c>
      <c r="J90" s="17" t="str">
        <f>PROPER(TabelaClean14[[#This Row],[Coluna1]])</f>
        <v>Norte</v>
      </c>
      <c r="K90" s="17" t="e">
        <f>_xlfn.TEXTBEFORE(TabelaClean14[[#This Row],[CidadeCPF]]," | ")</f>
        <v>#N/A</v>
      </c>
      <c r="L90" s="24" t="e">
        <f>_xlfn.TEXTAFTER(TabelaClean14[[#This Row],[CidadeCPF]]," | ")</f>
        <v>#N/A</v>
      </c>
      <c r="M90" s="26">
        <v>25200</v>
      </c>
      <c r="N90" s="78">
        <v>59500</v>
      </c>
      <c r="O90" s="1" t="s">
        <v>50</v>
      </c>
      <c r="P9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0" s="84">
        <v>37</v>
      </c>
      <c r="R90" s="1" t="str" cm="1">
        <f t="array" ref="R90">_xlfn.IFS(TabelaClean14[[#This Row],[qtde_batalhas]]&lt;=10,"Baixo",TabelaClean14[[#This Row],[qtde_batalhas]]&gt;=26,"Alto",TabelaClean14[[#This Row],[qtde_batalhas]]&lt;26,"Médio")</f>
        <v>Alto</v>
      </c>
      <c r="S90" s="1" t="str">
        <f>IF(AND(TabelaClean14[[#This Row],[nivel_risco]]="Alto",TabelaClean14[[#This Row],[flag_inadimplente]]="Sim"),"Arriscado","Ok")</f>
        <v>Ok</v>
      </c>
      <c r="T90" s="26">
        <v>86500</v>
      </c>
      <c r="U9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90" s="1"/>
      <c r="Y90" t="s">
        <v>413</v>
      </c>
      <c r="Z90" t="str">
        <f t="shared" si="1"/>
        <v>Terras Da Coroa</v>
      </c>
      <c r="AE90" t="s">
        <v>767</v>
      </c>
      <c r="AF90" t="str">
        <f>TEXT(AE90,"000\.000\.000\-00")</f>
        <v>000.000.013-00</v>
      </c>
      <c r="AH90" s="15" t="s">
        <v>210</v>
      </c>
      <c r="AJ90" s="22">
        <v>6100</v>
      </c>
      <c r="AK90">
        <v>6100</v>
      </c>
      <c r="AM90" s="21" t="s">
        <v>414</v>
      </c>
      <c r="AN90" t="s">
        <v>809</v>
      </c>
      <c r="AO90" t="s">
        <v>809</v>
      </c>
      <c r="AQ90" t="s">
        <v>215</v>
      </c>
      <c r="AZ90" s="38" t="s">
        <v>878</v>
      </c>
      <c r="BA90" t="s">
        <v>215</v>
      </c>
      <c r="BB90" s="26">
        <v>25200</v>
      </c>
      <c r="BC9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91" spans="1:55">
      <c r="A91" s="24" t="s">
        <v>81</v>
      </c>
      <c r="B91" s="17" t="s">
        <v>674</v>
      </c>
      <c r="C91" s="25" t="s">
        <v>675</v>
      </c>
      <c r="D91" s="54">
        <v>33</v>
      </c>
      <c r="E91" s="30">
        <v>33989</v>
      </c>
      <c r="F91" s="24" t="str">
        <f>TabelaClean14[[#This Row],[CidadeCPF]]</f>
        <v>Porto Real</v>
      </c>
      <c r="G91" s="17" t="str">
        <f>TabelaClean14[[#This Row],[RegiaoCPF]]</f>
        <v>Terras Da Coroa</v>
      </c>
      <c r="H91" s="17" t="str">
        <f>_xlfn.XLOOKUP(TabelaClean14[[#This Row],[cpf]],TabelaDirty[cpfclean],TabelaDirty[cidade])</f>
        <v>Porto Real</v>
      </c>
      <c r="I91" s="17" t="str">
        <f>_xlfn.XLOOKUP(TabelaClean14[[#This Row],[cpf]],TabelaDirty[cpfclean],TabelaDirty[regiao])</f>
        <v>TERRAS DA COROA</v>
      </c>
      <c r="J91" s="17" t="str">
        <f>PROPER(TabelaClean14[[#This Row],[Coluna1]])</f>
        <v>Terras Da Coroa</v>
      </c>
      <c r="K91" s="17" t="e">
        <f>_xlfn.TEXTBEFORE(TabelaClean14[[#This Row],[CidadeCPF]]," | ")</f>
        <v>#N/A</v>
      </c>
      <c r="L91" s="24" t="e">
        <f>_xlfn.TEXTAFTER(TabelaClean14[[#This Row],[CidadeCPF]]," | ")</f>
        <v>#N/A</v>
      </c>
      <c r="M91" s="26">
        <v>23400</v>
      </c>
      <c r="N91" s="78">
        <v>59000</v>
      </c>
      <c r="O91" s="1" t="s">
        <v>51</v>
      </c>
      <c r="P9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91" s="84">
        <v>35</v>
      </c>
      <c r="R91" s="1" t="str" cm="1">
        <f t="array" ref="R91">_xlfn.IFS(TabelaClean14[[#This Row],[qtde_batalhas]]&lt;=10,"Baixo",TabelaClean14[[#This Row],[qtde_batalhas]]&gt;=26,"Alto",TabelaClean14[[#This Row],[qtde_batalhas]]&lt;26,"Médio")</f>
        <v>Alto</v>
      </c>
      <c r="S91" s="1" t="str">
        <f>IF(AND(TabelaClean14[[#This Row],[nivel_risco]]="Alto",TabelaClean14[[#This Row],[flag_inadimplente]]="Sim"),"Arriscado","Ok")</f>
        <v>Arriscado</v>
      </c>
      <c r="T91" s="26">
        <v>39000</v>
      </c>
      <c r="U9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91" s="1"/>
      <c r="Y91" t="s">
        <v>809</v>
      </c>
      <c r="Z91" t="str">
        <f t="shared" si="1"/>
        <v>Null</v>
      </c>
      <c r="AE91" t="s">
        <v>261</v>
      </c>
      <c r="AF91" t="str">
        <f>TEXT(AE91,"000\.000\.000\-00")</f>
        <v>000.000.014-00</v>
      </c>
      <c r="AH91" s="15" t="s">
        <v>210</v>
      </c>
      <c r="AJ91" s="22" t="s">
        <v>680</v>
      </c>
      <c r="AK91">
        <v>29700</v>
      </c>
      <c r="AM91" s="20" t="s">
        <v>550</v>
      </c>
      <c r="AN91" t="s">
        <v>809</v>
      </c>
      <c r="AO91" t="s">
        <v>809</v>
      </c>
      <c r="AQ91" t="s">
        <v>89</v>
      </c>
      <c r="AZ91" s="39" t="s">
        <v>580</v>
      </c>
      <c r="BA91" t="s">
        <v>89</v>
      </c>
      <c r="BB91" s="26">
        <v>23400</v>
      </c>
      <c r="BC9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92" spans="1:55">
      <c r="A92" s="24" t="s">
        <v>76</v>
      </c>
      <c r="B92" s="17" t="s">
        <v>543</v>
      </c>
      <c r="C92" s="25" t="s">
        <v>879</v>
      </c>
      <c r="D92" s="54">
        <v>42</v>
      </c>
      <c r="E92" s="30">
        <v>30724</v>
      </c>
      <c r="F92" s="24" t="str">
        <f>TabelaClean14[[#This Row],[CidadeCPF]]</f>
        <v>Ilha dos Ursos</v>
      </c>
      <c r="G92" s="17" t="str">
        <f>TabelaClean14[[#This Row],[RegiaoCPF]]</f>
        <v>Norte</v>
      </c>
      <c r="H92" s="17" t="str">
        <f>_xlfn.XLOOKUP(TabelaClean14[[#This Row],[cpf]],TabelaDirty[cpfclean],TabelaDirty[cidade])</f>
        <v>Ilha dos Ursos</v>
      </c>
      <c r="I92" s="17" t="str">
        <f>_xlfn.XLOOKUP(TabelaClean14[[#This Row],[cpf]],TabelaDirty[cpfclean],TabelaDirty[regiao])</f>
        <v>Norte</v>
      </c>
      <c r="J92" s="17" t="str">
        <f>PROPER(TabelaClean14[[#This Row],[Coluna1]])</f>
        <v>Norte</v>
      </c>
      <c r="K92" s="17" t="e">
        <f>_xlfn.TEXTBEFORE(TabelaClean14[[#This Row],[CidadeCPF]]," | ")</f>
        <v>#N/A</v>
      </c>
      <c r="L92" s="24" t="e">
        <f>_xlfn.TEXTAFTER(TabelaClean14[[#This Row],[CidadeCPF]]," | ")</f>
        <v>#N/A</v>
      </c>
      <c r="M92" s="26">
        <v>18500</v>
      </c>
      <c r="N92" s="78">
        <v>59000</v>
      </c>
      <c r="O92" s="1" t="s">
        <v>50</v>
      </c>
      <c r="P9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2" s="84">
        <v>44</v>
      </c>
      <c r="R92" s="1" t="str" cm="1">
        <f t="array" ref="R92">_xlfn.IFS(TabelaClean14[[#This Row],[qtde_batalhas]]&lt;=10,"Baixo",TabelaClean14[[#This Row],[qtde_batalhas]]&gt;=26,"Alto",TabelaClean14[[#This Row],[qtde_batalhas]]&lt;26,"Médio")</f>
        <v>Alto</v>
      </c>
      <c r="S92" s="1" t="str">
        <f>IF(AND(TabelaClean14[[#This Row],[nivel_risco]]="Alto",TabelaClean14[[#This Row],[flag_inadimplente]]="Sim"),"Arriscado","Ok")</f>
        <v>Ok</v>
      </c>
      <c r="T92" s="26">
        <v>16500</v>
      </c>
      <c r="U92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  <c r="W92" s="1"/>
      <c r="Y92" t="s">
        <v>809</v>
      </c>
      <c r="Z92" t="str">
        <f t="shared" si="1"/>
        <v>Null</v>
      </c>
      <c r="AE92" t="s">
        <v>679</v>
      </c>
      <c r="AF92" t="str">
        <f>TEXT(AE92,"000\.000\.000\-00")</f>
        <v>000.000.015-00</v>
      </c>
      <c r="AH92" s="15" t="s">
        <v>121</v>
      </c>
      <c r="AJ92" s="22">
        <v>6400</v>
      </c>
      <c r="AK92">
        <v>6400</v>
      </c>
      <c r="AM92" s="21">
        <v>37000</v>
      </c>
      <c r="AN92">
        <v>37000</v>
      </c>
      <c r="AO92">
        <v>37000</v>
      </c>
      <c r="AQ92" t="s">
        <v>103</v>
      </c>
      <c r="AZ92" s="38" t="s">
        <v>102</v>
      </c>
      <c r="BA92" t="s">
        <v>103</v>
      </c>
      <c r="BB92" s="26">
        <v>18500</v>
      </c>
      <c r="BC92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</row>
    <row r="93" spans="1:55">
      <c r="A93" s="24" t="s">
        <v>76</v>
      </c>
      <c r="B93" s="17" t="s">
        <v>880</v>
      </c>
      <c r="C93" s="25" t="s">
        <v>881</v>
      </c>
      <c r="D93" s="54">
        <v>45</v>
      </c>
      <c r="E93" s="30" t="s">
        <v>882</v>
      </c>
      <c r="F93" s="25" t="s">
        <v>127</v>
      </c>
      <c r="G93" s="25" t="s">
        <v>122</v>
      </c>
      <c r="H93" s="24">
        <v>16200</v>
      </c>
      <c r="I93" s="24">
        <v>59000</v>
      </c>
      <c r="J93" s="24" t="s">
        <v>50</v>
      </c>
      <c r="K93" s="24"/>
      <c r="L93" s="24"/>
      <c r="M93" s="26">
        <v>73500</v>
      </c>
      <c r="N93" s="78">
        <v>59000</v>
      </c>
      <c r="O93" s="1" t="s">
        <v>50</v>
      </c>
      <c r="P9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93" s="76" t="str" cm="1">
        <f t="array" ref="R93">_xlfn.IFS(TabelaClean14[[#This Row],[qtde_batalhas]]&lt;=10,"Baixo",TabelaClean14[[#This Row],[qtde_batalhas]]&gt;=26,"Alto",TabelaClean14[[#This Row],[qtde_batalhas]]&lt;26,"Médio")</f>
        <v>Baixo</v>
      </c>
      <c r="S93" s="76" t="str">
        <f>IF(AND(TabelaClean14[[#This Row],[nivel_risco]]="Alto",TabelaClean14[[#This Row],[flag_inadimplente]]="Sim"),"Arriscado","Ok")</f>
        <v>Ok</v>
      </c>
      <c r="T93" s="26">
        <v>73500</v>
      </c>
      <c r="U93" s="81">
        <f>IF(AND(TabelaClean14[[#This Row],[analise_risco]]="Arriscado",TabelaClean14[[#This Row],[analise_credito]]="Reprovado"),0,IF(TabelaClean14[[#This Row],[status]]="Ativo",TabelaClean14[[#This Row],[valor_solicitado]]*1.08,0))</f>
        <v>79380</v>
      </c>
      <c r="W93" s="1"/>
      <c r="Y93" t="s">
        <v>108</v>
      </c>
      <c r="Z93" t="str">
        <f t="shared" si="1"/>
        <v>Oeste</v>
      </c>
      <c r="AE93" t="s">
        <v>192</v>
      </c>
      <c r="AF93" t="str">
        <f>TEXT(AE93,"000\.000\.000\-00")</f>
        <v>000.000.016-00</v>
      </c>
      <c r="AH93" s="15" t="s">
        <v>215</v>
      </c>
      <c r="AJ93" s="22">
        <v>2500</v>
      </c>
      <c r="AK93">
        <v>2500</v>
      </c>
      <c r="AM93" s="20">
        <v>0</v>
      </c>
      <c r="AN93">
        <v>0</v>
      </c>
      <c r="AO93">
        <v>0</v>
      </c>
      <c r="AQ93" t="s">
        <v>103</v>
      </c>
      <c r="AZ93" s="39" t="s">
        <v>423</v>
      </c>
      <c r="BA93" t="s">
        <v>103</v>
      </c>
      <c r="BB93" s="26">
        <v>73500</v>
      </c>
      <c r="BC93" s="81">
        <f>IF(AND(TabelaClean14[[#This Row],[analise_risco]]="Arriscado",TabelaClean14[[#This Row],[analise_credito]]="Reprovado"),0,IF(TabelaClean14[[#This Row],[status]]="Ativo",TabelaClean14[[#This Row],[valor_solicitado]]*1.08,0))</f>
        <v>79380</v>
      </c>
    </row>
    <row r="94" spans="1:55">
      <c r="A94" s="24" t="s">
        <v>76</v>
      </c>
      <c r="B94" s="17" t="s">
        <v>492</v>
      </c>
      <c r="C94" s="25" t="s">
        <v>493</v>
      </c>
      <c r="D94" s="54">
        <v>62</v>
      </c>
      <c r="E94" s="30">
        <v>23337</v>
      </c>
      <c r="F94" s="24" t="str">
        <f>TabelaClean14[[#This Row],[CidadeCPF]]</f>
        <v>Pedra do Dragão</v>
      </c>
      <c r="G94" s="17" t="str">
        <f>TabelaClean14[[#This Row],[RegiaoCPF]]</f>
        <v>Terras Da Coroa</v>
      </c>
      <c r="H94" s="17" t="str">
        <f>_xlfn.XLOOKUP(TabelaClean14[[#This Row],[cpf]],TabelaDirty[cpfclean],TabelaDirty[cidade])</f>
        <v>Pedra do Dragão</v>
      </c>
      <c r="I94" s="17" t="str">
        <f>_xlfn.XLOOKUP(TabelaClean14[[#This Row],[cpf]],TabelaDirty[cpfclean],TabelaDirty[regiao])</f>
        <v>Terras da Coroa</v>
      </c>
      <c r="J94" s="17" t="str">
        <f>PROPER(TabelaClean14[[#This Row],[Coluna1]])</f>
        <v>Terras Da Coroa</v>
      </c>
      <c r="K94" s="17" t="e">
        <f>_xlfn.TEXTBEFORE(TabelaClean14[[#This Row],[CidadeCPF]]," | ")</f>
        <v>#N/A</v>
      </c>
      <c r="L94" s="24" t="e">
        <f>_xlfn.TEXTAFTER(TabelaClean14[[#This Row],[CidadeCPF]]," | ")</f>
        <v>#N/A</v>
      </c>
      <c r="M94" s="26">
        <v>11900</v>
      </c>
      <c r="N94" s="78">
        <v>58500</v>
      </c>
      <c r="O94" s="1" t="s">
        <v>50</v>
      </c>
      <c r="P9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4" s="84">
        <v>37</v>
      </c>
      <c r="R94" s="1" t="str" cm="1">
        <f t="array" ref="R94">_xlfn.IFS(TabelaClean14[[#This Row],[qtde_batalhas]]&lt;=10,"Baixo",TabelaClean14[[#This Row],[qtde_batalhas]]&gt;=26,"Alto",TabelaClean14[[#This Row],[qtde_batalhas]]&lt;26,"Médio")</f>
        <v>Alto</v>
      </c>
      <c r="S94" s="1" t="str">
        <f>IF(AND(TabelaClean14[[#This Row],[nivel_risco]]="Alto",TabelaClean14[[#This Row],[flag_inadimplente]]="Sim"),"Arriscado","Ok")</f>
        <v>Ok</v>
      </c>
      <c r="T94" s="26">
        <v>48000</v>
      </c>
      <c r="U94" s="81">
        <f>IF(AND(TabelaClean14[[#This Row],[analise_risco]]="Arriscado",TabelaClean14[[#This Row],[analise_credito]]="Reprovado"),0,IF(TabelaClean14[[#This Row],[status]]="Ativo",TabelaClean14[[#This Row],[valor_solicitado]]*1.08,0))</f>
        <v>51840</v>
      </c>
      <c r="W94" s="1"/>
      <c r="Y94" t="s">
        <v>809</v>
      </c>
      <c r="Z94" t="str">
        <f t="shared" si="1"/>
        <v>Null</v>
      </c>
      <c r="AE94" t="s">
        <v>483</v>
      </c>
      <c r="AF94" t="str">
        <f>TEXT(AE94,"000\.000\.000\-00")</f>
        <v>000.000.017-00</v>
      </c>
      <c r="AH94" s="15" t="s">
        <v>242</v>
      </c>
      <c r="AJ94" s="22">
        <v>15600</v>
      </c>
      <c r="AK94">
        <v>15600</v>
      </c>
      <c r="AM94" s="21">
        <v>0</v>
      </c>
      <c r="AN94">
        <v>0</v>
      </c>
      <c r="AO94">
        <v>0</v>
      </c>
      <c r="AQ94" t="s">
        <v>183</v>
      </c>
      <c r="AZ94" s="38" t="s">
        <v>295</v>
      </c>
      <c r="BA94" t="s">
        <v>183</v>
      </c>
      <c r="BB94" s="26">
        <v>11900</v>
      </c>
      <c r="BC94" s="81">
        <f>IF(AND(TabelaClean14[[#This Row],[analise_risco]]="Arriscado",TabelaClean14[[#This Row],[analise_credito]]="Reprovado"),0,IF(TabelaClean14[[#This Row],[status]]="Ativo",TabelaClean14[[#This Row],[valor_solicitado]]*1.08,0))</f>
        <v>51840</v>
      </c>
    </row>
    <row r="95" spans="1:55">
      <c r="A95" s="24" t="s">
        <v>81</v>
      </c>
      <c r="B95" s="17" t="s">
        <v>385</v>
      </c>
      <c r="C95" s="25" t="s">
        <v>883</v>
      </c>
      <c r="D95" s="54">
        <v>73</v>
      </c>
      <c r="E95" s="30">
        <v>19299</v>
      </c>
      <c r="F95" s="24" t="str">
        <f>TabelaClean14[[#This Row],[CidadeCPF]]</f>
        <v>Ponta Tempestade</v>
      </c>
      <c r="G95" s="17" t="str">
        <f>TabelaClean14[[#This Row],[RegiaoCPF]]</f>
        <v>Terras Da Tempestade</v>
      </c>
      <c r="H95" s="17" t="str">
        <f>_xlfn.XLOOKUP(TabelaClean14[[#This Row],[cpf]],TabelaDirty[cpfclean],TabelaDirty[cidade])</f>
        <v>Ponta Tempestade</v>
      </c>
      <c r="I95" s="17" t="str">
        <f>_xlfn.XLOOKUP(TabelaClean14[[#This Row],[cpf]],TabelaDirty[cpfclean],TabelaDirty[regiao])</f>
        <v>TERRAS DA TEMPESTADE</v>
      </c>
      <c r="J95" s="17" t="str">
        <f>PROPER(TabelaClean14[[#This Row],[Coluna1]])</f>
        <v>Terras Da Tempestade</v>
      </c>
      <c r="K95" s="17" t="e">
        <f>_xlfn.TEXTBEFORE(TabelaClean14[[#This Row],[CidadeCPF]]," | ")</f>
        <v>#N/A</v>
      </c>
      <c r="L95" s="24" t="e">
        <f>_xlfn.TEXTAFTER(TabelaClean14[[#This Row],[CidadeCPF]]," | ")</f>
        <v>#N/A</v>
      </c>
      <c r="M95" s="26">
        <v>7100</v>
      </c>
      <c r="N95" s="78">
        <v>58000</v>
      </c>
      <c r="O95" s="1" t="s">
        <v>51</v>
      </c>
      <c r="P9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95" s="84">
        <v>22</v>
      </c>
      <c r="R95" s="1" t="str" cm="1">
        <f t="array" ref="R95">_xlfn.IFS(TabelaClean14[[#This Row],[qtde_batalhas]]&lt;=10,"Baixo",TabelaClean14[[#This Row],[qtde_batalhas]]&gt;=26,"Alto",TabelaClean14[[#This Row],[qtde_batalhas]]&lt;26,"Médio")</f>
        <v>Médio</v>
      </c>
      <c r="S95" s="1" t="str">
        <f>IF(AND(TabelaClean14[[#This Row],[nivel_risco]]="Alto",TabelaClean14[[#This Row],[flag_inadimplente]]="Sim"),"Arriscado","Ok")</f>
        <v>Ok</v>
      </c>
      <c r="T95" s="26">
        <v>46500</v>
      </c>
      <c r="U9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95" s="1"/>
      <c r="Y95" t="s">
        <v>809</v>
      </c>
      <c r="Z95" t="str">
        <f t="shared" si="1"/>
        <v>Null</v>
      </c>
      <c r="AE95" t="s">
        <v>734</v>
      </c>
      <c r="AF95" t="str">
        <f>TEXT(AE95,"000\.000\.000\-00")</f>
        <v>000.000.019-00</v>
      </c>
      <c r="AH95" s="15" t="s">
        <v>242</v>
      </c>
      <c r="AJ95" s="22">
        <v>6300</v>
      </c>
      <c r="AK95">
        <v>6300</v>
      </c>
      <c r="AM95" s="20">
        <v>15000</v>
      </c>
      <c r="AN95">
        <v>15000</v>
      </c>
      <c r="AO95">
        <v>15000</v>
      </c>
      <c r="AQ95" t="s">
        <v>242</v>
      </c>
      <c r="AZ95" s="39" t="s">
        <v>241</v>
      </c>
      <c r="BA95" t="s">
        <v>242</v>
      </c>
      <c r="BB95" s="26">
        <v>7100</v>
      </c>
      <c r="BC9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96" spans="1:55">
      <c r="A96" s="24" t="s">
        <v>81</v>
      </c>
      <c r="B96" s="17" t="s">
        <v>589</v>
      </c>
      <c r="C96" s="25" t="s">
        <v>590</v>
      </c>
      <c r="D96" s="54">
        <v>57</v>
      </c>
      <c r="E96" s="30">
        <v>25324</v>
      </c>
      <c r="F96" s="24" t="str">
        <f>TabelaClean14[[#This Row],[CidadeCPF]]</f>
        <v>Ilha dos Ursos</v>
      </c>
      <c r="G96" s="17" t="str">
        <f>TabelaClean14[[#This Row],[RegiaoCPF]]</f>
        <v>Norte</v>
      </c>
      <c r="H96" s="17" t="str">
        <f>_xlfn.XLOOKUP(TabelaClean14[[#This Row],[cpf]],TabelaDirty[cpfclean],TabelaDirty[cidade])</f>
        <v>Ilha dos Ursos</v>
      </c>
      <c r="I96" s="17" t="str">
        <f>_xlfn.XLOOKUP(TabelaClean14[[#This Row],[cpf]],TabelaDirty[cpfclean],TabelaDirty[regiao])</f>
        <v>NORTE</v>
      </c>
      <c r="J96" s="17" t="str">
        <f>PROPER(TabelaClean14[[#This Row],[Coluna1]])</f>
        <v>Norte</v>
      </c>
      <c r="K96" s="17" t="e">
        <f>_xlfn.TEXTBEFORE(TabelaClean14[[#This Row],[CidadeCPF]]," | ")</f>
        <v>#N/A</v>
      </c>
      <c r="L96" s="24" t="e">
        <f>_xlfn.TEXTAFTER(TabelaClean14[[#This Row],[CidadeCPF]]," | ")</f>
        <v>#N/A</v>
      </c>
      <c r="M96" s="26">
        <v>9500</v>
      </c>
      <c r="N96" s="78">
        <v>58000</v>
      </c>
      <c r="O96" s="1" t="s">
        <v>50</v>
      </c>
      <c r="P9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6" s="84">
        <v>23</v>
      </c>
      <c r="R96" s="1" t="str" cm="1">
        <f t="array" ref="R96">_xlfn.IFS(TabelaClean14[[#This Row],[qtde_batalhas]]&lt;=10,"Baixo",TabelaClean14[[#This Row],[qtde_batalhas]]&gt;=26,"Alto",TabelaClean14[[#This Row],[qtde_batalhas]]&lt;26,"Médio")</f>
        <v>Médio</v>
      </c>
      <c r="S96" s="1" t="str">
        <f>IF(AND(TabelaClean14[[#This Row],[nivel_risco]]="Alto",TabelaClean14[[#This Row],[flag_inadimplente]]="Sim"),"Arriscado","Ok")</f>
        <v>Ok</v>
      </c>
      <c r="T96" s="26">
        <v>81500</v>
      </c>
      <c r="U9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96" s="1"/>
      <c r="Y96" t="s">
        <v>183</v>
      </c>
      <c r="Z96" t="str">
        <f t="shared" si="1"/>
        <v>Dorne</v>
      </c>
      <c r="AE96" t="s">
        <v>507</v>
      </c>
      <c r="AF96" t="str">
        <f>TEXT(AE96,"000\.000\.000\-00")</f>
        <v>000.000.023-00</v>
      </c>
      <c r="AH96" s="15" t="s">
        <v>112</v>
      </c>
      <c r="AJ96" s="22">
        <v>11600</v>
      </c>
      <c r="AK96">
        <v>11600</v>
      </c>
      <c r="AM96" s="21">
        <v>41000</v>
      </c>
      <c r="AN96">
        <v>41000</v>
      </c>
      <c r="AO96">
        <v>41000</v>
      </c>
      <c r="AQ96" t="s">
        <v>154</v>
      </c>
      <c r="AZ96" s="38" t="s">
        <v>870</v>
      </c>
      <c r="BA96" t="s">
        <v>154</v>
      </c>
      <c r="BB96" s="26">
        <v>9500</v>
      </c>
      <c r="BC9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97" spans="1:55">
      <c r="A97" s="24" t="s">
        <v>81</v>
      </c>
      <c r="B97" s="17" t="s">
        <v>479</v>
      </c>
      <c r="C97" s="25" t="s">
        <v>480</v>
      </c>
      <c r="D97" s="54">
        <v>31</v>
      </c>
      <c r="E97" s="30">
        <v>34738</v>
      </c>
      <c r="F97" s="24" t="str">
        <f>TabelaClean14[[#This Row],[CidadeCPF]]</f>
        <v>Vilavelha</v>
      </c>
      <c r="G97" s="17" t="str">
        <f>TabelaClean14[[#This Row],[RegiaoCPF]]</f>
        <v>Campina</v>
      </c>
      <c r="H97" s="17" t="str">
        <f>_xlfn.XLOOKUP(TabelaClean14[[#This Row],[cpf]],TabelaDirty[cpfclean],TabelaDirty[cidade])</f>
        <v>Vilavelha</v>
      </c>
      <c r="I97" s="17" t="str">
        <f>_xlfn.XLOOKUP(TabelaClean14[[#This Row],[cpf]],TabelaDirty[cpfclean],TabelaDirty[regiao])</f>
        <v>Campina</v>
      </c>
      <c r="J97" s="17" t="str">
        <f>PROPER(TabelaClean14[[#This Row],[Coluna1]])</f>
        <v>Campina</v>
      </c>
      <c r="K97" s="17" t="e">
        <f>_xlfn.TEXTBEFORE(TabelaClean14[[#This Row],[CidadeCPF]]," | ")</f>
        <v>#N/A</v>
      </c>
      <c r="L97" s="24" t="e">
        <f>_xlfn.TEXTAFTER(TabelaClean14[[#This Row],[CidadeCPF]]," | ")</f>
        <v>#N/A</v>
      </c>
      <c r="M97" s="26">
        <v>22600</v>
      </c>
      <c r="N97" s="78">
        <v>58000</v>
      </c>
      <c r="O97" s="1" t="s">
        <v>50</v>
      </c>
      <c r="P9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7" s="84">
        <v>5</v>
      </c>
      <c r="R97" s="1" t="str" cm="1">
        <f t="array" ref="R97">_xlfn.IFS(TabelaClean14[[#This Row],[qtde_batalhas]]&lt;=10,"Baixo",TabelaClean14[[#This Row],[qtde_batalhas]]&gt;=26,"Alto",TabelaClean14[[#This Row],[qtde_batalhas]]&lt;26,"Médio")</f>
        <v>Baixo</v>
      </c>
      <c r="S97" s="1" t="str">
        <f>IF(AND(TabelaClean14[[#This Row],[nivel_risco]]="Alto",TabelaClean14[[#This Row],[flag_inadimplente]]="Sim"),"Arriscado","Ok")</f>
        <v>Ok</v>
      </c>
      <c r="T97" s="26">
        <v>26500</v>
      </c>
      <c r="U9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97" s="1"/>
      <c r="Y97" t="s">
        <v>809</v>
      </c>
      <c r="Z97" t="str">
        <f t="shared" si="1"/>
        <v>Null</v>
      </c>
      <c r="AE97" t="s">
        <v>120</v>
      </c>
      <c r="AF97" t="str">
        <f>TEXT(AE97,"000\.000\.000\-00")</f>
        <v>000.000.024-00</v>
      </c>
      <c r="AH97" s="15" t="s">
        <v>121</v>
      </c>
      <c r="AJ97" s="22">
        <v>13500</v>
      </c>
      <c r="AK97">
        <v>13500</v>
      </c>
      <c r="AM97" s="20">
        <v>24000</v>
      </c>
      <c r="AN97">
        <v>24000</v>
      </c>
      <c r="AO97">
        <v>24000</v>
      </c>
      <c r="AQ97" t="s">
        <v>148</v>
      </c>
      <c r="AZ97" s="39" t="s">
        <v>607</v>
      </c>
      <c r="BA97" t="s">
        <v>148</v>
      </c>
      <c r="BB97" s="26">
        <v>22600</v>
      </c>
      <c r="BC9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98" spans="1:55">
      <c r="A98" s="24" t="s">
        <v>76</v>
      </c>
      <c r="B98" s="17" t="s">
        <v>334</v>
      </c>
      <c r="C98" s="25" t="s">
        <v>335</v>
      </c>
      <c r="D98" s="54">
        <v>36</v>
      </c>
      <c r="E98" s="30">
        <v>32791</v>
      </c>
      <c r="F98" s="24" t="str">
        <f>TabelaClean14[[#This Row],[CidadeCPF]]</f>
        <v>Jardim de Cima</v>
      </c>
      <c r="G98" s="17" t="str">
        <f>TabelaClean14[[#This Row],[RegiaoCPF]]</f>
        <v>Campina</v>
      </c>
      <c r="H98" s="17" t="str">
        <f>_xlfn.XLOOKUP(TabelaClean14[[#This Row],[cpf]],TabelaDirty[cpfclean],TabelaDirty[cidade])</f>
        <v>Jardim de Cima</v>
      </c>
      <c r="I98" s="17" t="str">
        <f>_xlfn.XLOOKUP(TabelaClean14[[#This Row],[cpf]],TabelaDirty[cpfclean],TabelaDirty[regiao])</f>
        <v>CAMPINA</v>
      </c>
      <c r="J98" s="17" t="str">
        <f>PROPER(TabelaClean14[[#This Row],[Coluna1]])</f>
        <v>Campina</v>
      </c>
      <c r="K98" s="17" t="e">
        <f>_xlfn.TEXTBEFORE(TabelaClean14[[#This Row],[CidadeCPF]]," | ")</f>
        <v>#N/A</v>
      </c>
      <c r="L98" s="24" t="e">
        <f>_xlfn.TEXTAFTER(TabelaClean14[[#This Row],[CidadeCPF]]," | ")</f>
        <v>#N/A</v>
      </c>
      <c r="M98" s="26">
        <v>23900</v>
      </c>
      <c r="N98" s="78">
        <v>58000</v>
      </c>
      <c r="O98" s="1" t="s">
        <v>50</v>
      </c>
      <c r="P9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8" s="84">
        <v>27</v>
      </c>
      <c r="R98" s="1" t="str" cm="1">
        <f t="array" ref="R98">_xlfn.IFS(TabelaClean14[[#This Row],[qtde_batalhas]]&lt;=10,"Baixo",TabelaClean14[[#This Row],[qtde_batalhas]]&gt;=26,"Alto",TabelaClean14[[#This Row],[qtde_batalhas]]&lt;26,"Médio")</f>
        <v>Alto</v>
      </c>
      <c r="S98" s="1" t="str">
        <f>IF(AND(TabelaClean14[[#This Row],[nivel_risco]]="Alto",TabelaClean14[[#This Row],[flag_inadimplente]]="Sim"),"Arriscado","Ok")</f>
        <v>Ok</v>
      </c>
      <c r="T98" s="26">
        <v>38000</v>
      </c>
      <c r="U98" s="81">
        <f>IF(AND(TabelaClean14[[#This Row],[analise_risco]]="Arriscado",TabelaClean14[[#This Row],[analise_credito]]="Reprovado"),0,IF(TabelaClean14[[#This Row],[status]]="Ativo",TabelaClean14[[#This Row],[valor_solicitado]]*1.08,0))</f>
        <v>41040</v>
      </c>
      <c r="W98" s="1"/>
      <c r="Y98" t="s">
        <v>809</v>
      </c>
      <c r="Z98" t="str">
        <f t="shared" si="1"/>
        <v>Null</v>
      </c>
      <c r="AE98" t="s">
        <v>558</v>
      </c>
      <c r="AF98" t="str">
        <f>TEXT(AE98,"000\.000\.000\-00")</f>
        <v>000.000.025-00</v>
      </c>
      <c r="AH98" s="15" t="s">
        <v>172</v>
      </c>
      <c r="AJ98" s="22">
        <v>2300</v>
      </c>
      <c r="AK98">
        <v>2300</v>
      </c>
      <c r="AM98" s="21">
        <v>26500</v>
      </c>
      <c r="AN98">
        <v>26500</v>
      </c>
      <c r="AO98">
        <v>26500</v>
      </c>
      <c r="AQ98" t="s">
        <v>112</v>
      </c>
      <c r="AZ98" s="38" t="s">
        <v>884</v>
      </c>
      <c r="BA98" t="s">
        <v>112</v>
      </c>
      <c r="BB98" s="26">
        <v>23900</v>
      </c>
      <c r="BC98" s="81">
        <f>IF(AND(TabelaClean14[[#This Row],[analise_risco]]="Arriscado",TabelaClean14[[#This Row],[analise_credito]]="Reprovado"),0,IF(TabelaClean14[[#This Row],[status]]="Ativo",TabelaClean14[[#This Row],[valor_solicitado]]*1.08,0))</f>
        <v>41040</v>
      </c>
    </row>
    <row r="99" spans="1:55">
      <c r="A99" s="24" t="s">
        <v>76</v>
      </c>
      <c r="B99" s="17" t="s">
        <v>698</v>
      </c>
      <c r="C99" s="25" t="s">
        <v>885</v>
      </c>
      <c r="D99" s="54">
        <v>29</v>
      </c>
      <c r="E99" s="30">
        <v>35334</v>
      </c>
      <c r="F99" s="24" t="str">
        <f>TabelaClean14[[#This Row],[CidadeCPF]]</f>
        <v>Pyke</v>
      </c>
      <c r="G99" s="17" t="str">
        <f>TabelaClean14[[#This Row],[RegiaoCPF]]</f>
        <v>Ilhas De Ferro</v>
      </c>
      <c r="H99" s="17" t="str">
        <f>_xlfn.XLOOKUP(TabelaClean14[[#This Row],[cpf]],TabelaDirty[cpfclean],TabelaDirty[cidade])</f>
        <v>Pyke</v>
      </c>
      <c r="I99" s="17" t="str">
        <f>_xlfn.XLOOKUP(TabelaClean14[[#This Row],[cpf]],TabelaDirty[cpfclean],TabelaDirty[regiao])</f>
        <v>Ilhas de Ferro</v>
      </c>
      <c r="J99" s="17" t="str">
        <f>PROPER(TabelaClean14[[#This Row],[Coluna1]])</f>
        <v>Ilhas De Ferro</v>
      </c>
      <c r="K99" s="17" t="e">
        <f>_xlfn.TEXTBEFORE(TabelaClean14[[#This Row],[CidadeCPF]]," | ")</f>
        <v>#N/A</v>
      </c>
      <c r="L99" s="24" t="e">
        <f>_xlfn.TEXTAFTER(TabelaClean14[[#This Row],[CidadeCPF]]," | ")</f>
        <v>#N/A</v>
      </c>
      <c r="M99" s="26">
        <v>19500</v>
      </c>
      <c r="N99" s="78">
        <v>57000</v>
      </c>
      <c r="O99" s="1" t="s">
        <v>50</v>
      </c>
      <c r="P9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99" s="84">
        <v>12</v>
      </c>
      <c r="R99" s="1" t="str" cm="1">
        <f t="array" ref="R99">_xlfn.IFS(TabelaClean14[[#This Row],[qtde_batalhas]]&lt;=10,"Baixo",TabelaClean14[[#This Row],[qtde_batalhas]]&gt;=26,"Alto",TabelaClean14[[#This Row],[qtde_batalhas]]&lt;26,"Médio")</f>
        <v>Médio</v>
      </c>
      <c r="S99" s="1" t="str">
        <f>IF(AND(TabelaClean14[[#This Row],[nivel_risco]]="Alto",TabelaClean14[[#This Row],[flag_inadimplente]]="Sim"),"Arriscado","Ok")</f>
        <v>Ok</v>
      </c>
      <c r="T99" s="26">
        <v>20500</v>
      </c>
      <c r="U99" s="81">
        <f>IF(AND(TabelaClean14[[#This Row],[analise_risco]]="Arriscado",TabelaClean14[[#This Row],[analise_credito]]="Reprovado"),0,IF(TabelaClean14[[#This Row],[status]]="Ativo",TabelaClean14[[#This Row],[valor_solicitado]]*1.08,0))</f>
        <v>22140</v>
      </c>
      <c r="W99" s="1"/>
      <c r="Y99" t="s">
        <v>84</v>
      </c>
      <c r="Z99" t="str">
        <f t="shared" si="1"/>
        <v>Terras Da Tempestade</v>
      </c>
      <c r="AE99" t="s">
        <v>255</v>
      </c>
      <c r="AF99" t="str">
        <f>TEXT(AE99,"000\.000\.000\-00")</f>
        <v>000.000.026-00</v>
      </c>
      <c r="AH99" s="15" t="s">
        <v>121</v>
      </c>
      <c r="AJ99" s="22">
        <v>2300</v>
      </c>
      <c r="AK99">
        <v>2300</v>
      </c>
      <c r="AM99" s="20">
        <v>0</v>
      </c>
      <c r="AN99">
        <v>0</v>
      </c>
      <c r="AO99">
        <v>0</v>
      </c>
      <c r="AQ99" t="s">
        <v>242</v>
      </c>
      <c r="AZ99" s="39" t="s">
        <v>810</v>
      </c>
      <c r="BA99" t="s">
        <v>242</v>
      </c>
      <c r="BB99" s="26">
        <v>19500</v>
      </c>
      <c r="BC99" s="81">
        <f>IF(AND(TabelaClean14[[#This Row],[analise_risco]]="Arriscado",TabelaClean14[[#This Row],[analise_credito]]="Reprovado"),0,IF(TabelaClean14[[#This Row],[status]]="Ativo",TabelaClean14[[#This Row],[valor_solicitado]]*1.08,0))</f>
        <v>22140</v>
      </c>
    </row>
    <row r="100" spans="1:55">
      <c r="A100" s="24" t="s">
        <v>76</v>
      </c>
      <c r="B100" s="17" t="s">
        <v>403</v>
      </c>
      <c r="C100" s="25" t="s">
        <v>404</v>
      </c>
      <c r="D100" s="54">
        <v>56</v>
      </c>
      <c r="E100" s="30">
        <v>25671</v>
      </c>
      <c r="F100" s="24" t="str">
        <f>TabelaClean14[[#This Row],[CidadeCPF]]</f>
        <v>Harrenhal</v>
      </c>
      <c r="G100" s="17" t="str">
        <f>TabelaClean14[[#This Row],[RegiaoCPF]]</f>
        <v>Terras Fluviais</v>
      </c>
      <c r="H100" s="17" t="str">
        <f>_xlfn.XLOOKUP(TabelaClean14[[#This Row],[cpf]],TabelaDirty[cpfclean],TabelaDirty[cidade])</f>
        <v>Harrenhal</v>
      </c>
      <c r="I100" s="17" t="str">
        <f>_xlfn.XLOOKUP(TabelaClean14[[#This Row],[cpf]],TabelaDirty[cpfclean],TabelaDirty[regiao])</f>
        <v>Terras Fluviais</v>
      </c>
      <c r="J100" s="17" t="str">
        <f>PROPER(TabelaClean14[[#This Row],[Coluna1]])</f>
        <v>Terras Fluviais</v>
      </c>
      <c r="K100" s="17" t="e">
        <f>_xlfn.TEXTBEFORE(TabelaClean14[[#This Row],[CidadeCPF]]," | ")</f>
        <v>#N/A</v>
      </c>
      <c r="L100" s="24" t="e">
        <f>_xlfn.TEXTAFTER(TabelaClean14[[#This Row],[CidadeCPF]]," | ")</f>
        <v>#N/A</v>
      </c>
      <c r="M100" s="26">
        <v>28300</v>
      </c>
      <c r="N100" s="78">
        <v>56000</v>
      </c>
      <c r="O100" s="1" t="s">
        <v>50</v>
      </c>
      <c r="P10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0" s="84">
        <v>6</v>
      </c>
      <c r="R100" s="1" t="str" cm="1">
        <f t="array" ref="R100">_xlfn.IFS(TabelaClean14[[#This Row],[qtde_batalhas]]&lt;=10,"Baixo",TabelaClean14[[#This Row],[qtde_batalhas]]&gt;=26,"Alto",TabelaClean14[[#This Row],[qtde_batalhas]]&lt;26,"Médio")</f>
        <v>Baixo</v>
      </c>
      <c r="S100" s="1" t="str">
        <f>IF(AND(TabelaClean14[[#This Row],[nivel_risco]]="Alto",TabelaClean14[[#This Row],[flag_inadimplente]]="Sim"),"Arriscado","Ok")</f>
        <v>Ok</v>
      </c>
      <c r="T100" s="26">
        <v>77000</v>
      </c>
      <c r="U100" s="81">
        <f>IF(AND(TabelaClean14[[#This Row],[analise_risco]]="Arriscado",TabelaClean14[[#This Row],[analise_credito]]="Reprovado"),0,IF(TabelaClean14[[#This Row],[status]]="Ativo",TabelaClean14[[#This Row],[valor_solicitado]]*1.08,0))</f>
        <v>83160</v>
      </c>
      <c r="W100" s="1"/>
      <c r="Y100" t="s">
        <v>809</v>
      </c>
      <c r="Z100" t="str">
        <f t="shared" si="1"/>
        <v>Null</v>
      </c>
      <c r="AE100" t="s">
        <v>355</v>
      </c>
      <c r="AF100" t="str">
        <f>TEXT(AE100,"000\.000\.000\-00")</f>
        <v>000.000.027-00</v>
      </c>
      <c r="AH100" s="15" t="s">
        <v>169</v>
      </c>
      <c r="AJ100" s="22">
        <v>22600</v>
      </c>
      <c r="AK100">
        <v>22600</v>
      </c>
      <c r="AM100" s="21">
        <v>63000</v>
      </c>
      <c r="AN100">
        <v>63000</v>
      </c>
      <c r="AO100">
        <v>63000</v>
      </c>
      <c r="AQ100" t="s">
        <v>121</v>
      </c>
      <c r="AZ100" s="38" t="s">
        <v>790</v>
      </c>
      <c r="BA100" t="s">
        <v>121</v>
      </c>
      <c r="BB100" s="26">
        <v>28300</v>
      </c>
      <c r="BC100" s="81">
        <f>IF(AND(TabelaClean14[[#This Row],[analise_risco]]="Arriscado",TabelaClean14[[#This Row],[analise_credito]]="Reprovado"),0,IF(TabelaClean14[[#This Row],[status]]="Ativo",TabelaClean14[[#This Row],[valor_solicitado]]*1.08,0))</f>
        <v>83160</v>
      </c>
    </row>
    <row r="101" spans="1:55">
      <c r="A101" s="24" t="s">
        <v>76</v>
      </c>
      <c r="B101" s="17" t="s">
        <v>403</v>
      </c>
      <c r="C101" s="25" t="s">
        <v>886</v>
      </c>
      <c r="D101" s="54">
        <f>_xlfn.XLOOKUP(TabelaClean14[[#This Row],[nome]],Base_Dirty!B:B,Base_Dirty!E:E)</f>
        <v>56</v>
      </c>
      <c r="E101" s="51">
        <f>_xlfn.XLOOKUP(TabelaClean14[[#This Row],[nome]],Base_Dirty!$B:$B,Base_Dirty!F:F)</f>
        <v>25671</v>
      </c>
      <c r="F101" s="17" t="s">
        <v>169</v>
      </c>
      <c r="G101" s="17" t="s">
        <v>139</v>
      </c>
      <c r="H101" s="24" t="s">
        <v>139</v>
      </c>
      <c r="I101" s="24">
        <v>28300</v>
      </c>
      <c r="J101" s="24">
        <v>56000</v>
      </c>
      <c r="K101" s="24" t="s">
        <v>50</v>
      </c>
      <c r="L101" s="24">
        <v>6</v>
      </c>
      <c r="M101" s="23">
        <f>_xlfn.XLOOKUP(TabelaClean14[[#This Row],[nome]],Base_Dirty!$B:$B,Base_Dirty!I:I)</f>
        <v>28300</v>
      </c>
      <c r="N101" s="78">
        <f>_xlfn.XLOOKUP(TabelaClean14[[#This Row],[nome]],Base_Dirty!$B:$B,Base_Dirty!J:J)</f>
        <v>56000</v>
      </c>
      <c r="O101" s="79" t="s">
        <v>50</v>
      </c>
      <c r="P10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1" s="84">
        <f>_xlfn.XLOOKUP(TabelaClean14[[#This Row],[nome]],Base_Dirty!$B:$B,Base_Dirty!L:L)</f>
        <v>6</v>
      </c>
      <c r="R101" s="76" t="str" cm="1">
        <f t="array" ref="R101">_xlfn.IFS(TabelaClean14[[#This Row],[qtde_batalhas]]&lt;=10,"Baixo",TabelaClean14[[#This Row],[qtde_batalhas]]&gt;=26,"Alto",TabelaClean14[[#This Row],[qtde_batalhas]]&lt;26,"Médio")</f>
        <v>Baixo</v>
      </c>
      <c r="S101" s="76" t="str">
        <f>IF(AND(TabelaClean14[[#This Row],[nivel_risco]]="Alto",TabelaClean14[[#This Row],[flag_inadimplente]]="Sim"),"Arriscado","Ok")</f>
        <v>Ok</v>
      </c>
      <c r="T101" s="26">
        <f>_xlfn.XLOOKUP(TabelaClean14[[#This Row],[nome]],Base_Dirty!$B:$B,Base_Dirty!O:O)</f>
        <v>77000</v>
      </c>
      <c r="U101" s="81">
        <f>IF(AND(TabelaClean14[[#This Row],[analise_risco]]="Arriscado",TabelaClean14[[#This Row],[analise_credito]]="Reprovado"),0,IF(TabelaClean14[[#This Row],[status]]="Ativo",TabelaClean14[[#This Row],[valor_solicitado]]*1.08,0))</f>
        <v>83160</v>
      </c>
      <c r="W101" s="1"/>
      <c r="Y101" t="s">
        <v>146</v>
      </c>
      <c r="Z101" t="str">
        <f t="shared" si="1"/>
        <v>Terras Fluviais</v>
      </c>
      <c r="AE101" t="s">
        <v>272</v>
      </c>
      <c r="AF101" t="str">
        <f>TEXT(AE101,"000\.000\.000\-00")</f>
        <v>000.000.030-00</v>
      </c>
      <c r="AH101" s="15" t="s">
        <v>138</v>
      </c>
      <c r="AM101" s="20">
        <v>69000</v>
      </c>
      <c r="AN101">
        <v>69000</v>
      </c>
      <c r="AO101">
        <v>69000</v>
      </c>
      <c r="AQ101" t="s">
        <v>162</v>
      </c>
      <c r="AZ101" s="39" t="s">
        <v>398</v>
      </c>
      <c r="BA101" t="s">
        <v>162</v>
      </c>
      <c r="BB101" s="23">
        <f>_xlfn.XLOOKUP(TabelaClean14[[#This Row],[nome]],Base_Dirty!$B:$B,Base_Dirty!AX:AX)</f>
        <v>0</v>
      </c>
      <c r="BC101" s="81">
        <f>IF(AND(TabelaClean14[[#This Row],[analise_risco]]="Arriscado",TabelaClean14[[#This Row],[analise_credito]]="Reprovado"),0,IF(TabelaClean14[[#This Row],[status]]="Ativo",TabelaClean14[[#This Row],[valor_solicitado]]*1.08,0))</f>
        <v>83160</v>
      </c>
    </row>
    <row r="102" spans="1:55">
      <c r="A102" s="24" t="s">
        <v>76</v>
      </c>
      <c r="B102" s="17" t="s">
        <v>403</v>
      </c>
      <c r="C102" t="str">
        <f>_xlfn.XLOOKUP(TabelaClean14[[#This Row],[nome]],Base_Dirty!$B:$B,Base_Dirty!D:D)</f>
        <v>000.000.282-00</v>
      </c>
      <c r="D102" s="54">
        <f>_xlfn.XLOOKUP(TabelaClean14[[#This Row],[nome]],Base_Dirty!B:B,Base_Dirty!E:E)</f>
        <v>56</v>
      </c>
      <c r="E102" s="30">
        <v>56</v>
      </c>
      <c r="F102" s="17" t="s">
        <v>169</v>
      </c>
      <c r="G102" s="17" t="s">
        <v>139</v>
      </c>
      <c r="H102" s="24" t="s">
        <v>139</v>
      </c>
      <c r="I102" s="24">
        <v>28300</v>
      </c>
      <c r="J102" s="24">
        <v>56000</v>
      </c>
      <c r="K102" s="24" t="s">
        <v>50</v>
      </c>
      <c r="L102" s="24">
        <v>6</v>
      </c>
      <c r="M102" s="23">
        <f>_xlfn.XLOOKUP(TabelaClean14[[#This Row],[nome]],Base_Dirty!$B:$B,Base_Dirty!I:I)</f>
        <v>28300</v>
      </c>
      <c r="N102" s="78">
        <f>_xlfn.XLOOKUP(TabelaClean14[[#This Row],[nome]],Base_Dirty!$B:$B,Base_Dirty!J:J)</f>
        <v>56000</v>
      </c>
      <c r="O102" s="79" t="s">
        <v>50</v>
      </c>
      <c r="P102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2" s="84">
        <f>_xlfn.XLOOKUP(TabelaClean14[[#This Row],[nome]],Base_Dirty!$B:$B,Base_Dirty!L:L)</f>
        <v>6</v>
      </c>
      <c r="R102" s="76" t="str" cm="1">
        <f t="array" ref="R102">_xlfn.IFS(TabelaClean14[[#This Row],[qtde_batalhas]]&lt;=10,"Baixo",TabelaClean14[[#This Row],[qtde_batalhas]]&gt;=26,"Alto",TabelaClean14[[#This Row],[qtde_batalhas]]&lt;26,"Médio")</f>
        <v>Baixo</v>
      </c>
      <c r="S102" s="76" t="str">
        <f>IF(AND(TabelaClean14[[#This Row],[nivel_risco]]="Alto",TabelaClean14[[#This Row],[flag_inadimplente]]="Sim"),"Arriscado","Ok")</f>
        <v>Ok</v>
      </c>
      <c r="T102" s="26">
        <f>_xlfn.XLOOKUP(TabelaClean14[[#This Row],[nome]],Base_Dirty!$B:$B,Base_Dirty!O:O)</f>
        <v>77000</v>
      </c>
      <c r="U102" s="81">
        <f>IF(AND(TabelaClean14[[#This Row],[analise_risco]]="Arriscado",TabelaClean14[[#This Row],[analise_credito]]="Reprovado"),0,IF(TabelaClean14[[#This Row],[status]]="Ativo",TabelaClean14[[#This Row],[valor_solicitado]]*1.08,0))</f>
        <v>83160</v>
      </c>
      <c r="W102" s="1"/>
      <c r="Y102" t="s">
        <v>436</v>
      </c>
      <c r="Z102" t="str">
        <f t="shared" si="1"/>
        <v>Vale</v>
      </c>
      <c r="AE102" t="s">
        <v>533</v>
      </c>
      <c r="AF102" t="str">
        <f>TEXT(AE102,"000\.000\.000\-00")</f>
        <v>000.000.031-00</v>
      </c>
      <c r="AH102" s="15" t="s">
        <v>103</v>
      </c>
      <c r="AJ102" s="22">
        <v>3900</v>
      </c>
      <c r="AK102">
        <v>3900</v>
      </c>
      <c r="AM102" s="21">
        <v>27000</v>
      </c>
      <c r="AN102">
        <v>27000</v>
      </c>
      <c r="AO102">
        <v>27000</v>
      </c>
      <c r="AQ102" t="s">
        <v>79</v>
      </c>
      <c r="AZ102" s="38" t="s">
        <v>603</v>
      </c>
      <c r="BA102" t="s">
        <v>79</v>
      </c>
      <c r="BB102" s="23">
        <f>_xlfn.XLOOKUP(TabelaClean14[[#This Row],[nome]],Base_Dirty!$B:$B,Base_Dirty!AX:AX)</f>
        <v>0</v>
      </c>
      <c r="BC102" s="81">
        <f>IF(AND(TabelaClean14[[#This Row],[analise_risco]]="Arriscado",TabelaClean14[[#This Row],[analise_credito]]="Reprovado"),0,IF(TabelaClean14[[#This Row],[status]]="Ativo",TabelaClean14[[#This Row],[valor_solicitado]]*1.08,0))</f>
        <v>83160</v>
      </c>
    </row>
    <row r="103" spans="1:55">
      <c r="A103" s="24" t="s">
        <v>76</v>
      </c>
      <c r="B103" s="17" t="s">
        <v>661</v>
      </c>
      <c r="C103" s="25" t="s">
        <v>662</v>
      </c>
      <c r="D103" s="54" t="s">
        <v>809</v>
      </c>
      <c r="E103" s="30">
        <v>36337</v>
      </c>
      <c r="F103" s="24" t="str">
        <f>TabelaClean14[[#This Row],[CidadeCPF]]</f>
        <v>Winterfell</v>
      </c>
      <c r="G103" s="17" t="str">
        <f>TabelaClean14[[#This Row],[RegiaoCPF]]</f>
        <v>Norte</v>
      </c>
      <c r="H103" s="17" t="str">
        <f>_xlfn.XLOOKUP(TabelaClean14[[#This Row],[cpf]],TabelaDirty[cpfclean],TabelaDirty[cidade])</f>
        <v>Winterfell</v>
      </c>
      <c r="I103" s="17" t="str">
        <f>_xlfn.XLOOKUP(TabelaClean14[[#This Row],[cpf]],TabelaDirty[cpfclean],TabelaDirty[regiao])</f>
        <v>Norte</v>
      </c>
      <c r="J103" s="17" t="str">
        <f>PROPER(TabelaClean14[[#This Row],[Coluna1]])</f>
        <v>Norte</v>
      </c>
      <c r="K103" s="17" t="e">
        <f>_xlfn.TEXTBEFORE(TabelaClean14[[#This Row],[CidadeCPF]]," | ")</f>
        <v>#N/A</v>
      </c>
      <c r="L103" s="24" t="e">
        <f>_xlfn.TEXTAFTER(TabelaClean14[[#This Row],[CidadeCPF]]," | ")</f>
        <v>#N/A</v>
      </c>
      <c r="M103" s="26">
        <v>22500</v>
      </c>
      <c r="N103" s="78">
        <v>55500</v>
      </c>
      <c r="O103" s="1" t="s">
        <v>50</v>
      </c>
      <c r="P10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3" s="84">
        <v>32</v>
      </c>
      <c r="R103" s="1" t="str" cm="1">
        <f t="array" ref="R103">_xlfn.IFS(TabelaClean14[[#This Row],[qtde_batalhas]]&lt;=10,"Baixo",TabelaClean14[[#This Row],[qtde_batalhas]]&gt;=26,"Alto",TabelaClean14[[#This Row],[qtde_batalhas]]&lt;26,"Médio")</f>
        <v>Alto</v>
      </c>
      <c r="S103" s="1" t="str">
        <f>IF(AND(TabelaClean14[[#This Row],[nivel_risco]]="Alto",TabelaClean14[[#This Row],[flag_inadimplente]]="Sim"),"Arriscado","Ok")</f>
        <v>Ok</v>
      </c>
      <c r="T103" s="26">
        <v>91500</v>
      </c>
      <c r="U103" s="81">
        <f>IF(AND(TabelaClean14[[#This Row],[analise_risco]]="Arriscado",TabelaClean14[[#This Row],[analise_credito]]="Reprovado"),0,IF(TabelaClean14[[#This Row],[status]]="Ativo",TabelaClean14[[#This Row],[valor_solicitado]]*1.08,0))</f>
        <v>98820</v>
      </c>
      <c r="W103" s="1"/>
      <c r="Y103" t="s">
        <v>809</v>
      </c>
      <c r="Z103" t="str">
        <f t="shared" si="1"/>
        <v>Null</v>
      </c>
      <c r="AE103" t="s">
        <v>800</v>
      </c>
      <c r="AF103" t="str">
        <f>TEXT(AE103,"000\.000\.000\-00")</f>
        <v>000.000.036-00</v>
      </c>
      <c r="AH103" s="14" t="s">
        <v>378</v>
      </c>
      <c r="AI103" t="e" cm="1" vm="1">
        <f t="array" aca="1" ref="AI103" ca="1">_xlfn.TEXTSPLIT(AH103," | ")</f>
        <v>#VALUE!</v>
      </c>
      <c r="AJ103" s="22">
        <v>18700</v>
      </c>
      <c r="AK103">
        <v>18700</v>
      </c>
      <c r="AL103" t="s">
        <v>139</v>
      </c>
      <c r="AM103" s="20">
        <v>46000</v>
      </c>
      <c r="AN103">
        <v>46000</v>
      </c>
      <c r="AO103">
        <v>46000</v>
      </c>
      <c r="AQ103" t="s">
        <v>127</v>
      </c>
      <c r="AZ103" s="39" t="s">
        <v>814</v>
      </c>
      <c r="BA103" t="s">
        <v>127</v>
      </c>
      <c r="BB103" s="26">
        <v>22500</v>
      </c>
      <c r="BC103" s="81">
        <f>IF(AND(TabelaClean14[[#This Row],[analise_risco]]="Arriscado",TabelaClean14[[#This Row],[analise_credito]]="Reprovado"),0,IF(TabelaClean14[[#This Row],[status]]="Ativo",TabelaClean14[[#This Row],[valor_solicitado]]*1.08,0))</f>
        <v>98820</v>
      </c>
    </row>
    <row r="104" spans="1:55">
      <c r="A104" s="24" t="s">
        <v>81</v>
      </c>
      <c r="B104" s="17" t="s">
        <v>518</v>
      </c>
      <c r="C104" s="25" t="s">
        <v>887</v>
      </c>
      <c r="D104" s="54">
        <v>60</v>
      </c>
      <c r="E104" s="30">
        <v>24091</v>
      </c>
      <c r="F104" s="24" t="str">
        <f>TabelaClean14[[#This Row],[CidadeCPF]]</f>
        <v>Lannisporto</v>
      </c>
      <c r="G104" s="17" t="str">
        <f>TabelaClean14[[#This Row],[RegiaoCPF]]</f>
        <v>Oeste</v>
      </c>
      <c r="H104" s="17" t="str">
        <f>_xlfn.XLOOKUP(TabelaClean14[[#This Row],[cpf]],TabelaDirty[cpfclean],TabelaDirty[cidade])</f>
        <v>Lannisporto</v>
      </c>
      <c r="I104" s="17" t="str">
        <f>_xlfn.XLOOKUP(TabelaClean14[[#This Row],[cpf]],TabelaDirty[cpfclean],TabelaDirty[regiao])</f>
        <v>Oeste</v>
      </c>
      <c r="J104" s="17" t="str">
        <f>PROPER(TabelaClean14[[#This Row],[Coluna1]])</f>
        <v>Oeste</v>
      </c>
      <c r="K104" s="17" t="e">
        <f>_xlfn.TEXTBEFORE(TabelaClean14[[#This Row],[CidadeCPF]]," | ")</f>
        <v>#N/A</v>
      </c>
      <c r="L104" s="24" t="e">
        <f>_xlfn.TEXTAFTER(TabelaClean14[[#This Row],[CidadeCPF]]," | ")</f>
        <v>#N/A</v>
      </c>
      <c r="M104" s="26">
        <v>10100</v>
      </c>
      <c r="N104" s="78">
        <v>55000</v>
      </c>
      <c r="O104" s="1" t="s">
        <v>50</v>
      </c>
      <c r="P10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4" s="84">
        <v>26</v>
      </c>
      <c r="R104" s="1" t="str" cm="1">
        <f t="array" ref="R104">_xlfn.IFS(TabelaClean14[[#This Row],[qtde_batalhas]]&lt;=10,"Baixo",TabelaClean14[[#This Row],[qtde_batalhas]]&gt;=26,"Alto",TabelaClean14[[#This Row],[qtde_batalhas]]&lt;26,"Médio")</f>
        <v>Alto</v>
      </c>
      <c r="S104" s="1" t="str">
        <f>IF(AND(TabelaClean14[[#This Row],[nivel_risco]]="Alto",TabelaClean14[[#This Row],[flag_inadimplente]]="Sim"),"Arriscado","Ok")</f>
        <v>Ok</v>
      </c>
      <c r="T104" s="26">
        <v>54000</v>
      </c>
      <c r="U10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04" s="1"/>
      <c r="Y104" t="s">
        <v>256</v>
      </c>
      <c r="Z104" t="str">
        <f t="shared" si="1"/>
        <v>Essos</v>
      </c>
      <c r="AE104" t="s">
        <v>529</v>
      </c>
      <c r="AF104" t="str">
        <f>TEXT(AE104,"000\.000\.000\-00")</f>
        <v>000.000.037-00</v>
      </c>
      <c r="AH104" s="15" t="s">
        <v>154</v>
      </c>
      <c r="AJ104" s="22">
        <v>3200</v>
      </c>
      <c r="AK104">
        <v>3200</v>
      </c>
      <c r="AM104" s="21">
        <v>6500</v>
      </c>
      <c r="AN104">
        <v>6500</v>
      </c>
      <c r="AO104">
        <v>6500</v>
      </c>
      <c r="AQ104" t="s">
        <v>83</v>
      </c>
      <c r="AZ104" s="38" t="s">
        <v>186</v>
      </c>
      <c r="BA104" t="s">
        <v>83</v>
      </c>
      <c r="BB104" s="26">
        <v>10100</v>
      </c>
      <c r="BC10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05" spans="1:55">
      <c r="A105" s="24" t="s">
        <v>76</v>
      </c>
      <c r="B105" s="17" t="s">
        <v>652</v>
      </c>
      <c r="C105" s="25" t="s">
        <v>888</v>
      </c>
      <c r="D105" s="54">
        <v>44</v>
      </c>
      <c r="E105" s="30">
        <v>29843</v>
      </c>
      <c r="F105" s="24" t="str">
        <f>TabelaClean14[[#This Row],[CidadeCPF]]</f>
        <v>Pedra do Dragão</v>
      </c>
      <c r="G105" s="17" t="str">
        <f>TabelaClean14[[#This Row],[RegiaoCPF]]</f>
        <v>Terras Da Coroa</v>
      </c>
      <c r="H105" s="17" t="str">
        <f>_xlfn.XLOOKUP(TabelaClean14[[#This Row],[cpf]],TabelaDirty[cpfclean],TabelaDirty[cidade])</f>
        <v>Pedra do Dragão</v>
      </c>
      <c r="I105" s="17" t="str">
        <f>_xlfn.XLOOKUP(TabelaClean14[[#This Row],[cpf]],TabelaDirty[cpfclean],TabelaDirty[regiao])</f>
        <v>Terras da Coroa</v>
      </c>
      <c r="J105" s="17" t="str">
        <f>PROPER(TabelaClean14[[#This Row],[Coluna1]])</f>
        <v>Terras Da Coroa</v>
      </c>
      <c r="K105" s="17" t="e">
        <f>_xlfn.TEXTBEFORE(TabelaClean14[[#This Row],[CidadeCPF]]," | ")</f>
        <v>#N/A</v>
      </c>
      <c r="L105" s="24" t="e">
        <f>_xlfn.TEXTAFTER(TabelaClean14[[#This Row],[CidadeCPF]]," | ")</f>
        <v>#N/A</v>
      </c>
      <c r="M105" s="26">
        <v>11300</v>
      </c>
      <c r="N105" s="78">
        <v>55000</v>
      </c>
      <c r="O105" s="1" t="s">
        <v>50</v>
      </c>
      <c r="P10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5" s="84">
        <v>38</v>
      </c>
      <c r="R105" s="1" t="str" cm="1">
        <f t="array" ref="R105">_xlfn.IFS(TabelaClean14[[#This Row],[qtde_batalhas]]&lt;=10,"Baixo",TabelaClean14[[#This Row],[qtde_batalhas]]&gt;=26,"Alto",TabelaClean14[[#This Row],[qtde_batalhas]]&lt;26,"Médio")</f>
        <v>Alto</v>
      </c>
      <c r="S105" s="1" t="str">
        <f>IF(AND(TabelaClean14[[#This Row],[nivel_risco]]="Alto",TabelaClean14[[#This Row],[flag_inadimplente]]="Sim"),"Arriscado","Ok")</f>
        <v>Ok</v>
      </c>
      <c r="T105" s="26">
        <v>68500</v>
      </c>
      <c r="U105" s="81">
        <f>IF(AND(TabelaClean14[[#This Row],[analise_risco]]="Arriscado",TabelaClean14[[#This Row],[analise_credito]]="Reprovado"),0,IF(TabelaClean14[[#This Row],[status]]="Ativo",TabelaClean14[[#This Row],[valor_solicitado]]*1.08,0))</f>
        <v>73980</v>
      </c>
      <c r="W105" s="1"/>
      <c r="Y105" t="s">
        <v>108</v>
      </c>
      <c r="Z105" t="str">
        <f t="shared" si="1"/>
        <v>Oeste</v>
      </c>
      <c r="AE105" t="s">
        <v>125</v>
      </c>
      <c r="AF105" t="str">
        <f>TEXT(AE105,"000\.000\.000\-00")</f>
        <v>000.000.039-00</v>
      </c>
      <c r="AH105" s="15" t="s">
        <v>169</v>
      </c>
      <c r="AJ105" s="22">
        <v>14200</v>
      </c>
      <c r="AK105">
        <v>14200</v>
      </c>
      <c r="AM105" s="20">
        <v>71000</v>
      </c>
      <c r="AN105">
        <v>71000</v>
      </c>
      <c r="AO105">
        <v>71000</v>
      </c>
      <c r="AQ105" t="s">
        <v>242</v>
      </c>
      <c r="AZ105" s="39" t="s">
        <v>711</v>
      </c>
      <c r="BA105" t="s">
        <v>242</v>
      </c>
      <c r="BB105" s="26">
        <v>11300</v>
      </c>
      <c r="BC105" s="81">
        <f>IF(AND(TabelaClean14[[#This Row],[analise_risco]]="Arriscado",TabelaClean14[[#This Row],[analise_credito]]="Reprovado"),0,IF(TabelaClean14[[#This Row],[status]]="Ativo",TabelaClean14[[#This Row],[valor_solicitado]]*1.08,0))</f>
        <v>73980</v>
      </c>
    </row>
    <row r="106" spans="1:55">
      <c r="A106" s="24" t="s">
        <v>76</v>
      </c>
      <c r="B106" s="17" t="s">
        <v>329</v>
      </c>
      <c r="C106" s="25" t="s">
        <v>330</v>
      </c>
      <c r="D106" s="54">
        <v>42</v>
      </c>
      <c r="E106" s="30">
        <v>30666</v>
      </c>
      <c r="F106" s="24" t="str">
        <f>TabelaClean14[[#This Row],[CidadeCPF]]</f>
        <v>Pedra do Dragão</v>
      </c>
      <c r="G106" s="17" t="str">
        <f>TabelaClean14[[#This Row],[RegiaoCPF]]</f>
        <v>Terras Da Coroa</v>
      </c>
      <c r="H106" s="17" t="str">
        <f>_xlfn.XLOOKUP(TabelaClean14[[#This Row],[cpf]],TabelaDirty[cpfclean],TabelaDirty[cidade])</f>
        <v>Pedra do Dragão</v>
      </c>
      <c r="I106" s="17" t="str">
        <f>_xlfn.XLOOKUP(TabelaClean14[[#This Row],[cpf]],TabelaDirty[cpfclean],TabelaDirty[regiao])</f>
        <v>terras da coroa</v>
      </c>
      <c r="J106" s="17" t="str">
        <f>PROPER(TabelaClean14[[#This Row],[Coluna1]])</f>
        <v>Terras Da Coroa</v>
      </c>
      <c r="K106" s="17" t="e">
        <f>_xlfn.TEXTBEFORE(TabelaClean14[[#This Row],[CidadeCPF]]," | ")</f>
        <v>#N/A</v>
      </c>
      <c r="L106" s="24" t="e">
        <f>_xlfn.TEXTAFTER(TabelaClean14[[#This Row],[CidadeCPF]]," | ")</f>
        <v>#N/A</v>
      </c>
      <c r="M106" s="26">
        <v>6000</v>
      </c>
      <c r="N106" s="78">
        <v>55000</v>
      </c>
      <c r="O106" s="1" t="s">
        <v>50</v>
      </c>
      <c r="P10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6" s="84">
        <v>5</v>
      </c>
      <c r="R106" s="1" t="str" cm="1">
        <f t="array" ref="R106">_xlfn.IFS(TabelaClean14[[#This Row],[qtde_batalhas]]&lt;=10,"Baixo",TabelaClean14[[#This Row],[qtde_batalhas]]&gt;=26,"Alto",TabelaClean14[[#This Row],[qtde_batalhas]]&lt;26,"Médio")</f>
        <v>Baixo</v>
      </c>
      <c r="S106" s="1" t="str">
        <f>IF(AND(TabelaClean14[[#This Row],[nivel_risco]]="Alto",TabelaClean14[[#This Row],[flag_inadimplente]]="Sim"),"Arriscado","Ok")</f>
        <v>Ok</v>
      </c>
      <c r="T106" s="26">
        <v>10000</v>
      </c>
      <c r="U106" s="81">
        <f>IF(AND(TabelaClean14[[#This Row],[analise_risco]]="Arriscado",TabelaClean14[[#This Row],[analise_credito]]="Reprovado"),0,IF(TabelaClean14[[#This Row],[status]]="Ativo",TabelaClean14[[#This Row],[valor_solicitado]]*1.08,0))</f>
        <v>10800</v>
      </c>
      <c r="W106" s="1"/>
      <c r="Y106" t="s">
        <v>139</v>
      </c>
      <c r="Z106" t="str">
        <f t="shared" si="1"/>
        <v>Terras Fluviais</v>
      </c>
      <c r="AE106" t="s">
        <v>560</v>
      </c>
      <c r="AF106" t="str">
        <f>TEXT(AE106,"000\.000\.000\-00")</f>
        <v>000.000.041-00</v>
      </c>
      <c r="AH106" s="15" t="s">
        <v>148</v>
      </c>
      <c r="AJ106" s="22">
        <v>13900</v>
      </c>
      <c r="AK106">
        <v>13900</v>
      </c>
      <c r="AM106" s="21">
        <v>53500</v>
      </c>
      <c r="AN106">
        <v>53500</v>
      </c>
      <c r="AO106">
        <v>53500</v>
      </c>
      <c r="AQ106" t="s">
        <v>141</v>
      </c>
      <c r="AZ106" s="38" t="s">
        <v>502</v>
      </c>
      <c r="BA106" t="s">
        <v>141</v>
      </c>
      <c r="BB106" s="26">
        <v>6000</v>
      </c>
      <c r="BC106" s="81">
        <f>IF(AND(TabelaClean14[[#This Row],[analise_risco]]="Arriscado",TabelaClean14[[#This Row],[analise_credito]]="Reprovado"),0,IF(TabelaClean14[[#This Row],[status]]="Ativo",TabelaClean14[[#This Row],[valor_solicitado]]*1.08,0))</f>
        <v>10800</v>
      </c>
    </row>
    <row r="107" spans="1:55">
      <c r="A107" s="24" t="s">
        <v>76</v>
      </c>
      <c r="B107" s="17" t="s">
        <v>889</v>
      </c>
      <c r="C107" s="25" t="s">
        <v>890</v>
      </c>
      <c r="D107" s="54">
        <v>50</v>
      </c>
      <c r="E107" s="30" t="e">
        <v>#VALUE!</v>
      </c>
      <c r="F107" s="25" t="s">
        <v>809</v>
      </c>
      <c r="G107" s="25" t="s">
        <v>138</v>
      </c>
      <c r="H107" s="24"/>
      <c r="I107" s="24">
        <v>55000</v>
      </c>
      <c r="J107" s="24" t="s">
        <v>50</v>
      </c>
      <c r="K107" s="24"/>
      <c r="L107" s="24"/>
      <c r="M107" s="26">
        <v>17000</v>
      </c>
      <c r="N107" s="78">
        <v>55000</v>
      </c>
      <c r="O107" s="1" t="s">
        <v>50</v>
      </c>
      <c r="P107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107" s="76" t="str" cm="1">
        <f t="array" ref="R107">_xlfn.IFS(TabelaClean14[[#This Row],[qtde_batalhas]]&lt;=10,"Baixo",TabelaClean14[[#This Row],[qtde_batalhas]]&gt;=26,"Alto",TabelaClean14[[#This Row],[qtde_batalhas]]&lt;26,"Médio")</f>
        <v>Baixo</v>
      </c>
      <c r="S107" s="76" t="str">
        <f>IF(AND(TabelaClean14[[#This Row],[nivel_risco]]="Alto",TabelaClean14[[#This Row],[flag_inadimplente]]="Sim"),"Arriscado","Ok")</f>
        <v>Ok</v>
      </c>
      <c r="T107" s="26">
        <v>17000</v>
      </c>
      <c r="U107" s="81">
        <f>IF(AND(TabelaClean14[[#This Row],[analise_risco]]="Arriscado",TabelaClean14[[#This Row],[analise_credito]]="Reprovado"),0,IF(TabelaClean14[[#This Row],[status]]="Ativo",TabelaClean14[[#This Row],[valor_solicitado]]*1.08,0))</f>
        <v>18360</v>
      </c>
      <c r="W107" s="1"/>
      <c r="Y107" t="s">
        <v>809</v>
      </c>
      <c r="Z107" t="str">
        <f t="shared" si="1"/>
        <v>Null</v>
      </c>
      <c r="AE107" t="s">
        <v>607</v>
      </c>
      <c r="AF107" t="str">
        <f>TEXT(AE107,"000\.000\.000\-00")</f>
        <v>000.000.043-00</v>
      </c>
      <c r="AH107" s="15" t="s">
        <v>162</v>
      </c>
      <c r="AJ107" s="22">
        <v>2400</v>
      </c>
      <c r="AK107">
        <v>2400</v>
      </c>
      <c r="AM107" s="20">
        <v>78000</v>
      </c>
      <c r="AN107">
        <v>78000</v>
      </c>
      <c r="AO107">
        <v>78000</v>
      </c>
      <c r="AQ107" t="s">
        <v>141</v>
      </c>
      <c r="AZ107" s="39" t="s">
        <v>468</v>
      </c>
      <c r="BA107" t="s">
        <v>141</v>
      </c>
      <c r="BB107" s="26">
        <v>17000</v>
      </c>
      <c r="BC107" s="81">
        <f>IF(AND(TabelaClean14[[#This Row],[analise_risco]]="Arriscado",TabelaClean14[[#This Row],[analise_credito]]="Reprovado"),0,IF(TabelaClean14[[#This Row],[status]]="Ativo",TabelaClean14[[#This Row],[valor_solicitado]]*1.08,0))</f>
        <v>18360</v>
      </c>
    </row>
    <row r="108" spans="1:55">
      <c r="A108" s="24" t="s">
        <v>76</v>
      </c>
      <c r="B108" s="17" t="s">
        <v>707</v>
      </c>
      <c r="C108" s="25" t="s">
        <v>891</v>
      </c>
      <c r="D108" s="54" t="s">
        <v>809</v>
      </c>
      <c r="E108" s="30">
        <v>36759</v>
      </c>
      <c r="F108" s="24" t="str">
        <f>TabelaClean14[[#This Row],[CidadeCPF]]</f>
        <v>Dorne</v>
      </c>
      <c r="G108" s="17" t="str">
        <f>TabelaClean14[[#This Row],[RegiaoCPF]]</f>
        <v>Dorne</v>
      </c>
      <c r="H108" s="17" t="str">
        <f>_xlfn.XLOOKUP(TabelaClean14[[#This Row],[cpf]],TabelaDirty[cpfclean],TabelaDirty[cidade])</f>
        <v>Dorne</v>
      </c>
      <c r="I108" s="17" t="str">
        <f>_xlfn.XLOOKUP(TabelaClean14[[#This Row],[cpf]],TabelaDirty[cpfclean],TabelaDirty[regiao])</f>
        <v>Dorne</v>
      </c>
      <c r="J108" s="17" t="str">
        <f>PROPER(TabelaClean14[[#This Row],[Coluna1]])</f>
        <v>Dorne</v>
      </c>
      <c r="K108" s="17" t="e">
        <f>_xlfn.TEXTBEFORE(TabelaClean14[[#This Row],[CidadeCPF]]," | ")</f>
        <v>#N/A</v>
      </c>
      <c r="L108" s="24" t="e">
        <f>_xlfn.TEXTAFTER(TabelaClean14[[#This Row],[CidadeCPF]]," | ")</f>
        <v>#N/A</v>
      </c>
      <c r="M108" s="26">
        <v>23200</v>
      </c>
      <c r="N108" s="78">
        <v>54500</v>
      </c>
      <c r="O108" s="1" t="s">
        <v>51</v>
      </c>
      <c r="P10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108" s="84">
        <v>26</v>
      </c>
      <c r="R108" s="1" t="str" cm="1">
        <f t="array" ref="R108">_xlfn.IFS(TabelaClean14[[#This Row],[qtde_batalhas]]&lt;=10,"Baixo",TabelaClean14[[#This Row],[qtde_batalhas]]&gt;=26,"Alto",TabelaClean14[[#This Row],[qtde_batalhas]]&lt;26,"Médio")</f>
        <v>Alto</v>
      </c>
      <c r="S108" s="1" t="str">
        <f>IF(AND(TabelaClean14[[#This Row],[nivel_risco]]="Alto",TabelaClean14[[#This Row],[flag_inadimplente]]="Sim"),"Arriscado","Ok")</f>
        <v>Arriscado</v>
      </c>
      <c r="T108" s="26">
        <v>75000</v>
      </c>
      <c r="U10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08" s="1"/>
      <c r="Y108" t="s">
        <v>809</v>
      </c>
      <c r="Z108" t="str">
        <f t="shared" si="1"/>
        <v>Null</v>
      </c>
      <c r="AE108" t="s">
        <v>330</v>
      </c>
      <c r="AF108" t="str">
        <f>TEXT(AE108,"000\.000\.000\-00")</f>
        <v>000.000.044-00</v>
      </c>
      <c r="AH108" s="15" t="s">
        <v>183</v>
      </c>
      <c r="AJ108" s="22">
        <v>2800</v>
      </c>
      <c r="AK108">
        <v>2800</v>
      </c>
      <c r="AM108" s="21">
        <v>35000</v>
      </c>
      <c r="AN108">
        <v>35000</v>
      </c>
      <c r="AO108">
        <v>35000</v>
      </c>
      <c r="AQ108" t="s">
        <v>223</v>
      </c>
      <c r="AZ108" s="38" t="s">
        <v>512</v>
      </c>
      <c r="BA108" t="s">
        <v>223</v>
      </c>
      <c r="BB108" s="26">
        <v>23200</v>
      </c>
      <c r="BC10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09" spans="1:55">
      <c r="A109" s="24" t="s">
        <v>76</v>
      </c>
      <c r="B109" s="17" t="s">
        <v>737</v>
      </c>
      <c r="C109" s="25" t="s">
        <v>738</v>
      </c>
      <c r="D109" s="54">
        <v>49</v>
      </c>
      <c r="E109" s="30">
        <v>28067</v>
      </c>
      <c r="F109" s="24" t="str">
        <f>TabelaClean14[[#This Row],[CidadeCPF]]</f>
        <v>Pyke</v>
      </c>
      <c r="G109" s="17" t="str">
        <f>TabelaClean14[[#This Row],[RegiaoCPF]]</f>
        <v>Ilhas De Ferro</v>
      </c>
      <c r="H109" s="17" t="str">
        <f>_xlfn.XLOOKUP(TabelaClean14[[#This Row],[cpf]],TabelaDirty[cpfclean],TabelaDirty[cidade])</f>
        <v>Pyke</v>
      </c>
      <c r="I109" s="17" t="str">
        <f>_xlfn.XLOOKUP(TabelaClean14[[#This Row],[cpf]],TabelaDirty[cpfclean],TabelaDirty[regiao])</f>
        <v>Ilhas de Ferro</v>
      </c>
      <c r="J109" s="17" t="str">
        <f>PROPER(TabelaClean14[[#This Row],[Coluna1]])</f>
        <v>Ilhas De Ferro</v>
      </c>
      <c r="K109" s="17" t="e">
        <f>_xlfn.TEXTBEFORE(TabelaClean14[[#This Row],[CidadeCPF]]," | ")</f>
        <v>#N/A</v>
      </c>
      <c r="L109" s="24" t="e">
        <f>_xlfn.TEXTAFTER(TabelaClean14[[#This Row],[CidadeCPF]]," | ")</f>
        <v>#N/A</v>
      </c>
      <c r="M109" s="26">
        <v>29800</v>
      </c>
      <c r="N109" s="78">
        <v>54500</v>
      </c>
      <c r="O109" s="1" t="s">
        <v>50</v>
      </c>
      <c r="P10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09" s="84">
        <v>34</v>
      </c>
      <c r="R109" s="1" t="str" cm="1">
        <f t="array" ref="R109">_xlfn.IFS(TabelaClean14[[#This Row],[qtde_batalhas]]&lt;=10,"Baixo",TabelaClean14[[#This Row],[qtde_batalhas]]&gt;=26,"Alto",TabelaClean14[[#This Row],[qtde_batalhas]]&lt;26,"Médio")</f>
        <v>Alto</v>
      </c>
      <c r="S109" s="1" t="str">
        <f>IF(AND(TabelaClean14[[#This Row],[nivel_risco]]="Alto",TabelaClean14[[#This Row],[flag_inadimplente]]="Sim"),"Arriscado","Ok")</f>
        <v>Ok</v>
      </c>
      <c r="T109" s="26">
        <v>72000</v>
      </c>
      <c r="U109" s="81">
        <f>IF(AND(TabelaClean14[[#This Row],[analise_risco]]="Arriscado",TabelaClean14[[#This Row],[analise_credito]]="Reprovado"),0,IF(TabelaClean14[[#This Row],[status]]="Ativo",TabelaClean14[[#This Row],[valor_solicitado]]*1.08,0))</f>
        <v>77760</v>
      </c>
      <c r="W109" s="1"/>
      <c r="Y109" t="s">
        <v>809</v>
      </c>
      <c r="Z109" t="str">
        <f t="shared" si="1"/>
        <v>Null</v>
      </c>
      <c r="AE109" t="s">
        <v>512</v>
      </c>
      <c r="AF109" t="str">
        <f>TEXT(AE109,"000\.000\.000\-00")</f>
        <v>000.000.045-00</v>
      </c>
      <c r="AH109" s="15" t="s">
        <v>148</v>
      </c>
      <c r="AJ109" s="22">
        <v>11300</v>
      </c>
      <c r="AK109">
        <v>11300</v>
      </c>
      <c r="AM109" s="20">
        <v>55000</v>
      </c>
      <c r="AN109">
        <v>55000</v>
      </c>
      <c r="AO109">
        <v>55000</v>
      </c>
      <c r="AQ109" t="s">
        <v>148</v>
      </c>
      <c r="AZ109" s="39" t="s">
        <v>320</v>
      </c>
      <c r="BA109" t="s">
        <v>148</v>
      </c>
      <c r="BB109" s="26">
        <v>29800</v>
      </c>
      <c r="BC109" s="81">
        <f>IF(AND(TabelaClean14[[#This Row],[analise_risco]]="Arriscado",TabelaClean14[[#This Row],[analise_credito]]="Reprovado"),0,IF(TabelaClean14[[#This Row],[status]]="Ativo",TabelaClean14[[#This Row],[valor_solicitado]]*1.08,0))</f>
        <v>77760</v>
      </c>
    </row>
    <row r="110" spans="1:55">
      <c r="A110" s="24" t="s">
        <v>173</v>
      </c>
      <c r="B110" s="17" t="s">
        <v>707</v>
      </c>
      <c r="C110" t="str">
        <f>_xlfn.XLOOKUP(TabelaClean14[[#This Row],[nome]],Base_Dirty!$B:$B,Base_Dirty!D:D)</f>
        <v>000.000.331-00</v>
      </c>
      <c r="D110" s="82" t="s">
        <v>809</v>
      </c>
      <c r="E110" s="80" t="s">
        <v>809</v>
      </c>
      <c r="F110" s="17" t="s">
        <v>183</v>
      </c>
      <c r="G110" s="17" t="s">
        <v>183</v>
      </c>
      <c r="H110" s="24" t="s">
        <v>183</v>
      </c>
      <c r="I110" s="24">
        <v>23200</v>
      </c>
      <c r="J110" s="24">
        <v>54500</v>
      </c>
      <c r="K110" s="24">
        <v>1</v>
      </c>
      <c r="L110" s="24">
        <v>26</v>
      </c>
      <c r="M110" s="23">
        <f>_xlfn.XLOOKUP(TabelaClean14[[#This Row],[nome]],Base_Dirty!$B:$B,Base_Dirty!I:I)</f>
        <v>23200</v>
      </c>
      <c r="N110" s="78">
        <f>_xlfn.XLOOKUP(TabelaClean14[[#This Row],[nome]],Base_Dirty!$B:$B,Base_Dirty!J:J)</f>
        <v>54500</v>
      </c>
      <c r="O110" s="79"/>
      <c r="P11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110" s="84">
        <f>_xlfn.XLOOKUP(TabelaClean14[[#This Row],[nome]],Base_Dirty!$B:$B,Base_Dirty!L:L)</f>
        <v>26</v>
      </c>
      <c r="R110" s="76" t="str" cm="1">
        <f t="array" ref="R110">_xlfn.IFS(TabelaClean14[[#This Row],[qtde_batalhas]]&lt;=10,"Baixo",TabelaClean14[[#This Row],[qtde_batalhas]]&gt;=26,"Alto",TabelaClean14[[#This Row],[qtde_batalhas]]&lt;26,"Médio")</f>
        <v>Alto</v>
      </c>
      <c r="S110" s="76" t="str">
        <f>IF(AND(TabelaClean14[[#This Row],[nivel_risco]]="Alto",TabelaClean14[[#This Row],[flag_inadimplente]]="Sim"),"Arriscado","Ok")</f>
        <v>Ok</v>
      </c>
      <c r="T110" s="26">
        <f>_xlfn.XLOOKUP(TabelaClean14[[#This Row],[nome]],Base_Dirty!$B:$B,Base_Dirty!O:O)</f>
        <v>75000</v>
      </c>
      <c r="U11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10" s="1"/>
      <c r="Y110" t="s">
        <v>809</v>
      </c>
      <c r="Z110" t="str">
        <f t="shared" si="1"/>
        <v>Null</v>
      </c>
      <c r="AE110" t="s">
        <v>782</v>
      </c>
      <c r="AF110" t="str">
        <f>TEXT(AE110,"000\.000\.000\-00")</f>
        <v>000.000.046-00</v>
      </c>
      <c r="AH110" s="15" t="s">
        <v>223</v>
      </c>
      <c r="AJ110" s="22">
        <v>18000</v>
      </c>
      <c r="AK110">
        <v>18000</v>
      </c>
      <c r="AM110" s="21">
        <v>0</v>
      </c>
      <c r="AN110">
        <v>0</v>
      </c>
      <c r="AO110">
        <v>0</v>
      </c>
      <c r="AQ110" t="s">
        <v>169</v>
      </c>
      <c r="AZ110" s="38" t="s">
        <v>825</v>
      </c>
      <c r="BA110" t="s">
        <v>169</v>
      </c>
      <c r="BB110" s="23">
        <f>_xlfn.XLOOKUP(TabelaClean14[[#This Row],[nome]],Base_Dirty!$B:$B,Base_Dirty!AX:AX)</f>
        <v>0</v>
      </c>
      <c r="BC11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11" spans="1:55">
      <c r="A111" s="24" t="s">
        <v>173</v>
      </c>
      <c r="B111" s="17" t="s">
        <v>707</v>
      </c>
      <c r="C111" t="str">
        <f>_xlfn.XLOOKUP(TabelaClean14[[#This Row],[nome]],Base_Dirty!$B:$B,Base_Dirty!D:D)</f>
        <v>000.000.331-00</v>
      </c>
      <c r="D111" s="82" t="s">
        <v>809</v>
      </c>
      <c r="E111" s="80" t="s">
        <v>809</v>
      </c>
      <c r="F111" s="17" t="s">
        <v>183</v>
      </c>
      <c r="G111" s="17" t="s">
        <v>183</v>
      </c>
      <c r="H111" s="24" t="s">
        <v>183</v>
      </c>
      <c r="I111" s="24">
        <v>23200</v>
      </c>
      <c r="J111" s="24">
        <v>54500</v>
      </c>
      <c r="K111" s="24">
        <v>1</v>
      </c>
      <c r="L111" s="24">
        <v>26</v>
      </c>
      <c r="M111" s="23">
        <f>_xlfn.XLOOKUP(TabelaClean14[[#This Row],[nome]],Base_Dirty!$B:$B,Base_Dirty!I:I)</f>
        <v>23200</v>
      </c>
      <c r="N111" s="78">
        <f>_xlfn.XLOOKUP(TabelaClean14[[#This Row],[nome]],Base_Dirty!$B:$B,Base_Dirty!J:J)</f>
        <v>54500</v>
      </c>
      <c r="O111" s="79"/>
      <c r="P11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111" s="84">
        <f>_xlfn.XLOOKUP(TabelaClean14[[#This Row],[nome]],Base_Dirty!$B:$B,Base_Dirty!L:L)</f>
        <v>26</v>
      </c>
      <c r="R111" s="76" t="str" cm="1">
        <f t="array" ref="R111">_xlfn.IFS(TabelaClean14[[#This Row],[qtde_batalhas]]&lt;=10,"Baixo",TabelaClean14[[#This Row],[qtde_batalhas]]&gt;=26,"Alto",TabelaClean14[[#This Row],[qtde_batalhas]]&lt;26,"Médio")</f>
        <v>Alto</v>
      </c>
      <c r="S111" s="76" t="str">
        <f>IF(AND(TabelaClean14[[#This Row],[nivel_risco]]="Alto",TabelaClean14[[#This Row],[flag_inadimplente]]="Sim"),"Arriscado","Ok")</f>
        <v>Ok</v>
      </c>
      <c r="T111" s="26">
        <f>_xlfn.XLOOKUP(TabelaClean14[[#This Row],[nome]],Base_Dirty!$B:$B,Base_Dirty!O:O)</f>
        <v>75000</v>
      </c>
      <c r="U11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11" s="1"/>
      <c r="Y111" t="s">
        <v>122</v>
      </c>
      <c r="Z111" t="str">
        <f t="shared" si="1"/>
        <v>Essos</v>
      </c>
      <c r="AE111" t="s">
        <v>206</v>
      </c>
      <c r="AF111" t="str">
        <f>TEXT(AE111,"000\.000\.000\-00")</f>
        <v>000.000.050-00</v>
      </c>
      <c r="AH111" s="15" t="s">
        <v>169</v>
      </c>
      <c r="AJ111" s="22">
        <v>29900</v>
      </c>
      <c r="AK111">
        <v>29900</v>
      </c>
      <c r="AM111" s="20">
        <v>64500</v>
      </c>
      <c r="AN111">
        <v>64500</v>
      </c>
      <c r="AO111">
        <v>64500</v>
      </c>
      <c r="AQ111" t="s">
        <v>121</v>
      </c>
      <c r="AZ111" s="39" t="s">
        <v>159</v>
      </c>
      <c r="BA111" t="s">
        <v>121</v>
      </c>
      <c r="BB111" s="23">
        <f>_xlfn.XLOOKUP(TabelaClean14[[#This Row],[nome]],Base_Dirty!$B:$B,Base_Dirty!AX:AX)</f>
        <v>0</v>
      </c>
      <c r="BC11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12" spans="1:55">
      <c r="A112" s="24" t="s">
        <v>76</v>
      </c>
      <c r="B112" s="17" t="s">
        <v>551</v>
      </c>
      <c r="C112" s="25" t="s">
        <v>552</v>
      </c>
      <c r="D112" s="54">
        <v>35</v>
      </c>
      <c r="E112" s="30">
        <v>33336</v>
      </c>
      <c r="F112" s="24" t="str">
        <f>TabelaClean14[[#This Row],[CidadeCPF]]</f>
        <v>Ninho da Águia</v>
      </c>
      <c r="G112" s="17" t="str">
        <f>TabelaClean14[[#This Row],[RegiaoCPF]]</f>
        <v>Vale</v>
      </c>
      <c r="H112" s="17" t="str">
        <f>_xlfn.XLOOKUP(TabelaClean14[[#This Row],[cpf]],TabelaDirty[cpfclean],TabelaDirty[cidade])</f>
        <v>Ninho da Águia</v>
      </c>
      <c r="I112" s="17" t="str">
        <f>_xlfn.XLOOKUP(TabelaClean14[[#This Row],[cpf]],TabelaDirty[cpfclean],TabelaDirty[regiao])</f>
        <v>Vale</v>
      </c>
      <c r="J112" s="17" t="str">
        <f>PROPER(TabelaClean14[[#This Row],[Coluna1]])</f>
        <v>Vale</v>
      </c>
      <c r="K112" s="17" t="e">
        <f>_xlfn.TEXTBEFORE(TabelaClean14[[#This Row],[CidadeCPF]]," | ")</f>
        <v>#N/A</v>
      </c>
      <c r="L112" s="24" t="e">
        <f>_xlfn.TEXTAFTER(TabelaClean14[[#This Row],[CidadeCPF]]," | ")</f>
        <v>#N/A</v>
      </c>
      <c r="M112" s="26">
        <v>20900</v>
      </c>
      <c r="N112" s="78">
        <v>54000</v>
      </c>
      <c r="O112" s="1" t="s">
        <v>50</v>
      </c>
      <c r="P11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12" s="84">
        <v>44</v>
      </c>
      <c r="R112" s="1" t="str" cm="1">
        <f t="array" ref="R112">_xlfn.IFS(TabelaClean14[[#This Row],[qtde_batalhas]]&lt;=10,"Baixo",TabelaClean14[[#This Row],[qtde_batalhas]]&gt;=26,"Alto",TabelaClean14[[#This Row],[qtde_batalhas]]&lt;26,"Médio")</f>
        <v>Alto</v>
      </c>
      <c r="S112" s="1" t="str">
        <f>IF(AND(TabelaClean14[[#This Row],[nivel_risco]]="Alto",TabelaClean14[[#This Row],[flag_inadimplente]]="Sim"),"Arriscado","Ok")</f>
        <v>Ok</v>
      </c>
      <c r="T112" s="26">
        <v>18000</v>
      </c>
      <c r="U112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  <c r="W112" s="1"/>
      <c r="Y112" t="s">
        <v>809</v>
      </c>
      <c r="Z112" t="str">
        <f t="shared" si="1"/>
        <v>Null</v>
      </c>
      <c r="AE112" t="s">
        <v>300</v>
      </c>
      <c r="AF112" t="str">
        <f>TEXT(AE112,"000\.000\.000\-00")</f>
        <v>000.000.051-00</v>
      </c>
      <c r="AH112" s="15" t="s">
        <v>183</v>
      </c>
      <c r="AJ112" s="22">
        <v>4500</v>
      </c>
      <c r="AK112">
        <v>4500</v>
      </c>
      <c r="AM112" s="21"/>
      <c r="AN112" t="s">
        <v>809</v>
      </c>
      <c r="AO112" t="s">
        <v>809</v>
      </c>
      <c r="AQ112" t="s">
        <v>172</v>
      </c>
      <c r="AZ112" s="38" t="s">
        <v>761</v>
      </c>
      <c r="BA112" t="s">
        <v>172</v>
      </c>
      <c r="BB112" s="26">
        <v>20900</v>
      </c>
      <c r="BC112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</row>
    <row r="113" spans="1:55">
      <c r="A113" s="24" t="s">
        <v>76</v>
      </c>
      <c r="B113" s="17" t="s">
        <v>509</v>
      </c>
      <c r="C113" s="25" t="s">
        <v>510</v>
      </c>
      <c r="D113" s="54">
        <v>42</v>
      </c>
      <c r="E113" s="30">
        <v>30898</v>
      </c>
      <c r="F113" s="24" t="str">
        <f>TabelaClean14[[#This Row],[CidadeCPF]]</f>
        <v>Lannisporto</v>
      </c>
      <c r="G113" s="17" t="str">
        <f>TabelaClean14[[#This Row],[RegiaoCPF]]</f>
        <v>Oeste</v>
      </c>
      <c r="H113" s="17" t="str">
        <f>_xlfn.XLOOKUP(TabelaClean14[[#This Row],[cpf]],TabelaDirty[cpfclean],TabelaDirty[cidade])</f>
        <v>Lannisporto</v>
      </c>
      <c r="I113" s="17" t="s">
        <v>108</v>
      </c>
      <c r="J113" s="17" t="str">
        <f>PROPER(TabelaClean14[[#This Row],[Coluna1]])</f>
        <v>Oeste</v>
      </c>
      <c r="K113" s="17" t="e">
        <f>_xlfn.TEXTBEFORE(TabelaClean14[[#This Row],[CidadeCPF]]," | ")</f>
        <v>#N/A</v>
      </c>
      <c r="L113" s="24" t="e">
        <f>_xlfn.TEXTAFTER(TabelaClean14[[#This Row],[CidadeCPF]]," | ")</f>
        <v>#N/A</v>
      </c>
      <c r="M113" s="26">
        <v>20800</v>
      </c>
      <c r="N113" s="78">
        <v>54000</v>
      </c>
      <c r="O113" s="1" t="s">
        <v>50</v>
      </c>
      <c r="P11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13" s="84">
        <v>4</v>
      </c>
      <c r="R113" s="1" t="str" cm="1">
        <f t="array" ref="R113">_xlfn.IFS(TabelaClean14[[#This Row],[qtde_batalhas]]&lt;=10,"Baixo",TabelaClean14[[#This Row],[qtde_batalhas]]&gt;=26,"Alto",TabelaClean14[[#This Row],[qtde_batalhas]]&lt;26,"Médio")</f>
        <v>Baixo</v>
      </c>
      <c r="S113" s="1" t="str">
        <f>IF(AND(TabelaClean14[[#This Row],[nivel_risco]]="Alto",TabelaClean14[[#This Row],[flag_inadimplente]]="Sim"),"Arriscado","Ok")</f>
        <v>Ok</v>
      </c>
      <c r="T113" s="26">
        <v>73500</v>
      </c>
      <c r="U113" s="81">
        <f>IF(AND(TabelaClean14[[#This Row],[analise_risco]]="Arriscado",TabelaClean14[[#This Row],[analise_credito]]="Reprovado"),0,IF(TabelaClean14[[#This Row],[status]]="Ativo",TabelaClean14[[#This Row],[valor_solicitado]]*1.08,0))</f>
        <v>79380</v>
      </c>
      <c r="W113" s="1"/>
      <c r="Y113" t="s">
        <v>809</v>
      </c>
      <c r="Z113" t="str">
        <f t="shared" si="1"/>
        <v>Null</v>
      </c>
      <c r="AE113" t="s">
        <v>446</v>
      </c>
      <c r="AF113" t="str">
        <f>TEXT(AE113,"000\.000\.000\-00")</f>
        <v>000.000.052-00</v>
      </c>
      <c r="AH113" s="15" t="s">
        <v>83</v>
      </c>
      <c r="AJ113" s="22">
        <v>15500</v>
      </c>
      <c r="AK113">
        <v>15500</v>
      </c>
      <c r="AM113" s="20">
        <v>75000</v>
      </c>
      <c r="AN113">
        <v>75000</v>
      </c>
      <c r="AO113">
        <v>75000</v>
      </c>
      <c r="AQ113" t="s">
        <v>183</v>
      </c>
      <c r="AZ113" s="39" t="s">
        <v>433</v>
      </c>
      <c r="BA113" t="s">
        <v>183</v>
      </c>
      <c r="BB113" s="26">
        <v>20800</v>
      </c>
      <c r="BC113" s="81">
        <f>IF(AND(TabelaClean14[[#This Row],[analise_risco]]="Arriscado",TabelaClean14[[#This Row],[analise_credito]]="Reprovado"),0,IF(TabelaClean14[[#This Row],[status]]="Ativo",TabelaClean14[[#This Row],[valor_solicitado]]*1.08,0))</f>
        <v>79380</v>
      </c>
    </row>
    <row r="114" spans="1:55">
      <c r="A114" s="24" t="s">
        <v>76</v>
      </c>
      <c r="B114" s="17" t="s">
        <v>386</v>
      </c>
      <c r="C114" s="25" t="s">
        <v>387</v>
      </c>
      <c r="D114" s="54">
        <v>28</v>
      </c>
      <c r="E114" s="30">
        <v>35993</v>
      </c>
      <c r="F114" s="24" t="str">
        <f>TabelaClean14[[#This Row],[CidadeCPF]]</f>
        <v>Lannisporto</v>
      </c>
      <c r="G114" s="17" t="str">
        <f>TabelaClean14[[#This Row],[RegiaoCPF]]</f>
        <v>Oeste</v>
      </c>
      <c r="H114" s="17" t="str">
        <f>_xlfn.XLOOKUP(TabelaClean14[[#This Row],[cpf]],TabelaDirty[cpfclean],TabelaDirty[cidade])</f>
        <v>Lannisporto</v>
      </c>
      <c r="I114" s="17" t="str">
        <f>_xlfn.XLOOKUP(TabelaClean14[[#This Row],[cpf]],TabelaDirty[cpfclean],TabelaDirty[regiao])</f>
        <v>Oeste</v>
      </c>
      <c r="J114" s="17" t="str">
        <f>PROPER(TabelaClean14[[#This Row],[Coluna1]])</f>
        <v>Oeste</v>
      </c>
      <c r="K114" s="17" t="e">
        <f>_xlfn.TEXTBEFORE(TabelaClean14[[#This Row],[CidadeCPF]]," | ")</f>
        <v>#N/A</v>
      </c>
      <c r="L114" s="24" t="e">
        <f>_xlfn.TEXTAFTER(TabelaClean14[[#This Row],[CidadeCPF]]," | ")</f>
        <v>#N/A</v>
      </c>
      <c r="M114" s="26">
        <v>13400</v>
      </c>
      <c r="N114" s="78">
        <v>54000</v>
      </c>
      <c r="O114" s="1" t="s">
        <v>50</v>
      </c>
      <c r="P11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14" s="84">
        <v>15</v>
      </c>
      <c r="R114" s="1" t="str" cm="1">
        <f t="array" ref="R114">_xlfn.IFS(TabelaClean14[[#This Row],[qtde_batalhas]]&lt;=10,"Baixo",TabelaClean14[[#This Row],[qtde_batalhas]]&gt;=26,"Alto",TabelaClean14[[#This Row],[qtde_batalhas]]&lt;26,"Médio")</f>
        <v>Médio</v>
      </c>
      <c r="S114" s="1" t="str">
        <f>IF(AND(TabelaClean14[[#This Row],[nivel_risco]]="Alto",TabelaClean14[[#This Row],[flag_inadimplente]]="Sim"),"Arriscado","Ok")</f>
        <v>Ok</v>
      </c>
      <c r="T114" s="26">
        <v>99000</v>
      </c>
      <c r="U114" s="81">
        <f>IF(AND(TabelaClean14[[#This Row],[analise_risco]]="Arriscado",TabelaClean14[[#This Row],[analise_credito]]="Reprovado"),0,IF(TabelaClean14[[#This Row],[status]]="Ativo",TabelaClean14[[#This Row],[valor_solicitado]]*1.08,0))</f>
        <v>106920</v>
      </c>
      <c r="W114" s="1"/>
      <c r="Y114" t="s">
        <v>809</v>
      </c>
      <c r="Z114" t="str">
        <f t="shared" si="1"/>
        <v>Null</v>
      </c>
      <c r="AE114" t="s">
        <v>295</v>
      </c>
      <c r="AF114" t="str">
        <f>TEXT(AE114,"000\.000\.000\-00")</f>
        <v>000.000.054-00</v>
      </c>
      <c r="AH114" s="15" t="s">
        <v>121</v>
      </c>
      <c r="AJ114" s="22">
        <v>9700</v>
      </c>
      <c r="AK114">
        <v>9700</v>
      </c>
      <c r="AM114" s="21">
        <v>25000</v>
      </c>
      <c r="AN114">
        <v>25000</v>
      </c>
      <c r="AO114">
        <v>25000</v>
      </c>
      <c r="AQ114" t="s">
        <v>172</v>
      </c>
      <c r="AZ114" s="38" t="s">
        <v>171</v>
      </c>
      <c r="BA114" t="s">
        <v>172</v>
      </c>
      <c r="BB114" s="26">
        <v>13400</v>
      </c>
      <c r="BC114" s="81">
        <f>IF(AND(TabelaClean14[[#This Row],[analise_risco]]="Arriscado",TabelaClean14[[#This Row],[analise_credito]]="Reprovado"),0,IF(TabelaClean14[[#This Row],[status]]="Ativo",TabelaClean14[[#This Row],[valor_solicitado]]*1.08,0))</f>
        <v>106920</v>
      </c>
    </row>
    <row r="115" spans="1:55">
      <c r="A115" s="24" t="s">
        <v>76</v>
      </c>
      <c r="B115" s="17" t="s">
        <v>376</v>
      </c>
      <c r="C115" s="25" t="s">
        <v>377</v>
      </c>
      <c r="D115" s="54">
        <v>26</v>
      </c>
      <c r="E115" s="30">
        <v>36475</v>
      </c>
      <c r="F115" s="17" t="str">
        <f>TabelaClean14[[#This Row],[CidadeClean]]</f>
        <v>Harrenhal</v>
      </c>
      <c r="G115" s="17" t="str">
        <f>TabelaClean14[[#This Row],[RegiaoClean]]</f>
        <v>Terras Fluviais</v>
      </c>
      <c r="H115" s="17" t="str">
        <f>_xlfn.XLOOKUP(TabelaClean14[[#This Row],[cpf]],TabelaDirty[cpfclean],TabelaDirty[cidade])</f>
        <v>Harrenhal | Terras Fluviais</v>
      </c>
      <c r="I115" s="17">
        <f>_xlfn.XLOOKUP(TabelaClean14[[#This Row],[cpf]],TabelaDirty[cpfclean],TabelaDirty[regiao])</f>
        <v>0</v>
      </c>
      <c r="J115" s="17" t="s">
        <v>139</v>
      </c>
      <c r="K115" s="17" t="str">
        <f>_xlfn.TEXTBEFORE(TabelaClean14[[#This Row],[CidadeCPF]]," | ")</f>
        <v>Harrenhal</v>
      </c>
      <c r="L115" s="24" t="str">
        <f>_xlfn.TEXTAFTER(TabelaClean14[[#This Row],[CidadeCPF]]," | ")</f>
        <v>Terras Fluviais</v>
      </c>
      <c r="M115" s="26">
        <v>13900</v>
      </c>
      <c r="N115" s="78">
        <v>53500</v>
      </c>
      <c r="O115" s="1" t="s">
        <v>50</v>
      </c>
      <c r="P11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15" s="84">
        <v>12</v>
      </c>
      <c r="R115" s="1" t="str" cm="1">
        <f t="array" ref="R115">_xlfn.IFS(TabelaClean14[[#This Row],[qtde_batalhas]]&lt;=10,"Baixo",TabelaClean14[[#This Row],[qtde_batalhas]]&gt;=26,"Alto",TabelaClean14[[#This Row],[qtde_batalhas]]&lt;26,"Médio")</f>
        <v>Médio</v>
      </c>
      <c r="S115" s="1" t="str">
        <f>IF(AND(TabelaClean14[[#This Row],[nivel_risco]]="Alto",TabelaClean14[[#This Row],[flag_inadimplente]]="Sim"),"Arriscado","Ok")</f>
        <v>Ok</v>
      </c>
      <c r="T115" s="26">
        <v>85000</v>
      </c>
      <c r="U115" s="81">
        <f>IF(AND(TabelaClean14[[#This Row],[analise_risco]]="Arriscado",TabelaClean14[[#This Row],[analise_credito]]="Reprovado"),0,IF(TabelaClean14[[#This Row],[status]]="Ativo",TabelaClean14[[#This Row],[valor_solicitado]]*1.08,0))</f>
        <v>91800</v>
      </c>
      <c r="W115" s="1"/>
      <c r="Y115" t="s">
        <v>809</v>
      </c>
      <c r="Z115" t="str">
        <f t="shared" si="1"/>
        <v>Null</v>
      </c>
      <c r="AE115" t="s">
        <v>662</v>
      </c>
      <c r="AF115" t="str">
        <f>TEXT(AE115,"000\.000\.000\-00")</f>
        <v>000.000.055-00</v>
      </c>
      <c r="AH115" s="15" t="s">
        <v>79</v>
      </c>
      <c r="AJ115" s="22">
        <v>24000</v>
      </c>
      <c r="AK115">
        <v>24000</v>
      </c>
      <c r="AM115" s="20" t="s">
        <v>572</v>
      </c>
      <c r="AN115" t="s">
        <v>809</v>
      </c>
      <c r="AO115" t="s">
        <v>809</v>
      </c>
      <c r="AQ115" t="s">
        <v>83</v>
      </c>
      <c r="AZ115" s="39" t="s">
        <v>839</v>
      </c>
      <c r="BA115" t="s">
        <v>83</v>
      </c>
      <c r="BB115" s="26">
        <v>13900</v>
      </c>
      <c r="BC115" s="81">
        <f>IF(AND(TabelaClean14[[#This Row],[analise_risco]]="Arriscado",TabelaClean14[[#This Row],[analise_credito]]="Reprovado"),0,IF(TabelaClean14[[#This Row],[status]]="Ativo",TabelaClean14[[#This Row],[valor_solicitado]]*1.08,0))</f>
        <v>91800</v>
      </c>
    </row>
    <row r="116" spans="1:55">
      <c r="A116" s="24" t="s">
        <v>76</v>
      </c>
      <c r="B116" s="17" t="s">
        <v>322</v>
      </c>
      <c r="C116" s="25" t="s">
        <v>323</v>
      </c>
      <c r="D116" s="54">
        <v>40</v>
      </c>
      <c r="E116" s="30">
        <v>31408</v>
      </c>
      <c r="F116" s="17" t="str">
        <f>TabelaClean14[[#This Row],[CidadeClean]]</f>
        <v>Braavos</v>
      </c>
      <c r="G116" s="17" t="str">
        <f>TabelaClean14[[#This Row],[RegiaoClean]]</f>
        <v>Essos</v>
      </c>
      <c r="H116" s="17" t="str">
        <f>_xlfn.XLOOKUP(TabelaClean14[[#This Row],[cpf]],TabelaDirty[cpfclean],TabelaDirty[cidade])</f>
        <v>Braavos | Essos</v>
      </c>
      <c r="I116" s="17">
        <f>_xlfn.XLOOKUP(TabelaClean14[[#This Row],[cpf]],TabelaDirty[cpfclean],TabelaDirty[regiao])</f>
        <v>0</v>
      </c>
      <c r="J116" s="17" t="s">
        <v>122</v>
      </c>
      <c r="K116" s="17" t="str">
        <f>_xlfn.TEXTBEFORE(TabelaClean14[[#This Row],[CidadeCPF]]," | ")</f>
        <v>Braavos</v>
      </c>
      <c r="L116" s="24" t="str">
        <f>_xlfn.TEXTAFTER(TabelaClean14[[#This Row],[CidadeCPF]]," | ")</f>
        <v>Essos</v>
      </c>
      <c r="M116" s="26">
        <v>17400</v>
      </c>
      <c r="N116" s="78">
        <v>53000</v>
      </c>
      <c r="O116" s="1" t="s">
        <v>51</v>
      </c>
      <c r="P11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116" s="84">
        <v>20</v>
      </c>
      <c r="R116" s="1" t="str" cm="1">
        <f t="array" ref="R116">_xlfn.IFS(TabelaClean14[[#This Row],[qtde_batalhas]]&lt;=10,"Baixo",TabelaClean14[[#This Row],[qtde_batalhas]]&gt;=26,"Alto",TabelaClean14[[#This Row],[qtde_batalhas]]&lt;26,"Médio")</f>
        <v>Médio</v>
      </c>
      <c r="S116" s="1" t="str">
        <f>IF(AND(TabelaClean14[[#This Row],[nivel_risco]]="Alto",TabelaClean14[[#This Row],[flag_inadimplente]]="Sim"),"Arriscado","Ok")</f>
        <v>Ok</v>
      </c>
      <c r="T116" s="26">
        <v>52500</v>
      </c>
      <c r="U116" s="81">
        <f>IF(AND(TabelaClean14[[#This Row],[analise_risco]]="Arriscado",TabelaClean14[[#This Row],[analise_credito]]="Reprovado"),0,IF(TabelaClean14[[#This Row],[status]]="Ativo",TabelaClean14[[#This Row],[valor_solicitado]]*1.08,0))</f>
        <v>56700.000000000007</v>
      </c>
      <c r="W116" s="1"/>
      <c r="Y116" t="s">
        <v>809</v>
      </c>
      <c r="Z116" t="str">
        <f t="shared" si="1"/>
        <v>Null</v>
      </c>
      <c r="AE116" t="s">
        <v>552</v>
      </c>
      <c r="AF116" t="str">
        <f>TEXT(AE116,"000\.000\.000\-00")</f>
        <v>000.000.056-00</v>
      </c>
      <c r="AH116" s="15" t="s">
        <v>183</v>
      </c>
      <c r="AJ116" s="22">
        <v>18700</v>
      </c>
      <c r="AK116">
        <v>18700</v>
      </c>
      <c r="AM116" s="21">
        <v>11000</v>
      </c>
      <c r="AN116">
        <v>11000</v>
      </c>
      <c r="AO116">
        <v>11000</v>
      </c>
      <c r="AQ116" t="s">
        <v>183</v>
      </c>
      <c r="AZ116" s="38" t="s">
        <v>840</v>
      </c>
      <c r="BA116" t="s">
        <v>183</v>
      </c>
      <c r="BB116" s="26">
        <v>17400</v>
      </c>
      <c r="BC116" s="81">
        <f>IF(AND(TabelaClean14[[#This Row],[analise_risco]]="Arriscado",TabelaClean14[[#This Row],[analise_credito]]="Reprovado"),0,IF(TabelaClean14[[#This Row],[status]]="Ativo",TabelaClean14[[#This Row],[valor_solicitado]]*1.08,0))</f>
        <v>56700.000000000007</v>
      </c>
    </row>
    <row r="117" spans="1:55">
      <c r="A117" s="24" t="s">
        <v>81</v>
      </c>
      <c r="B117" s="17" t="s">
        <v>749</v>
      </c>
      <c r="C117" s="25" t="s">
        <v>892</v>
      </c>
      <c r="D117" s="54">
        <v>48</v>
      </c>
      <c r="E117" s="30">
        <v>28446</v>
      </c>
      <c r="F117" s="24" t="str">
        <f>TabelaClean14[[#This Row],[CidadeCPF]]</f>
        <v>Pedra do Dragão</v>
      </c>
      <c r="G117" s="17" t="str">
        <f>TabelaClean14[[#This Row],[RegiaoCPF]]</f>
        <v>Terras Da Coroa</v>
      </c>
      <c r="H117" s="17" t="str">
        <f>_xlfn.XLOOKUP(TabelaClean14[[#This Row],[cpf]],TabelaDirty[cpfclean],TabelaDirty[cidade])</f>
        <v>Pedra do Dragão</v>
      </c>
      <c r="I117" s="17" t="str">
        <f>_xlfn.XLOOKUP(TabelaClean14[[#This Row],[cpf]],TabelaDirty[cpfclean],TabelaDirty[regiao])</f>
        <v>terras da coroa</v>
      </c>
      <c r="J117" s="17" t="str">
        <f>PROPER(TabelaClean14[[#This Row],[Coluna1]])</f>
        <v>Terras Da Coroa</v>
      </c>
      <c r="K117" s="17" t="e">
        <f>_xlfn.TEXTBEFORE(TabelaClean14[[#This Row],[CidadeCPF]]," | ")</f>
        <v>#N/A</v>
      </c>
      <c r="L117" s="24" t="e">
        <f>_xlfn.TEXTAFTER(TabelaClean14[[#This Row],[CidadeCPF]]," | ")</f>
        <v>#N/A</v>
      </c>
      <c r="M117" s="26">
        <v>6900</v>
      </c>
      <c r="N117" s="78">
        <v>52500</v>
      </c>
      <c r="O117" s="1" t="s">
        <v>51</v>
      </c>
      <c r="P11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117" s="84">
        <v>0</v>
      </c>
      <c r="R117" s="1" t="str" cm="1">
        <f t="array" ref="R117">_xlfn.IFS(TabelaClean14[[#This Row],[qtde_batalhas]]&lt;=10,"Baixo",TabelaClean14[[#This Row],[qtde_batalhas]]&gt;=26,"Alto",TabelaClean14[[#This Row],[qtde_batalhas]]&lt;26,"Médio")</f>
        <v>Baixo</v>
      </c>
      <c r="S117" s="1" t="str">
        <f>IF(AND(TabelaClean14[[#This Row],[nivel_risco]]="Alto",TabelaClean14[[#This Row],[flag_inadimplente]]="Sim"),"Arriscado","Ok")</f>
        <v>Ok</v>
      </c>
      <c r="T117" s="26">
        <v>66000</v>
      </c>
      <c r="U11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17" s="1"/>
      <c r="Y117" t="s">
        <v>809</v>
      </c>
      <c r="Z117" t="str">
        <f t="shared" si="1"/>
        <v>Null</v>
      </c>
      <c r="AE117" t="s">
        <v>189</v>
      </c>
      <c r="AF117" t="str">
        <f>TEXT(AE117,"000\.000\.000\-00")</f>
        <v>000.000.057-00</v>
      </c>
      <c r="AH117" s="15" t="s">
        <v>112</v>
      </c>
      <c r="AJ117" s="22">
        <v>12400</v>
      </c>
      <c r="AK117">
        <v>12400</v>
      </c>
      <c r="AM117" s="20">
        <v>0</v>
      </c>
      <c r="AN117">
        <v>0</v>
      </c>
      <c r="AO117">
        <v>0</v>
      </c>
      <c r="AQ117" t="s">
        <v>127</v>
      </c>
      <c r="AZ117" s="39" t="s">
        <v>697</v>
      </c>
      <c r="BA117" t="s">
        <v>127</v>
      </c>
      <c r="BB117" s="26">
        <v>6900</v>
      </c>
      <c r="BC11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18" spans="1:55">
      <c r="A118" s="24" t="s">
        <v>76</v>
      </c>
      <c r="B118" s="17" t="s">
        <v>646</v>
      </c>
      <c r="C118" s="25" t="s">
        <v>647</v>
      </c>
      <c r="D118" s="54">
        <v>57</v>
      </c>
      <c r="E118" s="30">
        <v>25350</v>
      </c>
      <c r="F118" s="24" t="str">
        <f>TabelaClean14[[#This Row],[CidadeCPF]]</f>
        <v>Harrenhal</v>
      </c>
      <c r="G118" s="17" t="str">
        <f>TabelaClean14[[#This Row],[RegiaoCPF]]</f>
        <v>Terras Fluviais</v>
      </c>
      <c r="H118" s="17" t="str">
        <f>_xlfn.XLOOKUP(TabelaClean14[[#This Row],[cpf]],TabelaDirty[cpfclean],TabelaDirty[cidade])</f>
        <v>Harrenhal</v>
      </c>
      <c r="I118" s="17" t="str">
        <f>_xlfn.XLOOKUP(TabelaClean14[[#This Row],[cpf]],TabelaDirty[cpfclean],TabelaDirty[regiao])</f>
        <v>Terras Fluviais</v>
      </c>
      <c r="J118" s="17" t="str">
        <f>PROPER(TabelaClean14[[#This Row],[Coluna1]])</f>
        <v>Terras Fluviais</v>
      </c>
      <c r="K118" s="17" t="e">
        <f>_xlfn.TEXTBEFORE(TabelaClean14[[#This Row],[CidadeCPF]]," | ")</f>
        <v>#N/A</v>
      </c>
      <c r="L118" s="24" t="e">
        <f>_xlfn.TEXTAFTER(TabelaClean14[[#This Row],[CidadeCPF]]," | ")</f>
        <v>#N/A</v>
      </c>
      <c r="M118" s="26">
        <v>20600</v>
      </c>
      <c r="N118" s="78">
        <v>52500</v>
      </c>
      <c r="O118" s="1" t="s">
        <v>50</v>
      </c>
      <c r="P11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18" s="84">
        <v>16</v>
      </c>
      <c r="R118" s="1" t="str" cm="1">
        <f t="array" ref="R118">_xlfn.IFS(TabelaClean14[[#This Row],[qtde_batalhas]]&lt;=10,"Baixo",TabelaClean14[[#This Row],[qtde_batalhas]]&gt;=26,"Alto",TabelaClean14[[#This Row],[qtde_batalhas]]&lt;26,"Médio")</f>
        <v>Médio</v>
      </c>
      <c r="S118" s="1" t="str">
        <f>IF(AND(TabelaClean14[[#This Row],[nivel_risco]]="Alto",TabelaClean14[[#This Row],[flag_inadimplente]]="Sim"),"Arriscado","Ok")</f>
        <v>Ok</v>
      </c>
      <c r="T118" s="26">
        <v>97000</v>
      </c>
      <c r="U118" s="81">
        <f>IF(AND(TabelaClean14[[#This Row],[analise_risco]]="Arriscado",TabelaClean14[[#This Row],[analise_credito]]="Reprovado"),0,IF(TabelaClean14[[#This Row],[status]]="Ativo",TabelaClean14[[#This Row],[valor_solicitado]]*1.08,0))</f>
        <v>104760</v>
      </c>
      <c r="W118" s="1"/>
      <c r="Y118" t="s">
        <v>809</v>
      </c>
      <c r="Z118" t="str">
        <f t="shared" si="1"/>
        <v>Null</v>
      </c>
      <c r="AE118" t="s">
        <v>666</v>
      </c>
      <c r="AF118" t="str">
        <f>TEXT(AE118,"000\.000\.000\-00")</f>
        <v>000.000.058-00</v>
      </c>
      <c r="AH118" s="15" t="s">
        <v>172</v>
      </c>
      <c r="AJ118" s="22" t="s">
        <v>553</v>
      </c>
      <c r="AK118">
        <v>20900</v>
      </c>
      <c r="AM118" s="21">
        <v>54000</v>
      </c>
      <c r="AN118">
        <v>54000</v>
      </c>
      <c r="AO118">
        <v>54000</v>
      </c>
      <c r="AQ118" t="s">
        <v>162</v>
      </c>
      <c r="AZ118" s="38" t="s">
        <v>370</v>
      </c>
      <c r="BA118" t="s">
        <v>162</v>
      </c>
      <c r="BB118" s="26">
        <v>20600</v>
      </c>
      <c r="BC118" s="81">
        <f>IF(AND(TabelaClean14[[#This Row],[analise_risco]]="Arriscado",TabelaClean14[[#This Row],[analise_credito]]="Reprovado"),0,IF(TabelaClean14[[#This Row],[status]]="Ativo",TabelaClean14[[#This Row],[valor_solicitado]]*1.08,0))</f>
        <v>104760</v>
      </c>
    </row>
    <row r="119" spans="1:55">
      <c r="A119" s="24" t="s">
        <v>76</v>
      </c>
      <c r="B119" s="17" t="s">
        <v>297</v>
      </c>
      <c r="C119" s="25" t="s">
        <v>298</v>
      </c>
      <c r="D119" s="54">
        <v>53</v>
      </c>
      <c r="E119" s="30">
        <v>26812</v>
      </c>
      <c r="F119" s="24" t="str">
        <f>TabelaClean14[[#This Row],[CidadeCPF]]</f>
        <v>Meereen</v>
      </c>
      <c r="G119" s="17" t="str">
        <f>TabelaClean14[[#This Row],[RegiaoCPF]]</f>
        <v>Essos</v>
      </c>
      <c r="H119" s="17" t="str">
        <f>_xlfn.XLOOKUP(TabelaClean14[[#This Row],[cpf]],TabelaDirty[cpfclean],TabelaDirty[cidade])</f>
        <v>Meereen</v>
      </c>
      <c r="I119" s="17" t="str">
        <f>_xlfn.XLOOKUP(TabelaClean14[[#This Row],[cpf]],TabelaDirty[cpfclean],TabelaDirty[regiao])</f>
        <v>Essos</v>
      </c>
      <c r="J119" s="17" t="str">
        <f>PROPER(TabelaClean14[[#This Row],[Coluna1]])</f>
        <v>Essos</v>
      </c>
      <c r="K119" s="17" t="e">
        <f>_xlfn.TEXTBEFORE(TabelaClean14[[#This Row],[CidadeCPF]]," | ")</f>
        <v>#N/A</v>
      </c>
      <c r="L119" s="24" t="e">
        <f>_xlfn.TEXTAFTER(TabelaClean14[[#This Row],[CidadeCPF]]," | ")</f>
        <v>#N/A</v>
      </c>
      <c r="M119" s="26">
        <v>27800</v>
      </c>
      <c r="N119" s="78">
        <v>52000</v>
      </c>
      <c r="O119" s="1" t="s">
        <v>50</v>
      </c>
      <c r="P11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19" s="84">
        <v>43</v>
      </c>
      <c r="R119" s="1" t="str" cm="1">
        <f t="array" ref="R119">_xlfn.IFS(TabelaClean14[[#This Row],[qtde_batalhas]]&lt;=10,"Baixo",TabelaClean14[[#This Row],[qtde_batalhas]]&gt;=26,"Alto",TabelaClean14[[#This Row],[qtde_batalhas]]&lt;26,"Médio")</f>
        <v>Alto</v>
      </c>
      <c r="S119" s="1" t="str">
        <f>IF(AND(TabelaClean14[[#This Row],[nivel_risco]]="Alto",TabelaClean14[[#This Row],[flag_inadimplente]]="Sim"),"Arriscado","Ok")</f>
        <v>Ok</v>
      </c>
      <c r="T119" s="26">
        <v>93500</v>
      </c>
      <c r="U119" s="81">
        <f>IF(AND(TabelaClean14[[#This Row],[analise_risco]]="Arriscado",TabelaClean14[[#This Row],[analise_credito]]="Reprovado"),0,IF(TabelaClean14[[#This Row],[status]]="Ativo",TabelaClean14[[#This Row],[valor_solicitado]]*1.08,0))</f>
        <v>100980</v>
      </c>
      <c r="W119" s="1"/>
      <c r="Y119" t="s">
        <v>809</v>
      </c>
      <c r="Z119" t="str">
        <f t="shared" si="1"/>
        <v>Null</v>
      </c>
      <c r="AE119" t="s">
        <v>111</v>
      </c>
      <c r="AF119" t="str">
        <f>TEXT(AE119,"000\.000\.000\-00")</f>
        <v>000.000.059-00</v>
      </c>
      <c r="AH119" s="15" t="s">
        <v>83</v>
      </c>
      <c r="AJ119" s="22">
        <v>23400</v>
      </c>
      <c r="AK119">
        <v>23400</v>
      </c>
      <c r="AM119" s="20">
        <v>59000</v>
      </c>
      <c r="AN119">
        <v>59000</v>
      </c>
      <c r="AO119">
        <v>59000</v>
      </c>
      <c r="AQ119" t="s">
        <v>112</v>
      </c>
      <c r="AZ119" s="39" t="s">
        <v>637</v>
      </c>
      <c r="BA119" t="s">
        <v>112</v>
      </c>
      <c r="BB119" s="26">
        <v>27800</v>
      </c>
      <c r="BC119" s="81">
        <f>IF(AND(TabelaClean14[[#This Row],[analise_risco]]="Arriscado",TabelaClean14[[#This Row],[analise_credito]]="Reprovado"),0,IF(TabelaClean14[[#This Row],[status]]="Ativo",TabelaClean14[[#This Row],[valor_solicitado]]*1.08,0))</f>
        <v>100980</v>
      </c>
    </row>
    <row r="120" spans="1:55">
      <c r="A120" s="24" t="s">
        <v>81</v>
      </c>
      <c r="B120" s="17" t="s">
        <v>570</v>
      </c>
      <c r="C120" t="str">
        <f>_xlfn.XLOOKUP(TabelaClean14[[#This Row],[nome]],Base_Dirty!$B:$B,Base_Dirty!D:D)</f>
        <v>000.000.322-00</v>
      </c>
      <c r="D120" s="54">
        <f>_xlfn.XLOOKUP(TabelaClean14[[#This Row],[nome]],Base_Dirty!B:B,Base_Dirty!E:E)</f>
        <v>26</v>
      </c>
      <c r="E120" s="30">
        <v>26</v>
      </c>
      <c r="F120" s="17" t="s">
        <v>89</v>
      </c>
      <c r="G120" s="17" t="s">
        <v>90</v>
      </c>
      <c r="H120" s="24" t="s">
        <v>165</v>
      </c>
      <c r="I120" s="24">
        <v>24000</v>
      </c>
      <c r="J120" s="24" t="s">
        <v>572</v>
      </c>
      <c r="K120" s="24" t="s">
        <v>50</v>
      </c>
      <c r="L120" s="24">
        <v>30</v>
      </c>
      <c r="M120" s="23">
        <f>_xlfn.XLOOKUP(TabelaClean14[[#This Row],[nome]],Base_Dirty!$B:$B,Base_Dirty!I:I)</f>
        <v>24000</v>
      </c>
      <c r="N120" s="78">
        <v>52000</v>
      </c>
      <c r="O120" s="79" t="s">
        <v>50</v>
      </c>
      <c r="P12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0" s="84">
        <f>_xlfn.XLOOKUP(TabelaClean14[[#This Row],[nome]],Base_Dirty!$B:$B,Base_Dirty!L:L)</f>
        <v>30</v>
      </c>
      <c r="R120" s="76" t="str" cm="1">
        <f t="array" ref="R120">_xlfn.IFS(TabelaClean14[[#This Row],[qtde_batalhas]]&lt;=10,"Baixo",TabelaClean14[[#This Row],[qtde_batalhas]]&gt;=26,"Alto",TabelaClean14[[#This Row],[qtde_batalhas]]&lt;26,"Médio")</f>
        <v>Alto</v>
      </c>
      <c r="S120" s="76" t="str">
        <f>IF(AND(TabelaClean14[[#This Row],[nivel_risco]]="Alto",TabelaClean14[[#This Row],[flag_inadimplente]]="Sim"),"Arriscado","Ok")</f>
        <v>Ok</v>
      </c>
      <c r="T120" s="26">
        <f>_xlfn.XLOOKUP(TabelaClean14[[#This Row],[nome]],Base_Dirty!$B:$B,Base_Dirty!O:O)</f>
        <v>62500</v>
      </c>
      <c r="U12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20" s="1"/>
      <c r="Y120" t="s">
        <v>413</v>
      </c>
      <c r="Z120" t="str">
        <f t="shared" si="1"/>
        <v>Terras Da Coroa</v>
      </c>
      <c r="AE120" t="s">
        <v>776</v>
      </c>
      <c r="AF120" t="str">
        <f>TEXT(AE120,"000\.000\.000\-00")</f>
        <v>000.000.060-00</v>
      </c>
      <c r="AH120" s="15" t="s">
        <v>121</v>
      </c>
      <c r="AJ120" s="22">
        <v>17000</v>
      </c>
      <c r="AK120">
        <v>17000</v>
      </c>
      <c r="AM120" s="21">
        <v>41000</v>
      </c>
      <c r="AN120">
        <v>41000</v>
      </c>
      <c r="AO120">
        <v>41000</v>
      </c>
      <c r="AQ120" t="s">
        <v>162</v>
      </c>
      <c r="AZ120" s="38" t="s">
        <v>522</v>
      </c>
      <c r="BA120" t="s">
        <v>162</v>
      </c>
      <c r="BB120" s="23">
        <f>_xlfn.XLOOKUP(TabelaClean14[[#This Row],[nome]],Base_Dirty!$B:$B,Base_Dirty!AX:AX)</f>
        <v>0</v>
      </c>
      <c r="BC12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21" spans="1:55">
      <c r="A121" s="24" t="s">
        <v>81</v>
      </c>
      <c r="B121" s="17" t="s">
        <v>570</v>
      </c>
      <c r="C121" s="25" t="s">
        <v>571</v>
      </c>
      <c r="D121" s="54">
        <v>26</v>
      </c>
      <c r="E121" s="30">
        <v>36540</v>
      </c>
      <c r="F121" s="24" t="str">
        <f>TabelaClean14[[#This Row],[CidadeCPF]]</f>
        <v>Pedra do Dragão</v>
      </c>
      <c r="G121" s="17" t="str">
        <f>TabelaClean14[[#This Row],[RegiaoCPF]]</f>
        <v>Terras Da Coroa</v>
      </c>
      <c r="H121" s="17" t="str">
        <f>_xlfn.XLOOKUP(TabelaClean14[[#This Row],[cpf]],TabelaDirty[cpfclean],TabelaDirty[cidade])</f>
        <v>Pedra do Dragão</v>
      </c>
      <c r="I121" s="17" t="str">
        <f>_xlfn.XLOOKUP(TabelaClean14[[#This Row],[cpf]],TabelaDirty[cpfclean],TabelaDirty[regiao])</f>
        <v>TERRAS DA COROA</v>
      </c>
      <c r="J121" s="17" t="str">
        <f>PROPER(TabelaClean14[[#This Row],[Coluna1]])</f>
        <v>Terras Da Coroa</v>
      </c>
      <c r="K121" s="17" t="e">
        <f>_xlfn.TEXTBEFORE(TabelaClean14[[#This Row],[CidadeCPF]]," | ")</f>
        <v>#N/A</v>
      </c>
      <c r="L121" s="24" t="e">
        <f>_xlfn.TEXTAFTER(TabelaClean14[[#This Row],[CidadeCPF]]," | ")</f>
        <v>#N/A</v>
      </c>
      <c r="M121" s="26">
        <v>24000</v>
      </c>
      <c r="N121" s="78">
        <v>52000</v>
      </c>
      <c r="O121" s="1" t="s">
        <v>50</v>
      </c>
      <c r="P12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1" s="84">
        <v>30</v>
      </c>
      <c r="R121" s="1" t="str" cm="1">
        <f t="array" ref="R121">_xlfn.IFS(TabelaClean14[[#This Row],[qtde_batalhas]]&lt;=10,"Baixo",TabelaClean14[[#This Row],[qtde_batalhas]]&gt;=26,"Alto",TabelaClean14[[#This Row],[qtde_batalhas]]&lt;26,"Médio")</f>
        <v>Alto</v>
      </c>
      <c r="S121" s="1" t="str">
        <f>IF(AND(TabelaClean14[[#This Row],[nivel_risco]]="Alto",TabelaClean14[[#This Row],[flag_inadimplente]]="Sim"),"Arriscado","Ok")</f>
        <v>Ok</v>
      </c>
      <c r="T121" s="26">
        <v>62500</v>
      </c>
      <c r="U1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21" s="1"/>
      <c r="Y121" t="s">
        <v>809</v>
      </c>
      <c r="Z121" t="str">
        <f t="shared" si="1"/>
        <v>Null</v>
      </c>
      <c r="AE121" t="s">
        <v>504</v>
      </c>
      <c r="AF121" t="str">
        <f>TEXT(AE121,"000\.000\.000\-00")</f>
        <v>000.000.061-00</v>
      </c>
      <c r="AH121" s="15" t="s">
        <v>83</v>
      </c>
      <c r="AK121" t="s">
        <v>809</v>
      </c>
      <c r="AM121" s="20">
        <v>73500</v>
      </c>
      <c r="AN121">
        <v>73500</v>
      </c>
      <c r="AO121">
        <v>73500</v>
      </c>
      <c r="AQ121" t="s">
        <v>103</v>
      </c>
      <c r="AZ121" s="39" t="s">
        <v>854</v>
      </c>
      <c r="BA121" t="s">
        <v>103</v>
      </c>
      <c r="BB121" s="26">
        <v>24000</v>
      </c>
      <c r="BC1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22" spans="1:55">
      <c r="A122" s="24" t="s">
        <v>81</v>
      </c>
      <c r="B122" s="17" t="s">
        <v>577</v>
      </c>
      <c r="C122" s="25" t="s">
        <v>578</v>
      </c>
      <c r="D122" s="54">
        <v>33</v>
      </c>
      <c r="E122" s="30">
        <v>33902</v>
      </c>
      <c r="F122" s="24" t="str">
        <f>TabelaClean14[[#This Row],[CidadeCPF]]</f>
        <v>Jardim de Cima</v>
      </c>
      <c r="G122" s="17" t="str">
        <f>TabelaClean14[[#This Row],[RegiaoCPF]]</f>
        <v>Campina</v>
      </c>
      <c r="H122" s="17" t="str">
        <f>_xlfn.XLOOKUP(TabelaClean14[[#This Row],[cpf]],TabelaDirty[cpfclean],TabelaDirty[cidade])</f>
        <v>Jardim de Cima</v>
      </c>
      <c r="I122" s="17" t="str">
        <f>_xlfn.XLOOKUP(TabelaClean14[[#This Row],[cpf]],TabelaDirty[cpfclean],TabelaDirty[regiao])</f>
        <v>campina</v>
      </c>
      <c r="J122" s="17" t="str">
        <f>PROPER(TabelaClean14[[#This Row],[Coluna1]])</f>
        <v>Campina</v>
      </c>
      <c r="K122" s="17" t="e">
        <f>_xlfn.TEXTBEFORE(TabelaClean14[[#This Row],[CidadeCPF]]," | ")</f>
        <v>#N/A</v>
      </c>
      <c r="L122" s="24" t="e">
        <f>_xlfn.TEXTAFTER(TabelaClean14[[#This Row],[CidadeCPF]]," | ")</f>
        <v>#N/A</v>
      </c>
      <c r="M122" s="26">
        <v>12500</v>
      </c>
      <c r="N122" s="78">
        <v>51500</v>
      </c>
      <c r="O122" s="1" t="s">
        <v>51</v>
      </c>
      <c r="P12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122" s="84">
        <v>44</v>
      </c>
      <c r="R122" s="1" t="str" cm="1">
        <f t="array" ref="R122">_xlfn.IFS(TabelaClean14[[#This Row],[qtde_batalhas]]&lt;=10,"Baixo",TabelaClean14[[#This Row],[qtde_batalhas]]&gt;=26,"Alto",TabelaClean14[[#This Row],[qtde_batalhas]]&lt;26,"Médio")</f>
        <v>Alto</v>
      </c>
      <c r="S122" s="1" t="str">
        <f>IF(AND(TabelaClean14[[#This Row],[nivel_risco]]="Alto",TabelaClean14[[#This Row],[flag_inadimplente]]="Sim"),"Arriscado","Ok")</f>
        <v>Arriscado</v>
      </c>
      <c r="T122" s="26">
        <v>24000</v>
      </c>
      <c r="U12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22" s="1"/>
      <c r="Y122" t="s">
        <v>809</v>
      </c>
      <c r="Z122" t="str">
        <f t="shared" si="1"/>
        <v>Null</v>
      </c>
      <c r="AE122" t="s">
        <v>687</v>
      </c>
      <c r="AF122" t="str">
        <f>TEXT(AE122,"000\.000\.000\-00")</f>
        <v>000.000.062-00</v>
      </c>
      <c r="AH122" s="15" t="s">
        <v>242</v>
      </c>
      <c r="AJ122" s="22" t="s">
        <v>549</v>
      </c>
      <c r="AK122">
        <v>14300</v>
      </c>
      <c r="AM122" s="21" t="s">
        <v>550</v>
      </c>
      <c r="AN122" t="s">
        <v>809</v>
      </c>
      <c r="AO122" t="s">
        <v>809</v>
      </c>
      <c r="AQ122" t="s">
        <v>127</v>
      </c>
      <c r="AZ122" s="38" t="s">
        <v>857</v>
      </c>
      <c r="BA122" t="s">
        <v>127</v>
      </c>
      <c r="BB122" s="26">
        <v>12500</v>
      </c>
      <c r="BC12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23" spans="1:55">
      <c r="A123" s="24" t="s">
        <v>76</v>
      </c>
      <c r="B123" s="17" t="s">
        <v>147</v>
      </c>
      <c r="C123" s="25" t="s">
        <v>893</v>
      </c>
      <c r="D123" s="54">
        <v>25</v>
      </c>
      <c r="E123" s="30">
        <v>36831</v>
      </c>
      <c r="F123" s="24" t="str">
        <f>TabelaClean14[[#This Row],[CidadeCPF]]</f>
        <v>Vilavelha</v>
      </c>
      <c r="G123" s="17" t="str">
        <f>TabelaClean14[[#This Row],[RegiaoCPF]]</f>
        <v>Campina</v>
      </c>
      <c r="H123" s="17" t="str">
        <f>_xlfn.XLOOKUP(TabelaClean14[[#This Row],[cpf]],TabelaDirty[cpfclean],TabelaDirty[cidade])</f>
        <v>Vilavelha</v>
      </c>
      <c r="I123" s="17" t="str">
        <f>_xlfn.XLOOKUP(TabelaClean14[[#This Row],[cpf]],TabelaDirty[cpfclean],TabelaDirty[regiao])</f>
        <v>Campina</v>
      </c>
      <c r="J123" s="17" t="str">
        <f>PROPER(TabelaClean14[[#This Row],[Coluna1]])</f>
        <v>Campina</v>
      </c>
      <c r="K123" s="17" t="e">
        <f>_xlfn.TEXTBEFORE(TabelaClean14[[#This Row],[CidadeCPF]]," | ")</f>
        <v>#N/A</v>
      </c>
      <c r="L123" s="24" t="e">
        <f>_xlfn.TEXTAFTER(TabelaClean14[[#This Row],[CidadeCPF]]," | ")</f>
        <v>#N/A</v>
      </c>
      <c r="M123" s="26">
        <v>9400</v>
      </c>
      <c r="N123" s="78">
        <v>51500</v>
      </c>
      <c r="O123" s="1" t="s">
        <v>50</v>
      </c>
      <c r="P12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3" s="84">
        <v>14</v>
      </c>
      <c r="R123" s="1" t="str" cm="1">
        <f t="array" ref="R123">_xlfn.IFS(TabelaClean14[[#This Row],[qtde_batalhas]]&lt;=10,"Baixo",TabelaClean14[[#This Row],[qtde_batalhas]]&gt;=26,"Alto",TabelaClean14[[#This Row],[qtde_batalhas]]&lt;26,"Médio")</f>
        <v>Médio</v>
      </c>
      <c r="S123" s="1" t="str">
        <f>IF(AND(TabelaClean14[[#This Row],[nivel_risco]]="Alto",TabelaClean14[[#This Row],[flag_inadimplente]]="Sim"),"Arriscado","Ok")</f>
        <v>Ok</v>
      </c>
      <c r="T123" s="26">
        <v>29500</v>
      </c>
      <c r="U123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  <c r="W123" s="1"/>
      <c r="Y123" t="s">
        <v>809</v>
      </c>
      <c r="Z123" t="str">
        <f t="shared" si="1"/>
        <v>Null</v>
      </c>
      <c r="AE123" t="s">
        <v>328</v>
      </c>
      <c r="AF123" t="str">
        <f>TEXT(AE123,"000\.000\.000\-00")</f>
        <v>000.000.065-00</v>
      </c>
      <c r="AH123" s="15" t="s">
        <v>215</v>
      </c>
      <c r="AJ123" s="22">
        <v>9900</v>
      </c>
      <c r="AK123">
        <v>9900</v>
      </c>
      <c r="AM123" s="20" t="s">
        <v>464</v>
      </c>
      <c r="AN123" t="s">
        <v>809</v>
      </c>
      <c r="AO123" t="s">
        <v>809</v>
      </c>
      <c r="AQ123" t="s">
        <v>112</v>
      </c>
      <c r="AZ123" s="39" t="s">
        <v>540</v>
      </c>
      <c r="BA123" t="s">
        <v>112</v>
      </c>
      <c r="BB123" s="26">
        <v>9400</v>
      </c>
      <c r="BC123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</row>
    <row r="124" spans="1:55">
      <c r="A124" t="s">
        <v>76</v>
      </c>
      <c r="B124" t="s">
        <v>147</v>
      </c>
      <c r="C124" t="s">
        <v>787</v>
      </c>
      <c r="D124" s="54">
        <f>_xlfn.XLOOKUP(TabelaClean14[[#This Row],[nome]],Base_Dirty!B:B,Base_Dirty!E:E)</f>
        <v>25</v>
      </c>
      <c r="E124" s="51">
        <f>_xlfn.XLOOKUP(TabelaClean14[[#This Row],[nome]],Base_Dirty!$B:$B,Base_Dirty!F:F)</f>
        <v>36831</v>
      </c>
      <c r="F124" t="s">
        <v>148</v>
      </c>
      <c r="G124" s="17" t="s">
        <v>149</v>
      </c>
      <c r="H124" t="s">
        <v>149</v>
      </c>
      <c r="I124" s="13">
        <v>9400</v>
      </c>
      <c r="J124">
        <v>51500</v>
      </c>
      <c r="K124" t="s">
        <v>50</v>
      </c>
      <c r="L124">
        <v>14</v>
      </c>
      <c r="M124" s="23">
        <f>_xlfn.XLOOKUP(TabelaClean14[[#This Row],[nome]],Base_Dirty!$B:$B,Base_Dirty!I:I)</f>
        <v>9400</v>
      </c>
      <c r="N124" s="78">
        <f>_xlfn.XLOOKUP(TabelaClean14[[#This Row],[nome]],Base_Dirty!$B:$B,Base_Dirty!J:J)</f>
        <v>51500</v>
      </c>
      <c r="O124" s="79" t="s">
        <v>50</v>
      </c>
      <c r="P124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4" s="84">
        <f>_xlfn.XLOOKUP(TabelaClean14[[#This Row],[nome]],Base_Dirty!$B:$B,Base_Dirty!L:L)</f>
        <v>14</v>
      </c>
      <c r="R124"/>
      <c r="S124"/>
      <c r="T124" s="26">
        <f>_xlfn.XLOOKUP(TabelaClean14[[#This Row],[nome]],Base_Dirty!$B:$B,Base_Dirty!O:O)</f>
        <v>29500</v>
      </c>
      <c r="U124" s="17"/>
      <c r="W124" s="1"/>
      <c r="Y124" t="s">
        <v>809</v>
      </c>
      <c r="Z124" t="str">
        <f t="shared" si="1"/>
        <v>Null</v>
      </c>
      <c r="AE124" t="s">
        <v>241</v>
      </c>
      <c r="AF124" t="str">
        <f>TEXT(AE124,"000\.000\.000\-00")</f>
        <v>000.000.066-00</v>
      </c>
      <c r="AH124" s="15" t="s">
        <v>162</v>
      </c>
      <c r="AJ124" s="22">
        <v>28800</v>
      </c>
      <c r="AK124">
        <v>28800</v>
      </c>
      <c r="AM124" s="21">
        <v>78500</v>
      </c>
      <c r="AN124">
        <v>78500</v>
      </c>
      <c r="AO124">
        <v>78500</v>
      </c>
      <c r="AQ124" t="s">
        <v>148</v>
      </c>
      <c r="AZ124" s="38" t="s">
        <v>409</v>
      </c>
      <c r="BA124" t="s">
        <v>148</v>
      </c>
      <c r="BB124" s="23">
        <f>_xlfn.XLOOKUP(TabelaClean14[[#This Row],[nome]],Base_Dirty!$B:$B,Base_Dirty!AX:AX)</f>
        <v>0</v>
      </c>
      <c r="BC124" s="17"/>
    </row>
    <row r="125" spans="1:55">
      <c r="A125" s="24" t="s">
        <v>76</v>
      </c>
      <c r="B125" s="17" t="s">
        <v>147</v>
      </c>
      <c r="C125" t="str">
        <f>_xlfn.XLOOKUP(TabelaClean14[[#This Row],[nome]],Base_Dirty!$B:$B,Base_Dirty!D:D)</f>
        <v>000.000.223-00</v>
      </c>
      <c r="D125" s="54">
        <f>_xlfn.XLOOKUP(TabelaClean14[[#This Row],[nome]],Base_Dirty!B:B,Base_Dirty!E:E)</f>
        <v>25</v>
      </c>
      <c r="E125" s="30">
        <v>25</v>
      </c>
      <c r="F125" s="50" t="s">
        <v>148</v>
      </c>
      <c r="G125" s="17" t="s">
        <v>149</v>
      </c>
      <c r="H125" s="24" t="s">
        <v>149</v>
      </c>
      <c r="I125" s="24">
        <v>9400</v>
      </c>
      <c r="J125" s="24">
        <v>51500</v>
      </c>
      <c r="K125" s="24" t="s">
        <v>50</v>
      </c>
      <c r="L125" s="24">
        <v>14</v>
      </c>
      <c r="M125" s="23">
        <f>_xlfn.XLOOKUP(TabelaClean14[[#This Row],[nome]],Base_Dirty!$B:$B,Base_Dirty!I:I)</f>
        <v>9400</v>
      </c>
      <c r="N125" s="78">
        <f>_xlfn.XLOOKUP(TabelaClean14[[#This Row],[nome]],Base_Dirty!$B:$B,Base_Dirty!J:J)</f>
        <v>51500</v>
      </c>
      <c r="O125" s="79" t="s">
        <v>50</v>
      </c>
      <c r="P125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5" s="84">
        <f>_xlfn.XLOOKUP(TabelaClean14[[#This Row],[nome]],Base_Dirty!$B:$B,Base_Dirty!L:L)</f>
        <v>14</v>
      </c>
      <c r="R125" s="76" t="str" cm="1">
        <f t="array" ref="R125">_xlfn.IFS(TabelaClean14[[#This Row],[qtde_batalhas]]&lt;=10,"Baixo",TabelaClean14[[#This Row],[qtde_batalhas]]&gt;=26,"Alto",TabelaClean14[[#This Row],[qtde_batalhas]]&lt;26,"Médio")</f>
        <v>Médio</v>
      </c>
      <c r="S125" s="76" t="str">
        <f>IF(AND(TabelaClean14[[#This Row],[nivel_risco]]="Alto",TabelaClean14[[#This Row],[flag_inadimplente]]="Sim"),"Arriscado","Ok")</f>
        <v>Ok</v>
      </c>
      <c r="T125" s="26">
        <f>_xlfn.XLOOKUP(TabelaClean14[[#This Row],[nome]],Base_Dirty!$B:$B,Base_Dirty!O:O)</f>
        <v>29500</v>
      </c>
      <c r="U125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  <c r="W125" s="1"/>
      <c r="Y125" t="s">
        <v>809</v>
      </c>
      <c r="Z125" t="str">
        <f t="shared" si="1"/>
        <v>Null</v>
      </c>
      <c r="AE125" t="s">
        <v>284</v>
      </c>
      <c r="AF125" t="str">
        <f>TEXT(AE125,"000\.000\.000\-00")</f>
        <v>000.000.067-00</v>
      </c>
      <c r="AH125" s="15" t="s">
        <v>148</v>
      </c>
      <c r="AK125" t="s">
        <v>809</v>
      </c>
      <c r="AM125" s="20">
        <v>21000</v>
      </c>
      <c r="AN125">
        <v>21000</v>
      </c>
      <c r="AO125">
        <v>21000</v>
      </c>
      <c r="AQ125" t="s">
        <v>127</v>
      </c>
      <c r="AZ125" s="39" t="s">
        <v>417</v>
      </c>
      <c r="BA125" t="s">
        <v>127</v>
      </c>
      <c r="BB125" s="23">
        <f>_xlfn.XLOOKUP(TabelaClean14[[#This Row],[nome]],Base_Dirty!$B:$B,Base_Dirty!AX:AX)</f>
        <v>0</v>
      </c>
      <c r="BC125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</row>
    <row r="126" spans="1:55">
      <c r="A126" s="24" t="s">
        <v>76</v>
      </c>
      <c r="B126" s="17" t="s">
        <v>692</v>
      </c>
      <c r="C126" s="25" t="s">
        <v>693</v>
      </c>
      <c r="D126" s="54">
        <v>71</v>
      </c>
      <c r="E126" s="30">
        <v>20275</v>
      </c>
      <c r="F126" s="24" t="str">
        <f>TabelaClean14[[#This Row],[CidadeCPF]]</f>
        <v>Lannisporto</v>
      </c>
      <c r="G126" s="17" t="str">
        <f>TabelaClean14[[#This Row],[RegiaoCPF]]</f>
        <v>Oeste</v>
      </c>
      <c r="H126" s="17" t="str">
        <f>_xlfn.XLOOKUP(TabelaClean14[[#This Row],[cpf]],TabelaDirty[cpfclean],TabelaDirty[cidade])</f>
        <v>Lannisporto</v>
      </c>
      <c r="I126" s="17" t="str">
        <f>_xlfn.XLOOKUP(TabelaClean14[[#This Row],[cpf]],TabelaDirty[cpfclean],TabelaDirty[regiao])</f>
        <v>Oeste</v>
      </c>
      <c r="J126" s="17" t="str">
        <f>PROPER(TabelaClean14[[#This Row],[Coluna1]])</f>
        <v>Oeste</v>
      </c>
      <c r="K126" s="17" t="e">
        <f>_xlfn.TEXTBEFORE(TabelaClean14[[#This Row],[CidadeCPF]]," | ")</f>
        <v>#N/A</v>
      </c>
      <c r="L126" s="24" t="e">
        <f>_xlfn.TEXTAFTER(TabelaClean14[[#This Row],[CidadeCPF]]," | ")</f>
        <v>#N/A</v>
      </c>
      <c r="M126" s="26">
        <v>14200</v>
      </c>
      <c r="N126" s="78">
        <v>51000</v>
      </c>
      <c r="O126" s="1" t="s">
        <v>50</v>
      </c>
      <c r="P12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6" s="84">
        <v>10</v>
      </c>
      <c r="R126" s="1" t="str" cm="1">
        <f t="array" ref="R126">_xlfn.IFS(TabelaClean14[[#This Row],[qtde_batalhas]]&lt;=10,"Baixo",TabelaClean14[[#This Row],[qtde_batalhas]]&gt;=26,"Alto",TabelaClean14[[#This Row],[qtde_batalhas]]&lt;26,"Médio")</f>
        <v>Baixo</v>
      </c>
      <c r="S126" s="1" t="str">
        <f>IF(AND(TabelaClean14[[#This Row],[nivel_risco]]="Alto",TabelaClean14[[#This Row],[flag_inadimplente]]="Sim"),"Arriscado","Ok")</f>
        <v>Ok</v>
      </c>
      <c r="T126" s="26">
        <v>90500</v>
      </c>
      <c r="U126" s="81">
        <f>IF(AND(TabelaClean14[[#This Row],[analise_risco]]="Arriscado",TabelaClean14[[#This Row],[analise_credito]]="Reprovado"),0,IF(TabelaClean14[[#This Row],[status]]="Ativo",TabelaClean14[[#This Row],[valor_solicitado]]*1.08,0))</f>
        <v>97740</v>
      </c>
      <c r="W126" s="1"/>
      <c r="Y126" t="s">
        <v>809</v>
      </c>
      <c r="Z126" t="str">
        <f t="shared" si="1"/>
        <v>Null</v>
      </c>
      <c r="AE126" t="s">
        <v>493</v>
      </c>
      <c r="AF126" t="str">
        <f>TEXT(AE126,"000\.000\.000\-00")</f>
        <v>000.000.070-00</v>
      </c>
      <c r="AH126" s="15" t="s">
        <v>83</v>
      </c>
      <c r="AJ126" s="22">
        <v>24700</v>
      </c>
      <c r="AK126">
        <v>24700</v>
      </c>
      <c r="AM126" s="21">
        <v>23000</v>
      </c>
      <c r="AN126">
        <v>23000</v>
      </c>
      <c r="AO126">
        <v>23000</v>
      </c>
      <c r="AQ126" t="s">
        <v>183</v>
      </c>
      <c r="AZ126" s="38" t="s">
        <v>234</v>
      </c>
      <c r="BA126" t="s">
        <v>183</v>
      </c>
      <c r="BB126" s="26">
        <v>14200</v>
      </c>
      <c r="BC126" s="81">
        <f>IF(AND(TabelaClean14[[#This Row],[analise_risco]]="Arriscado",TabelaClean14[[#This Row],[analise_credito]]="Reprovado"),0,IF(TabelaClean14[[#This Row],[status]]="Ativo",TabelaClean14[[#This Row],[valor_solicitado]]*1.08,0))</f>
        <v>97740</v>
      </c>
    </row>
    <row r="127" spans="1:55">
      <c r="A127" s="24" t="s">
        <v>76</v>
      </c>
      <c r="B127" s="17" t="s">
        <v>894</v>
      </c>
      <c r="C127" s="25" t="s">
        <v>222</v>
      </c>
      <c r="D127" s="54">
        <v>28</v>
      </c>
      <c r="E127" s="30">
        <v>35887</v>
      </c>
      <c r="F127" s="24" t="str">
        <f>TabelaClean14[[#This Row],[CidadeCPF]]</f>
        <v>Porto Real</v>
      </c>
      <c r="G127" s="17" t="str">
        <f>TabelaClean14[[#This Row],[RegiaoCPF]]</f>
        <v>Terras Da Coroa</v>
      </c>
      <c r="H127" s="17" t="str">
        <f>_xlfn.XLOOKUP(TabelaClean14[[#This Row],[cpf]],TabelaDirty[cpfclean],TabelaDirty[cidade])</f>
        <v>Porto Real</v>
      </c>
      <c r="I127" s="17" t="str">
        <f>_xlfn.XLOOKUP(TabelaClean14[[#This Row],[cpf]],TabelaDirty[cpfclean],TabelaDirty[regiao])</f>
        <v>Terras da Coroa</v>
      </c>
      <c r="J127" s="17" t="str">
        <f>PROPER(TabelaClean14[[#This Row],[Coluna1]])</f>
        <v>Terras Da Coroa</v>
      </c>
      <c r="K127" s="17" t="e">
        <f>_xlfn.TEXTBEFORE(TabelaClean14[[#This Row],[CidadeCPF]]," | ")</f>
        <v>#N/A</v>
      </c>
      <c r="L127" s="24" t="e">
        <f>_xlfn.TEXTAFTER(TabelaClean14[[#This Row],[CidadeCPF]]," | ")</f>
        <v>#N/A</v>
      </c>
      <c r="M127" s="26">
        <v>2000</v>
      </c>
      <c r="N127" s="78">
        <v>51000</v>
      </c>
      <c r="O127" s="1" t="s">
        <v>50</v>
      </c>
      <c r="P12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7" s="84">
        <v>12</v>
      </c>
      <c r="R127" s="1" t="str" cm="1">
        <f t="array" ref="R127">_xlfn.IFS(TabelaClean14[[#This Row],[qtde_batalhas]]&lt;=10,"Baixo",TabelaClean14[[#This Row],[qtde_batalhas]]&gt;=26,"Alto",TabelaClean14[[#This Row],[qtde_batalhas]]&lt;26,"Médio")</f>
        <v>Médio</v>
      </c>
      <c r="S127" s="1" t="str">
        <f>IF(AND(TabelaClean14[[#This Row],[nivel_risco]]="Alto",TabelaClean14[[#This Row],[flag_inadimplente]]="Sim"),"Arriscado","Ok")</f>
        <v>Ok</v>
      </c>
      <c r="T127" s="26">
        <v>72500</v>
      </c>
      <c r="U127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  <c r="W127" s="1"/>
      <c r="Y127" t="s">
        <v>809</v>
      </c>
      <c r="Z127" t="str">
        <f t="shared" si="1"/>
        <v>Null</v>
      </c>
      <c r="AE127" t="s">
        <v>756</v>
      </c>
      <c r="AF127" t="str">
        <f>TEXT(AE127,"000\.000\.000\-00")</f>
        <v>000.000.071-00</v>
      </c>
      <c r="AH127" s="15" t="s">
        <v>112</v>
      </c>
      <c r="AJ127" s="22">
        <v>13300</v>
      </c>
      <c r="AK127">
        <v>13300</v>
      </c>
      <c r="AM127" s="20">
        <v>1000</v>
      </c>
      <c r="AN127">
        <v>1000</v>
      </c>
      <c r="AO127">
        <v>1000</v>
      </c>
      <c r="AQ127" t="s">
        <v>183</v>
      </c>
      <c r="AZ127" s="39" t="s">
        <v>631</v>
      </c>
      <c r="BA127" t="s">
        <v>183</v>
      </c>
      <c r="BB127" s="26">
        <v>2000</v>
      </c>
      <c r="BC127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</row>
    <row r="128" spans="1:55">
      <c r="A128" s="24" t="s">
        <v>76</v>
      </c>
      <c r="B128" s="17" t="s">
        <v>179</v>
      </c>
      <c r="C128" s="25" t="s">
        <v>180</v>
      </c>
      <c r="D128" s="54">
        <v>19</v>
      </c>
      <c r="E128" s="30">
        <v>39220</v>
      </c>
      <c r="F128" s="24" t="str">
        <f>TabelaClean14[[#This Row],[CidadeCPF]]</f>
        <v>Vilavelha</v>
      </c>
      <c r="G128" s="17" t="str">
        <f>TabelaClean14[[#This Row],[RegiaoCPF]]</f>
        <v>Campina</v>
      </c>
      <c r="H128" s="17" t="str">
        <f>_xlfn.XLOOKUP(TabelaClean14[[#This Row],[cpf]],TabelaDirty[cpfclean],TabelaDirty[cidade])</f>
        <v>Vilavelha</v>
      </c>
      <c r="I128" s="17" t="str">
        <f>_xlfn.XLOOKUP(TabelaClean14[[#This Row],[cpf]],TabelaDirty[cpfclean],TabelaDirty[regiao])</f>
        <v>Campina</v>
      </c>
      <c r="J128" s="17" t="str">
        <f>PROPER(TabelaClean14[[#This Row],[Coluna1]])</f>
        <v>Campina</v>
      </c>
      <c r="K128" s="17" t="e">
        <f>_xlfn.TEXTBEFORE(TabelaClean14[[#This Row],[CidadeCPF]]," | ")</f>
        <v>#N/A</v>
      </c>
      <c r="L128" s="24" t="e">
        <f>_xlfn.TEXTAFTER(TabelaClean14[[#This Row],[CidadeCPF]]," | ")</f>
        <v>#N/A</v>
      </c>
      <c r="M128" s="26">
        <v>18000</v>
      </c>
      <c r="N128" s="78">
        <v>50500</v>
      </c>
      <c r="O128" s="1" t="s">
        <v>51</v>
      </c>
      <c r="P12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Reprovado</v>
      </c>
      <c r="Q128" s="84">
        <v>11</v>
      </c>
      <c r="R128" s="1" t="str" cm="1">
        <f t="array" ref="R128">_xlfn.IFS(TabelaClean14[[#This Row],[qtde_batalhas]]&lt;=10,"Baixo",TabelaClean14[[#This Row],[qtde_batalhas]]&gt;=26,"Alto",TabelaClean14[[#This Row],[qtde_batalhas]]&lt;26,"Médio")</f>
        <v>Médio</v>
      </c>
      <c r="S128" s="1" t="str">
        <f>IF(AND(TabelaClean14[[#This Row],[nivel_risco]]="Alto",TabelaClean14[[#This Row],[flag_inadimplente]]="Sim"),"Arriscado","Ok")</f>
        <v>Ok</v>
      </c>
      <c r="T128" s="26">
        <v>26000</v>
      </c>
      <c r="U128" s="81">
        <f>IF(AND(TabelaClean14[[#This Row],[analise_risco]]="Arriscado",TabelaClean14[[#This Row],[analise_credito]]="Reprovado"),0,IF(TabelaClean14[[#This Row],[status]]="Ativo",TabelaClean14[[#This Row],[valor_solicitado]]*1.08,0))</f>
        <v>28080.000000000004</v>
      </c>
      <c r="W128" s="1"/>
      <c r="Y128" t="s">
        <v>809</v>
      </c>
      <c r="Z128" t="str">
        <f t="shared" si="1"/>
        <v>Null</v>
      </c>
      <c r="AE128" t="s">
        <v>450</v>
      </c>
      <c r="AF128" t="str">
        <f>TEXT(AE128,"000\.000\.000\-00")</f>
        <v>000.000.073-00</v>
      </c>
      <c r="AH128" s="15" t="s">
        <v>121</v>
      </c>
      <c r="AJ128" s="22">
        <v>29000</v>
      </c>
      <c r="AK128">
        <v>29000</v>
      </c>
      <c r="AM128" s="21">
        <v>36500</v>
      </c>
      <c r="AN128">
        <v>36500</v>
      </c>
      <c r="AO128">
        <v>36500</v>
      </c>
      <c r="AQ128" t="s">
        <v>89</v>
      </c>
      <c r="AZ128" s="38" t="s">
        <v>865</v>
      </c>
      <c r="BA128" t="s">
        <v>89</v>
      </c>
      <c r="BB128" s="26">
        <v>18000</v>
      </c>
      <c r="BC128" s="81">
        <f>IF(AND(TabelaClean14[[#This Row],[analise_risco]]="Arriscado",TabelaClean14[[#This Row],[analise_credito]]="Reprovado"),0,IF(TabelaClean14[[#This Row],[status]]="Ativo",TabelaClean14[[#This Row],[valor_solicitado]]*1.08,0))</f>
        <v>28080.000000000004</v>
      </c>
    </row>
    <row r="129" spans="1:55">
      <c r="A129" s="24" t="s">
        <v>76</v>
      </c>
      <c r="B129" s="17" t="s">
        <v>791</v>
      </c>
      <c r="C129" s="25" t="s">
        <v>792</v>
      </c>
      <c r="D129" s="54">
        <v>22</v>
      </c>
      <c r="E129" s="30">
        <v>38204</v>
      </c>
      <c r="F129" s="24" t="str">
        <f>TabelaClean14[[#This Row],[CidadeCPF]]</f>
        <v>Ninho da Águia</v>
      </c>
      <c r="G129" s="17" t="str">
        <f>TabelaClean14[[#This Row],[RegiaoCPF]]</f>
        <v>Vale</v>
      </c>
      <c r="H129" s="17" t="str">
        <f>_xlfn.XLOOKUP(TabelaClean14[[#This Row],[cpf]],TabelaDirty[cpfclean],TabelaDirty[cidade])</f>
        <v>Ninho da Águia</v>
      </c>
      <c r="I129" s="17" t="str">
        <f>_xlfn.XLOOKUP(TabelaClean14[[#This Row],[cpf]],TabelaDirty[cpfclean],TabelaDirty[regiao])</f>
        <v>Vale</v>
      </c>
      <c r="J129" s="17" t="str">
        <f>PROPER(TabelaClean14[[#This Row],[Coluna1]])</f>
        <v>Vale</v>
      </c>
      <c r="K129" s="17" t="e">
        <f>_xlfn.TEXTBEFORE(TabelaClean14[[#This Row],[CidadeCPF]]," | ")</f>
        <v>#N/A</v>
      </c>
      <c r="L129" s="24" t="e">
        <f>_xlfn.TEXTAFTER(TabelaClean14[[#This Row],[CidadeCPF]]," | ")</f>
        <v>#N/A</v>
      </c>
      <c r="M129" s="26">
        <v>10500</v>
      </c>
      <c r="N129" s="78">
        <v>50500</v>
      </c>
      <c r="O129" s="1" t="s">
        <v>50</v>
      </c>
      <c r="P12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29" s="84">
        <v>16</v>
      </c>
      <c r="R129" s="1" t="str" cm="1">
        <f t="array" ref="R129">_xlfn.IFS(TabelaClean14[[#This Row],[qtde_batalhas]]&lt;=10,"Baixo",TabelaClean14[[#This Row],[qtde_batalhas]]&gt;=26,"Alto",TabelaClean14[[#This Row],[qtde_batalhas]]&lt;26,"Médio")</f>
        <v>Médio</v>
      </c>
      <c r="S129" s="1" t="str">
        <f>IF(AND(TabelaClean14[[#This Row],[nivel_risco]]="Alto",TabelaClean14[[#This Row],[flag_inadimplente]]="Sim"),"Arriscado","Ok")</f>
        <v>Ok</v>
      </c>
      <c r="T129" s="26">
        <v>41500</v>
      </c>
      <c r="U129" s="81">
        <f>IF(AND(TabelaClean14[[#This Row],[analise_risco]]="Arriscado",TabelaClean14[[#This Row],[analise_credito]]="Reprovado"),0,IF(TabelaClean14[[#This Row],[status]]="Ativo",TabelaClean14[[#This Row],[valor_solicitado]]*1.08,0))</f>
        <v>44820</v>
      </c>
      <c r="W129" s="1"/>
      <c r="Y129" t="s">
        <v>809</v>
      </c>
      <c r="Z129" t="str">
        <f t="shared" si="1"/>
        <v>Null</v>
      </c>
      <c r="AE129" t="s">
        <v>598</v>
      </c>
      <c r="AF129" t="str">
        <f>TEXT(AE129,"000\.000\.000\-00")</f>
        <v>000.000.074-00</v>
      </c>
      <c r="AH129" s="15" t="s">
        <v>242</v>
      </c>
      <c r="AJ129" s="22" t="s">
        <v>505</v>
      </c>
      <c r="AK129">
        <v>20100</v>
      </c>
      <c r="AM129" s="20">
        <v>40000</v>
      </c>
      <c r="AN129">
        <v>40000</v>
      </c>
      <c r="AO129">
        <v>40000</v>
      </c>
      <c r="AQ129" t="s">
        <v>242</v>
      </c>
      <c r="AZ129" s="39" t="s">
        <v>446</v>
      </c>
      <c r="BA129" t="s">
        <v>242</v>
      </c>
      <c r="BB129" s="26">
        <v>10500</v>
      </c>
      <c r="BC129" s="81">
        <f>IF(AND(TabelaClean14[[#This Row],[analise_risco]]="Arriscado",TabelaClean14[[#This Row],[analise_credito]]="Reprovado"),0,IF(TabelaClean14[[#This Row],[status]]="Ativo",TabelaClean14[[#This Row],[valor_solicitado]]*1.08,0))</f>
        <v>44820</v>
      </c>
    </row>
    <row r="130" spans="1:55">
      <c r="A130" s="24" t="s">
        <v>76</v>
      </c>
      <c r="B130" s="17" t="s">
        <v>622</v>
      </c>
      <c r="C130" s="25" t="s">
        <v>623</v>
      </c>
      <c r="D130" s="54">
        <v>59</v>
      </c>
      <c r="E130" s="30">
        <v>24578</v>
      </c>
      <c r="F130" s="24" t="str">
        <f>TabelaClean14[[#This Row],[CidadeCPF]]</f>
        <v>Atalaia da Água Cinzenta</v>
      </c>
      <c r="G130" s="17" t="str">
        <f>TabelaClean14[[#This Row],[RegiaoCPF]]</f>
        <v>Gargalo</v>
      </c>
      <c r="H130" s="17" t="str">
        <f>_xlfn.XLOOKUP(TabelaClean14[[#This Row],[cpf]],TabelaDirty[cpfclean],TabelaDirty[cidade])</f>
        <v>Atalaia da Água Cinzenta</v>
      </c>
      <c r="I130" s="17" t="s">
        <v>456</v>
      </c>
      <c r="J130" s="17" t="str">
        <f>PROPER(TabelaClean14[[#This Row],[Coluna1]])</f>
        <v>Gargalo</v>
      </c>
      <c r="K130" s="17" t="e">
        <f>_xlfn.TEXTBEFORE(TabelaClean14[[#This Row],[CidadeCPF]]," | ")</f>
        <v>#N/A</v>
      </c>
      <c r="L130" s="24" t="e">
        <f>_xlfn.TEXTAFTER(TabelaClean14[[#This Row],[CidadeCPF]]," | ")</f>
        <v>#N/A</v>
      </c>
      <c r="M130" s="26">
        <v>6600</v>
      </c>
      <c r="N130" s="78">
        <v>50000</v>
      </c>
      <c r="O130" s="1" t="s">
        <v>51</v>
      </c>
      <c r="P13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0" s="84">
        <v>9</v>
      </c>
      <c r="R130" s="1" t="str" cm="1">
        <f t="array" ref="R130">_xlfn.IFS(TabelaClean14[[#This Row],[qtde_batalhas]]&lt;=10,"Baixo",TabelaClean14[[#This Row],[qtde_batalhas]]&gt;=26,"Alto",TabelaClean14[[#This Row],[qtde_batalhas]]&lt;26,"Médio")</f>
        <v>Baixo</v>
      </c>
      <c r="S130" s="1" t="str">
        <f>IF(AND(TabelaClean14[[#This Row],[nivel_risco]]="Alto",TabelaClean14[[#This Row],[flag_inadimplente]]="Sim"),"Arriscado","Ok")</f>
        <v>Ok</v>
      </c>
      <c r="T130" s="26">
        <v>25000</v>
      </c>
      <c r="U130" s="81">
        <f>IF(AND(TabelaClean14[[#This Row],[analise_risco]]="Arriscado",TabelaClean14[[#This Row],[analise_credito]]="Reprovado"),0,IF(TabelaClean14[[#This Row],[status]]="Ativo",TabelaClean14[[#This Row],[valor_solicitado]]*1.08,0))</f>
        <v>27000</v>
      </c>
      <c r="W130" s="1"/>
      <c r="Y130" t="s">
        <v>187</v>
      </c>
      <c r="Z130" t="str">
        <f t="shared" si="1"/>
        <v>Terras Da Tempestade</v>
      </c>
      <c r="AE130" t="s">
        <v>396</v>
      </c>
      <c r="AF130" t="str">
        <f>TEXT(AE130,"000\.000\.000\-00")</f>
        <v>000.000.075-00</v>
      </c>
      <c r="AH130" s="15" t="s">
        <v>79</v>
      </c>
      <c r="AJ130" s="22">
        <v>11400</v>
      </c>
      <c r="AK130">
        <v>11400</v>
      </c>
      <c r="AM130" s="21">
        <v>0</v>
      </c>
      <c r="AN130">
        <v>0</v>
      </c>
      <c r="AO130">
        <v>0</v>
      </c>
      <c r="AQ130" t="s">
        <v>83</v>
      </c>
      <c r="AZ130" s="38" t="s">
        <v>498</v>
      </c>
      <c r="BA130" t="s">
        <v>83</v>
      </c>
      <c r="BB130" s="26">
        <v>6600</v>
      </c>
      <c r="BC130" s="81">
        <f>IF(AND(TabelaClean14[[#This Row],[analise_risco]]="Arriscado",TabelaClean14[[#This Row],[analise_credito]]="Reprovado"),0,IF(TabelaClean14[[#This Row],[status]]="Ativo",TabelaClean14[[#This Row],[valor_solicitado]]*1.08,0))</f>
        <v>27000</v>
      </c>
    </row>
    <row r="131" spans="1:55">
      <c r="A131" s="24" t="s">
        <v>76</v>
      </c>
      <c r="B131" s="17" t="s">
        <v>508</v>
      </c>
      <c r="C131" s="25" t="s">
        <v>895</v>
      </c>
      <c r="D131" s="54">
        <v>26</v>
      </c>
      <c r="E131" s="30">
        <v>36596</v>
      </c>
      <c r="F131" s="24" t="str">
        <f>TabelaClean14[[#This Row],[CidadeCPF]]</f>
        <v>Ilha dos Ursos</v>
      </c>
      <c r="G131" s="17" t="str">
        <f>TabelaClean14[[#This Row],[RegiaoCPF]]</f>
        <v>Norte</v>
      </c>
      <c r="H131" s="17" t="str">
        <f>_xlfn.XLOOKUP(TabelaClean14[[#This Row],[cpf]],TabelaDirty[cpfclean],TabelaDirty[cidade])</f>
        <v>Ilha dos Ursos</v>
      </c>
      <c r="I131" s="17" t="str">
        <f>_xlfn.XLOOKUP(TabelaClean14[[#This Row],[cpf]],TabelaDirty[cpfclean],TabelaDirty[regiao])</f>
        <v>norte</v>
      </c>
      <c r="J131" s="17" t="str">
        <f>PROPER(TabelaClean14[[#This Row],[Coluna1]])</f>
        <v>Norte</v>
      </c>
      <c r="K131" s="17" t="e">
        <f>_xlfn.TEXTBEFORE(TabelaClean14[[#This Row],[CidadeCPF]]," | ")</f>
        <v>#N/A</v>
      </c>
      <c r="L131" s="24" t="e">
        <f>_xlfn.TEXTAFTER(TabelaClean14[[#This Row],[CidadeCPF]]," | ")</f>
        <v>#N/A</v>
      </c>
      <c r="M131" s="26">
        <v>3500</v>
      </c>
      <c r="N131" s="78">
        <v>50000</v>
      </c>
      <c r="O131" s="1" t="s">
        <v>50</v>
      </c>
      <c r="P13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1" s="84">
        <v>40</v>
      </c>
      <c r="R131" s="1" t="str" cm="1">
        <f t="array" ref="R131">_xlfn.IFS(TabelaClean14[[#This Row],[qtde_batalhas]]&lt;=10,"Baixo",TabelaClean14[[#This Row],[qtde_batalhas]]&gt;=26,"Alto",TabelaClean14[[#This Row],[qtde_batalhas]]&lt;26,"Médio")</f>
        <v>Alto</v>
      </c>
      <c r="S131" s="1" t="str">
        <f>IF(AND(TabelaClean14[[#This Row],[nivel_risco]]="Alto",TabelaClean14[[#This Row],[flag_inadimplente]]="Sim"),"Arriscado","Ok")</f>
        <v>Ok</v>
      </c>
      <c r="T131" s="26">
        <v>46500</v>
      </c>
      <c r="U131" s="81">
        <f>IF(AND(TabelaClean14[[#This Row],[analise_risco]]="Arriscado",TabelaClean14[[#This Row],[analise_credito]]="Reprovado"),0,IF(TabelaClean14[[#This Row],[status]]="Ativo",TabelaClean14[[#This Row],[valor_solicitado]]*1.08,0))</f>
        <v>50220</v>
      </c>
      <c r="W131" s="1"/>
      <c r="Y131" t="s">
        <v>809</v>
      </c>
      <c r="Z131" t="str">
        <f t="shared" si="1"/>
        <v>Null</v>
      </c>
      <c r="AE131" t="s">
        <v>107</v>
      </c>
      <c r="AF131" t="str">
        <f>TEXT(AE131,"000\.000\.000\-00")</f>
        <v>000.000.076-00</v>
      </c>
      <c r="AH131" s="15" t="s">
        <v>162</v>
      </c>
      <c r="AJ131" s="22">
        <v>30000</v>
      </c>
      <c r="AK131">
        <v>30000</v>
      </c>
      <c r="AM131" s="20"/>
      <c r="AN131" t="s">
        <v>809</v>
      </c>
      <c r="AO131" t="s">
        <v>809</v>
      </c>
      <c r="AQ131" t="s">
        <v>148</v>
      </c>
      <c r="AZ131" s="39" t="s">
        <v>475</v>
      </c>
      <c r="BA131" t="s">
        <v>148</v>
      </c>
      <c r="BB131" s="26">
        <v>3500</v>
      </c>
      <c r="BC131" s="81">
        <f>IF(AND(TabelaClean14[[#This Row],[analise_risco]]="Arriscado",TabelaClean14[[#This Row],[analise_credito]]="Reprovado"),0,IF(TabelaClean14[[#This Row],[status]]="Ativo",TabelaClean14[[#This Row],[valor_solicitado]]*1.08,0))</f>
        <v>50220</v>
      </c>
    </row>
    <row r="132" spans="1:55">
      <c r="A132" s="24" t="s">
        <v>76</v>
      </c>
      <c r="B132" s="17" t="s">
        <v>368</v>
      </c>
      <c r="C132" s="25" t="s">
        <v>813</v>
      </c>
      <c r="D132" s="54">
        <v>29</v>
      </c>
      <c r="E132" s="30">
        <v>35344</v>
      </c>
      <c r="F132" s="24" t="str">
        <f>TabelaClean14[[#This Row],[CidadeCPF]]</f>
        <v>Ninho da Águia</v>
      </c>
      <c r="G132" s="17" t="str">
        <f>TabelaClean14[[#This Row],[RegiaoCPF]]</f>
        <v>Vale</v>
      </c>
      <c r="H132" s="17" t="str">
        <f>_xlfn.XLOOKUP(TabelaClean14[[#This Row],[cpf]],TabelaDirty[cpfclean],TabelaDirty[cidade])</f>
        <v>Ninho da Águia</v>
      </c>
      <c r="I132" s="17" t="str">
        <f>_xlfn.XLOOKUP(TabelaClean14[[#This Row],[cpf]],TabelaDirty[cpfclean],TabelaDirty[regiao])</f>
        <v>vale</v>
      </c>
      <c r="J132" s="17" t="str">
        <f>PROPER(TabelaClean14[[#This Row],[Coluna1]])</f>
        <v>Vale</v>
      </c>
      <c r="K132" s="17" t="e">
        <f>_xlfn.TEXTBEFORE(TabelaClean14[[#This Row],[CidadeCPF]]," | ")</f>
        <v>#N/A</v>
      </c>
      <c r="L132" s="24" t="e">
        <f>_xlfn.TEXTAFTER(TabelaClean14[[#This Row],[CidadeCPF]]," | ")</f>
        <v>#N/A</v>
      </c>
      <c r="M132" s="26">
        <v>19900</v>
      </c>
      <c r="N132" s="78">
        <v>49500</v>
      </c>
      <c r="O132" s="1" t="s">
        <v>51</v>
      </c>
      <c r="P13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2" s="84">
        <v>27</v>
      </c>
      <c r="R132" s="1" t="str" cm="1">
        <f t="array" ref="R132">_xlfn.IFS(TabelaClean14[[#This Row],[qtde_batalhas]]&lt;=10,"Baixo",TabelaClean14[[#This Row],[qtde_batalhas]]&gt;=26,"Alto",TabelaClean14[[#This Row],[qtde_batalhas]]&lt;26,"Médio")</f>
        <v>Alto</v>
      </c>
      <c r="S132" s="1" t="str">
        <f>IF(AND(TabelaClean14[[#This Row],[nivel_risco]]="Alto",TabelaClean14[[#This Row],[flag_inadimplente]]="Sim"),"Arriscado","Ok")</f>
        <v>Arriscado</v>
      </c>
      <c r="T132" s="26">
        <v>23000</v>
      </c>
      <c r="U132" s="81">
        <f>IF(AND(TabelaClean14[[#This Row],[analise_risco]]="Arriscado",TabelaClean14[[#This Row],[analise_credito]]="Reprovado"),0,IF(TabelaClean14[[#This Row],[status]]="Ativo",TabelaClean14[[#This Row],[valor_solicitado]]*1.08,0))</f>
        <v>24840</v>
      </c>
      <c r="W132" s="1"/>
      <c r="Y132" t="s">
        <v>90</v>
      </c>
      <c r="Z132" t="str">
        <f t="shared" ref="Z132:Z195" si="2">PROPER(Y132)</f>
        <v>Terras Da Coroa</v>
      </c>
      <c r="AE132" t="s">
        <v>787</v>
      </c>
      <c r="AF132" t="str">
        <f>TEXT(AE132,"000\.000\.000\-00")</f>
        <v>000.000.080-00</v>
      </c>
      <c r="AH132" s="15" t="s">
        <v>691</v>
      </c>
      <c r="AI132" t="e" cm="1" vm="1">
        <f t="array" aca="1" ref="AI132" ca="1">_xlfn.TEXTSPLIT(AH132," | ")</f>
        <v>#VALUE!</v>
      </c>
      <c r="AJ132" s="22">
        <v>28600</v>
      </c>
      <c r="AK132">
        <v>28600</v>
      </c>
      <c r="AM132" s="21"/>
      <c r="AN132" t="s">
        <v>809</v>
      </c>
      <c r="AO132" t="s">
        <v>809</v>
      </c>
      <c r="AQ132" t="s">
        <v>141</v>
      </c>
      <c r="AZ132" s="38" t="s">
        <v>514</v>
      </c>
      <c r="BA132" t="s">
        <v>141</v>
      </c>
      <c r="BB132" s="26">
        <v>19900</v>
      </c>
      <c r="BC132" s="81">
        <f>IF(AND(TabelaClean14[[#This Row],[analise_risco]]="Arriscado",TabelaClean14[[#This Row],[analise_credito]]="Reprovado"),0,IF(TabelaClean14[[#This Row],[status]]="Ativo",TabelaClean14[[#This Row],[valor_solicitado]]*1.08,0))</f>
        <v>24840</v>
      </c>
    </row>
    <row r="133" spans="1:55">
      <c r="A133" s="24" t="s">
        <v>76</v>
      </c>
      <c r="B133" s="17" t="s">
        <v>424</v>
      </c>
      <c r="C133" s="25" t="s">
        <v>896</v>
      </c>
      <c r="D133" s="54">
        <v>65</v>
      </c>
      <c r="E133" s="30">
        <v>22337</v>
      </c>
      <c r="F133" s="24" t="str">
        <f>TabelaClean14[[#This Row],[CidadeCPF]]</f>
        <v>Castelo Negro</v>
      </c>
      <c r="G133" s="17" t="str">
        <f>TabelaClean14[[#This Row],[RegiaoCPF]]</f>
        <v>Norte</v>
      </c>
      <c r="H133" s="17" t="str">
        <f>_xlfn.XLOOKUP(TabelaClean14[[#This Row],[cpf]],TabelaDirty[cpfclean],TabelaDirty[cidade])</f>
        <v>Castelo Negro</v>
      </c>
      <c r="I133" s="17" t="str">
        <f>_xlfn.XLOOKUP(TabelaClean14[[#This Row],[cpf]],TabelaDirty[cpfclean],TabelaDirty[regiao])</f>
        <v>Norte</v>
      </c>
      <c r="J133" s="17" t="str">
        <f>PROPER(TabelaClean14[[#This Row],[Coluna1]])</f>
        <v>Norte</v>
      </c>
      <c r="K133" s="17" t="e">
        <f>_xlfn.TEXTBEFORE(TabelaClean14[[#This Row],[CidadeCPF]]," | ")</f>
        <v>#N/A</v>
      </c>
      <c r="L133" s="24" t="e">
        <f>_xlfn.TEXTAFTER(TabelaClean14[[#This Row],[CidadeCPF]]," | ")</f>
        <v>#N/A</v>
      </c>
      <c r="M133" s="26">
        <v>3800</v>
      </c>
      <c r="N133" s="78">
        <v>49500</v>
      </c>
      <c r="O133" s="1" t="s">
        <v>50</v>
      </c>
      <c r="P13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3" s="84">
        <v>16</v>
      </c>
      <c r="R133" s="1" t="str" cm="1">
        <f t="array" ref="R133">_xlfn.IFS(TabelaClean14[[#This Row],[qtde_batalhas]]&lt;=10,"Baixo",TabelaClean14[[#This Row],[qtde_batalhas]]&gt;=26,"Alto",TabelaClean14[[#This Row],[qtde_batalhas]]&lt;26,"Médio")</f>
        <v>Médio</v>
      </c>
      <c r="S133" s="1" t="str">
        <f>IF(AND(TabelaClean14[[#This Row],[nivel_risco]]="Alto",TabelaClean14[[#This Row],[flag_inadimplente]]="Sim"),"Arriscado","Ok")</f>
        <v>Ok</v>
      </c>
      <c r="T133" s="26">
        <v>15500</v>
      </c>
      <c r="U133" s="81">
        <f>IF(AND(TabelaClean14[[#This Row],[analise_risco]]="Arriscado",TabelaClean14[[#This Row],[analise_credito]]="Reprovado"),0,IF(TabelaClean14[[#This Row],[status]]="Ativo",TabelaClean14[[#This Row],[valor_solicitado]]*1.08,0))</f>
        <v>16740</v>
      </c>
      <c r="W133" s="1"/>
      <c r="Y133" t="s">
        <v>296</v>
      </c>
      <c r="Z133" t="str">
        <f t="shared" si="2"/>
        <v>Dorne</v>
      </c>
      <c r="AE133" t="s">
        <v>326</v>
      </c>
      <c r="AF133" t="str">
        <f>TEXT(AE133,"000\.000\.000\-00")</f>
        <v>000.000.081-00</v>
      </c>
      <c r="AH133" s="15" t="s">
        <v>154</v>
      </c>
      <c r="AJ133" s="22">
        <v>8900</v>
      </c>
      <c r="AK133">
        <v>8900</v>
      </c>
      <c r="AM133" s="20">
        <v>19500</v>
      </c>
      <c r="AN133">
        <v>19500</v>
      </c>
      <c r="AO133">
        <v>19500</v>
      </c>
      <c r="AQ133" t="s">
        <v>154</v>
      </c>
      <c r="AZ133" s="39" t="s">
        <v>879</v>
      </c>
      <c r="BA133" t="s">
        <v>154</v>
      </c>
      <c r="BB133" s="26">
        <v>3800</v>
      </c>
      <c r="BC133" s="81">
        <f>IF(AND(TabelaClean14[[#This Row],[analise_risco]]="Arriscado",TabelaClean14[[#This Row],[analise_credito]]="Reprovado"),0,IF(TabelaClean14[[#This Row],[status]]="Ativo",TabelaClean14[[#This Row],[valor_solicitado]]*1.08,0))</f>
        <v>16740</v>
      </c>
    </row>
    <row r="134" spans="1:55">
      <c r="A134" s="24" t="s">
        <v>76</v>
      </c>
      <c r="B134" s="17" t="s">
        <v>731</v>
      </c>
      <c r="C134" s="25" t="s">
        <v>732</v>
      </c>
      <c r="D134" s="54">
        <v>67</v>
      </c>
      <c r="E134" s="30">
        <v>21522</v>
      </c>
      <c r="F134" s="24" t="str">
        <f>TabelaClean14[[#This Row],[CidadeCPF]]</f>
        <v>Solar do Entardecer</v>
      </c>
      <c r="G134" s="17" t="str">
        <f>TabelaClean14[[#This Row],[RegiaoCPF]]</f>
        <v>Terras Da Tempestade</v>
      </c>
      <c r="H134" s="17" t="str">
        <f>_xlfn.XLOOKUP(TabelaClean14[[#This Row],[cpf]],TabelaDirty[cpfclean],TabelaDirty[cidade])</f>
        <v>Solar do Entardecer</v>
      </c>
      <c r="I134" s="17" t="str">
        <f>_xlfn.XLOOKUP(TabelaClean14[[#This Row],[cpf]],TabelaDirty[cpfclean],TabelaDirty[regiao])</f>
        <v>Terras Da Tempestade</v>
      </c>
      <c r="J134" s="17" t="str">
        <f>PROPER(TabelaClean14[[#This Row],[Coluna1]])</f>
        <v>Terras Da Tempestade</v>
      </c>
      <c r="K134" s="17" t="e">
        <f>_xlfn.TEXTBEFORE(TabelaClean14[[#This Row],[CidadeCPF]]," | ")</f>
        <v>#N/A</v>
      </c>
      <c r="L134" s="24" t="e">
        <f>_xlfn.TEXTAFTER(TabelaClean14[[#This Row],[CidadeCPF]]," | ")</f>
        <v>#N/A</v>
      </c>
      <c r="M134" s="26">
        <v>11300</v>
      </c>
      <c r="N134" s="78">
        <v>49500</v>
      </c>
      <c r="O134" s="1" t="s">
        <v>50</v>
      </c>
      <c r="P13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4" s="84">
        <v>12</v>
      </c>
      <c r="R134" s="1" t="str" cm="1">
        <f t="array" ref="R134">_xlfn.IFS(TabelaClean14[[#This Row],[qtde_batalhas]]&lt;=10,"Baixo",TabelaClean14[[#This Row],[qtde_batalhas]]&gt;=26,"Alto",TabelaClean14[[#This Row],[qtde_batalhas]]&lt;26,"Médio")</f>
        <v>Médio</v>
      </c>
      <c r="S134" s="1" t="str">
        <f>IF(AND(TabelaClean14[[#This Row],[nivel_risco]]="Alto",TabelaClean14[[#This Row],[flag_inadimplente]]="Sim"),"Arriscado","Ok")</f>
        <v>Ok</v>
      </c>
      <c r="T134" s="26">
        <v>34500</v>
      </c>
      <c r="U134" s="81">
        <f>IF(AND(TabelaClean14[[#This Row],[analise_risco]]="Arriscado",TabelaClean14[[#This Row],[analise_credito]]="Reprovado"),0,IF(TabelaClean14[[#This Row],[status]]="Ativo",TabelaClean14[[#This Row],[valor_solicitado]]*1.08,0))</f>
        <v>37260</v>
      </c>
      <c r="W134" s="1"/>
      <c r="Y134" t="s">
        <v>809</v>
      </c>
      <c r="Z134" t="str">
        <f t="shared" si="2"/>
        <v>Null</v>
      </c>
      <c r="AE134" t="s">
        <v>718</v>
      </c>
      <c r="AF134" t="str">
        <f>TEXT(AE134,"000\.000\.000\-00")</f>
        <v>000.000.085-00</v>
      </c>
      <c r="AH134" s="15" t="s">
        <v>127</v>
      </c>
      <c r="AJ134" s="22" t="s">
        <v>276</v>
      </c>
      <c r="AK134">
        <v>20000</v>
      </c>
      <c r="AM134" s="21">
        <v>20500</v>
      </c>
      <c r="AN134">
        <v>20500</v>
      </c>
      <c r="AO134">
        <v>20500</v>
      </c>
      <c r="AQ134" t="s">
        <v>89</v>
      </c>
      <c r="AZ134" s="38" t="s">
        <v>493</v>
      </c>
      <c r="BA134" t="s">
        <v>89</v>
      </c>
      <c r="BB134" s="26">
        <v>11300</v>
      </c>
      <c r="BC134" s="81">
        <f>IF(AND(TabelaClean14[[#This Row],[analise_risco]]="Arriscado",TabelaClean14[[#This Row],[analise_credito]]="Reprovado"),0,IF(TabelaClean14[[#This Row],[status]]="Ativo",TabelaClean14[[#This Row],[valor_solicitado]]*1.08,0))</f>
        <v>37260</v>
      </c>
    </row>
    <row r="135" spans="1:55">
      <c r="A135" s="24" t="s">
        <v>76</v>
      </c>
      <c r="B135" s="17" t="s">
        <v>610</v>
      </c>
      <c r="C135" s="25" t="s">
        <v>611</v>
      </c>
      <c r="D135" s="54" t="s">
        <v>809</v>
      </c>
      <c r="E135" s="30">
        <v>39230</v>
      </c>
      <c r="F135" s="24" t="str">
        <f>TabelaClean14[[#This Row],[CidadeCPF]]</f>
        <v>Jardim de Cima</v>
      </c>
      <c r="G135" s="17" t="str">
        <f>TabelaClean14[[#This Row],[RegiaoCPF]]</f>
        <v>Campina</v>
      </c>
      <c r="H135" s="17" t="str">
        <f>_xlfn.XLOOKUP(TabelaClean14[[#This Row],[cpf]],TabelaDirty[cpfclean],TabelaDirty[cidade])</f>
        <v>Jardim de Cima</v>
      </c>
      <c r="I135" s="17" t="str">
        <f>_xlfn.XLOOKUP(TabelaClean14[[#This Row],[cpf]],TabelaDirty[cpfclean],TabelaDirty[regiao])</f>
        <v>Campina</v>
      </c>
      <c r="J135" s="17" t="str">
        <f>PROPER(TabelaClean14[[#This Row],[Coluna1]])</f>
        <v>Campina</v>
      </c>
      <c r="K135" s="17" t="e">
        <f>_xlfn.TEXTBEFORE(TabelaClean14[[#This Row],[CidadeCPF]]," | ")</f>
        <v>#N/A</v>
      </c>
      <c r="L135" s="24" t="e">
        <f>_xlfn.TEXTAFTER(TabelaClean14[[#This Row],[CidadeCPF]]," | ")</f>
        <v>#N/A</v>
      </c>
      <c r="M135" s="26">
        <v>18000</v>
      </c>
      <c r="N135" s="78">
        <v>49500</v>
      </c>
      <c r="O135" s="1" t="s">
        <v>50</v>
      </c>
      <c r="P13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5" s="84">
        <v>25</v>
      </c>
      <c r="R135" s="1" t="str" cm="1">
        <f t="array" ref="R135">_xlfn.IFS(TabelaClean14[[#This Row],[qtde_batalhas]]&lt;=10,"Baixo",TabelaClean14[[#This Row],[qtde_batalhas]]&gt;=26,"Alto",TabelaClean14[[#This Row],[qtde_batalhas]]&lt;26,"Médio")</f>
        <v>Médio</v>
      </c>
      <c r="S135" s="1" t="str">
        <f>IF(AND(TabelaClean14[[#This Row],[nivel_risco]]="Alto",TabelaClean14[[#This Row],[flag_inadimplente]]="Sim"),"Arriscado","Ok")</f>
        <v>Ok</v>
      </c>
      <c r="T135" s="26">
        <v>46500</v>
      </c>
      <c r="U135" s="81">
        <f>IF(AND(TabelaClean14[[#This Row],[analise_risco]]="Arriscado",TabelaClean14[[#This Row],[analise_credito]]="Reprovado"),0,IF(TabelaClean14[[#This Row],[status]]="Ativo",TabelaClean14[[#This Row],[valor_solicitado]]*1.08,0))</f>
        <v>50220</v>
      </c>
      <c r="W135" s="1"/>
      <c r="Y135" t="s">
        <v>809</v>
      </c>
      <c r="Z135" t="str">
        <f t="shared" si="2"/>
        <v>Null</v>
      </c>
      <c r="AE135" t="s">
        <v>380</v>
      </c>
      <c r="AF135" t="str">
        <f>TEXT(AE135,"000\.000\.000\-00")</f>
        <v>000.000.087-00</v>
      </c>
      <c r="AH135" s="15" t="s">
        <v>162</v>
      </c>
      <c r="AJ135" s="22">
        <v>12200</v>
      </c>
      <c r="AK135">
        <v>12200</v>
      </c>
      <c r="AM135" s="20" t="s">
        <v>309</v>
      </c>
      <c r="AN135" t="s">
        <v>809</v>
      </c>
      <c r="AO135" t="s">
        <v>809</v>
      </c>
      <c r="AQ135" t="s">
        <v>154</v>
      </c>
      <c r="AZ135" s="39" t="s">
        <v>590</v>
      </c>
      <c r="BA135" t="s">
        <v>154</v>
      </c>
      <c r="BB135" s="26">
        <v>18000</v>
      </c>
      <c r="BC135" s="81">
        <f>IF(AND(TabelaClean14[[#This Row],[analise_risco]]="Arriscado",TabelaClean14[[#This Row],[analise_credito]]="Reprovado"),0,IF(TabelaClean14[[#This Row],[status]]="Ativo",TabelaClean14[[#This Row],[valor_solicitado]]*1.08,0))</f>
        <v>50220</v>
      </c>
    </row>
    <row r="136" spans="1:55">
      <c r="A136" s="24" t="s">
        <v>812</v>
      </c>
      <c r="B136" s="17" t="s">
        <v>786</v>
      </c>
      <c r="C136" s="25" t="s">
        <v>897</v>
      </c>
      <c r="D136" s="54">
        <v>61</v>
      </c>
      <c r="E136" s="30">
        <v>23834</v>
      </c>
      <c r="F136" s="25" t="s">
        <v>215</v>
      </c>
      <c r="G136" s="25" t="s">
        <v>149</v>
      </c>
      <c r="H136" s="24">
        <v>9100</v>
      </c>
      <c r="I136" s="24">
        <v>49000</v>
      </c>
      <c r="J136" s="24" t="s">
        <v>50</v>
      </c>
      <c r="K136" s="24"/>
      <c r="L136" s="24"/>
      <c r="M136" s="26">
        <v>48000</v>
      </c>
      <c r="N136" s="78">
        <v>49000</v>
      </c>
      <c r="O136" s="1" t="s">
        <v>50</v>
      </c>
      <c r="P13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136" s="76" t="str" cm="1">
        <f t="array" ref="R136">_xlfn.IFS(TabelaClean14[[#This Row],[qtde_batalhas]]&lt;=10,"Baixo",TabelaClean14[[#This Row],[qtde_batalhas]]&gt;=26,"Alto",TabelaClean14[[#This Row],[qtde_batalhas]]&lt;26,"Médio")</f>
        <v>Baixo</v>
      </c>
      <c r="S136" s="76" t="str">
        <f>IF(AND(TabelaClean14[[#This Row],[nivel_risco]]="Alto",TabelaClean14[[#This Row],[flag_inadimplente]]="Sim"),"Arriscado","Ok")</f>
        <v>Ok</v>
      </c>
      <c r="T136" s="26">
        <v>48000</v>
      </c>
      <c r="U13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36" s="1"/>
      <c r="Y136" t="s">
        <v>122</v>
      </c>
      <c r="Z136" t="str">
        <f t="shared" si="2"/>
        <v>Essos</v>
      </c>
      <c r="AE136" t="s">
        <v>337</v>
      </c>
      <c r="AF136" t="str">
        <f>TEXT(AE136,"000\.000\.000\-00")</f>
        <v>000.000.088-00</v>
      </c>
      <c r="AH136" s="15" t="s">
        <v>83</v>
      </c>
      <c r="AJ136" s="22">
        <v>10700</v>
      </c>
      <c r="AK136">
        <v>10700</v>
      </c>
      <c r="AM136" s="21">
        <v>9000</v>
      </c>
      <c r="AN136">
        <v>9000</v>
      </c>
      <c r="AO136">
        <v>9000</v>
      </c>
      <c r="AQ136" t="s">
        <v>148</v>
      </c>
      <c r="AZ136" s="38" t="s">
        <v>480</v>
      </c>
      <c r="BA136" t="s">
        <v>148</v>
      </c>
      <c r="BB136" s="26">
        <v>48000</v>
      </c>
      <c r="BC13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37" spans="1:55">
      <c r="A137" s="24" t="s">
        <v>76</v>
      </c>
      <c r="B137" s="17" t="s">
        <v>573</v>
      </c>
      <c r="C137" s="25" t="s">
        <v>574</v>
      </c>
      <c r="D137" s="54">
        <v>35</v>
      </c>
      <c r="E137" s="30">
        <v>33309</v>
      </c>
      <c r="F137" s="24" t="str">
        <f>TabelaClean14[[#This Row],[CidadeCPF]]</f>
        <v>Correrrio</v>
      </c>
      <c r="G137" s="17" t="str">
        <f>TabelaClean14[[#This Row],[RegiaoCPF]]</f>
        <v>Terras Fluviais</v>
      </c>
      <c r="H137" s="17" t="str">
        <f>_xlfn.XLOOKUP(TabelaClean14[[#This Row],[cpf]],TabelaDirty[cpfclean],TabelaDirty[cidade])</f>
        <v>Correrrio</v>
      </c>
      <c r="I137" s="17" t="str">
        <f>_xlfn.XLOOKUP(TabelaClean14[[#This Row],[cpf]],TabelaDirty[cpfclean],TabelaDirty[regiao])</f>
        <v>Terras Fluviais</v>
      </c>
      <c r="J137" s="17" t="str">
        <f>PROPER(TabelaClean14[[#This Row],[Coluna1]])</f>
        <v>Terras Fluviais</v>
      </c>
      <c r="K137" s="17" t="e">
        <f>_xlfn.TEXTBEFORE(TabelaClean14[[#This Row],[CidadeCPF]]," | ")</f>
        <v>#N/A</v>
      </c>
      <c r="L137" s="24" t="e">
        <f>_xlfn.TEXTAFTER(TabelaClean14[[#This Row],[CidadeCPF]]," | ")</f>
        <v>#N/A</v>
      </c>
      <c r="M137" s="26">
        <v>28500</v>
      </c>
      <c r="N137" s="78">
        <v>48500</v>
      </c>
      <c r="O137" s="1" t="s">
        <v>50</v>
      </c>
      <c r="P13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7" s="84">
        <v>24</v>
      </c>
      <c r="R137" s="1" t="str" cm="1">
        <f t="array" ref="R137">_xlfn.IFS(TabelaClean14[[#This Row],[qtde_batalhas]]&lt;=10,"Baixo",TabelaClean14[[#This Row],[qtde_batalhas]]&gt;=26,"Alto",TabelaClean14[[#This Row],[qtde_batalhas]]&lt;26,"Médio")</f>
        <v>Médio</v>
      </c>
      <c r="S137" s="1" t="str">
        <f>IF(AND(TabelaClean14[[#This Row],[nivel_risco]]="Alto",TabelaClean14[[#This Row],[flag_inadimplente]]="Sim"),"Arriscado","Ok")</f>
        <v>Ok</v>
      </c>
      <c r="T137" s="26">
        <v>80500</v>
      </c>
      <c r="U137" s="81">
        <f>IF(AND(TabelaClean14[[#This Row],[analise_risco]]="Arriscado",TabelaClean14[[#This Row],[analise_credito]]="Reprovado"),0,IF(TabelaClean14[[#This Row],[status]]="Ativo",TabelaClean14[[#This Row],[valor_solicitado]]*1.08,0))</f>
        <v>86940</v>
      </c>
      <c r="W137" s="1"/>
      <c r="Y137" t="s">
        <v>809</v>
      </c>
      <c r="Z137" t="str">
        <f t="shared" si="2"/>
        <v>Null</v>
      </c>
      <c r="AE137" t="s">
        <v>145</v>
      </c>
      <c r="AF137" t="str">
        <f>TEXT(AE137,"000\.000\.000\-00")</f>
        <v>000.000.090-00</v>
      </c>
      <c r="AH137" s="15" t="s">
        <v>154</v>
      </c>
      <c r="AJ137" s="22">
        <v>27300</v>
      </c>
      <c r="AK137">
        <v>27300</v>
      </c>
      <c r="AM137" s="20">
        <v>48500</v>
      </c>
      <c r="AN137">
        <v>48500</v>
      </c>
      <c r="AO137">
        <v>48500</v>
      </c>
      <c r="AQ137" t="s">
        <v>172</v>
      </c>
      <c r="AZ137" s="39" t="s">
        <v>335</v>
      </c>
      <c r="BA137" t="s">
        <v>172</v>
      </c>
      <c r="BB137" s="26">
        <v>28500</v>
      </c>
      <c r="BC137" s="81">
        <f>IF(AND(TabelaClean14[[#This Row],[analise_risco]]="Arriscado",TabelaClean14[[#This Row],[analise_credito]]="Reprovado"),0,IF(TabelaClean14[[#This Row],[status]]="Ativo",TabelaClean14[[#This Row],[valor_solicitado]]*1.08,0))</f>
        <v>86940</v>
      </c>
    </row>
    <row r="138" spans="1:55">
      <c r="A138" s="24" t="s">
        <v>81</v>
      </c>
      <c r="B138" s="17" t="s">
        <v>447</v>
      </c>
      <c r="C138" s="25" t="s">
        <v>448</v>
      </c>
      <c r="D138" s="54">
        <v>63</v>
      </c>
      <c r="E138" s="30">
        <v>23119</v>
      </c>
      <c r="F138" s="24" t="str">
        <f>TabelaClean14[[#This Row],[CidadeCPF]]</f>
        <v>Ninho da Águia</v>
      </c>
      <c r="G138" s="17" t="str">
        <f>TabelaClean14[[#This Row],[RegiaoCPF]]</f>
        <v>Vale</v>
      </c>
      <c r="H138" s="17" t="str">
        <f>_xlfn.XLOOKUP(TabelaClean14[[#This Row],[cpf]],TabelaDirty[cpfclean],TabelaDirty[cidade])</f>
        <v>Ninho da Águia</v>
      </c>
      <c r="I138" s="17" t="str">
        <f>_xlfn.XLOOKUP(TabelaClean14[[#This Row],[cpf]],TabelaDirty[cpfclean],TabelaDirty[regiao])</f>
        <v>vale</v>
      </c>
      <c r="J138" s="17" t="str">
        <f>PROPER(TabelaClean14[[#This Row],[Coluna1]])</f>
        <v>Vale</v>
      </c>
      <c r="K138" s="17" t="e">
        <f>_xlfn.TEXTBEFORE(TabelaClean14[[#This Row],[CidadeCPF]]," | ")</f>
        <v>#N/A</v>
      </c>
      <c r="L138" s="24" t="e">
        <f>_xlfn.TEXTAFTER(TabelaClean14[[#This Row],[CidadeCPF]]," | ")</f>
        <v>#N/A</v>
      </c>
      <c r="M138" s="26">
        <v>9300</v>
      </c>
      <c r="N138" s="78">
        <v>48500</v>
      </c>
      <c r="O138" s="1" t="s">
        <v>50</v>
      </c>
      <c r="P13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8" s="84">
        <v>28</v>
      </c>
      <c r="R138" s="1" t="str" cm="1">
        <f t="array" ref="R138">_xlfn.IFS(TabelaClean14[[#This Row],[qtde_batalhas]]&lt;=10,"Baixo",TabelaClean14[[#This Row],[qtde_batalhas]]&gt;=26,"Alto",TabelaClean14[[#This Row],[qtde_batalhas]]&lt;26,"Médio")</f>
        <v>Alto</v>
      </c>
      <c r="S138" s="1" t="str">
        <f>IF(AND(TabelaClean14[[#This Row],[nivel_risco]]="Alto",TabelaClean14[[#This Row],[flag_inadimplente]]="Sim"),"Arriscado","Ok")</f>
        <v>Ok</v>
      </c>
      <c r="T138" s="26">
        <v>20000</v>
      </c>
      <c r="U13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38" s="1"/>
      <c r="Y138" t="s">
        <v>809</v>
      </c>
      <c r="Z138" t="str">
        <f t="shared" si="2"/>
        <v>Null</v>
      </c>
      <c r="AE138" t="s">
        <v>312</v>
      </c>
      <c r="AF138" t="str">
        <f>TEXT(AE138,"000\.000\.000\-00")</f>
        <v>000.000.091-00</v>
      </c>
      <c r="AH138" s="15" t="s">
        <v>83</v>
      </c>
      <c r="AJ138" s="22">
        <v>6100</v>
      </c>
      <c r="AK138">
        <v>6100</v>
      </c>
      <c r="AM138" s="21">
        <v>40000</v>
      </c>
      <c r="AN138">
        <v>40000</v>
      </c>
      <c r="AO138">
        <v>40000</v>
      </c>
      <c r="AQ138" t="s">
        <v>112</v>
      </c>
      <c r="AZ138" s="38" t="s">
        <v>885</v>
      </c>
      <c r="BA138" t="s">
        <v>112</v>
      </c>
      <c r="BB138" s="26">
        <v>9300</v>
      </c>
      <c r="BC13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39" spans="1:55">
      <c r="A139" s="24" t="s">
        <v>76</v>
      </c>
      <c r="B139" s="17" t="s">
        <v>644</v>
      </c>
      <c r="C139" s="25" t="s">
        <v>645</v>
      </c>
      <c r="D139" s="54">
        <v>65</v>
      </c>
      <c r="E139" s="30">
        <v>22297</v>
      </c>
      <c r="F139" s="24" t="str">
        <f>TabelaClean14[[#This Row],[CidadeCPF]]</f>
        <v>Lannisporto</v>
      </c>
      <c r="G139" s="17" t="str">
        <f>TabelaClean14[[#This Row],[RegiaoCPF]]</f>
        <v>Oeste</v>
      </c>
      <c r="H139" s="17" t="str">
        <f>_xlfn.XLOOKUP(TabelaClean14[[#This Row],[cpf]],TabelaDirty[cpfclean],TabelaDirty[cidade])</f>
        <v>Lannisporto</v>
      </c>
      <c r="I139" s="17" t="str">
        <f>_xlfn.XLOOKUP(TabelaClean14[[#This Row],[cpf]],TabelaDirty[cpfclean],TabelaDirty[regiao])</f>
        <v>Oeste</v>
      </c>
      <c r="J139" s="17" t="str">
        <f>PROPER(TabelaClean14[[#This Row],[Coluna1]])</f>
        <v>Oeste</v>
      </c>
      <c r="K139" s="17" t="e">
        <f>_xlfn.TEXTBEFORE(TabelaClean14[[#This Row],[CidadeCPF]]," | ")</f>
        <v>#N/A</v>
      </c>
      <c r="L139" s="24" t="e">
        <f>_xlfn.TEXTAFTER(TabelaClean14[[#This Row],[CidadeCPF]]," | ")</f>
        <v>#N/A</v>
      </c>
      <c r="M139" s="26">
        <v>27300</v>
      </c>
      <c r="N139" s="78">
        <v>48500</v>
      </c>
      <c r="O139" s="1" t="s">
        <v>50</v>
      </c>
      <c r="P13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39" s="84">
        <v>29</v>
      </c>
      <c r="R139" s="1" t="str" cm="1">
        <f t="array" ref="R139">_xlfn.IFS(TabelaClean14[[#This Row],[qtde_batalhas]]&lt;=10,"Baixo",TabelaClean14[[#This Row],[qtde_batalhas]]&gt;=26,"Alto",TabelaClean14[[#This Row],[qtde_batalhas]]&lt;26,"Médio")</f>
        <v>Alto</v>
      </c>
      <c r="S139" s="1" t="str">
        <f>IF(AND(TabelaClean14[[#This Row],[nivel_risco]]="Alto",TabelaClean14[[#This Row],[flag_inadimplente]]="Sim"),"Arriscado","Ok")</f>
        <v>Ok</v>
      </c>
      <c r="T139" s="26">
        <v>94000</v>
      </c>
      <c r="U139" s="81">
        <f>IF(AND(TabelaClean14[[#This Row],[analise_risco]]="Arriscado",TabelaClean14[[#This Row],[analise_credito]]="Reprovado"),0,IF(TabelaClean14[[#This Row],[status]]="Ativo",TabelaClean14[[#This Row],[valor_solicitado]]*1.08,0))</f>
        <v>101520</v>
      </c>
      <c r="W139" s="1"/>
      <c r="Y139" t="s">
        <v>122</v>
      </c>
      <c r="Z139" t="str">
        <f t="shared" si="2"/>
        <v>Essos</v>
      </c>
      <c r="AE139" t="s">
        <v>290</v>
      </c>
      <c r="AF139" t="str">
        <f>TEXT(AE139,"000\.000\.000\-00")</f>
        <v>000.000.092-00</v>
      </c>
      <c r="AH139" s="15" t="s">
        <v>141</v>
      </c>
      <c r="AJ139" s="22">
        <v>9300</v>
      </c>
      <c r="AK139">
        <v>9300</v>
      </c>
      <c r="AM139" s="20">
        <v>35000</v>
      </c>
      <c r="AN139">
        <v>35000</v>
      </c>
      <c r="AO139">
        <v>35000</v>
      </c>
      <c r="AQ139" t="s">
        <v>169</v>
      </c>
      <c r="AZ139" s="39" t="s">
        <v>404</v>
      </c>
      <c r="BA139" t="s">
        <v>169</v>
      </c>
      <c r="BB139" s="26">
        <v>27300</v>
      </c>
      <c r="BC139" s="81">
        <f>IF(AND(TabelaClean14[[#This Row],[analise_risco]]="Arriscado",TabelaClean14[[#This Row],[analise_credito]]="Reprovado"),0,IF(TabelaClean14[[#This Row],[status]]="Ativo",TabelaClean14[[#This Row],[valor_solicitado]]*1.08,0))</f>
        <v>101520</v>
      </c>
    </row>
    <row r="140" spans="1:55">
      <c r="A140" s="24" t="s">
        <v>76</v>
      </c>
      <c r="B140" s="17" t="s">
        <v>898</v>
      </c>
      <c r="C140" s="25" t="s">
        <v>899</v>
      </c>
      <c r="D140" s="54">
        <v>40</v>
      </c>
      <c r="E140" s="30">
        <v>31458</v>
      </c>
      <c r="F140" s="25" t="s">
        <v>154</v>
      </c>
      <c r="G140" s="25" t="s">
        <v>142</v>
      </c>
      <c r="H140" s="24">
        <v>21300</v>
      </c>
      <c r="I140" s="24">
        <v>48500</v>
      </c>
      <c r="J140" s="24" t="s">
        <v>50</v>
      </c>
      <c r="K140" s="24">
        <v>44</v>
      </c>
      <c r="L140" s="24"/>
      <c r="M140" s="26">
        <v>62500</v>
      </c>
      <c r="N140" s="78">
        <v>48500</v>
      </c>
      <c r="O140" s="1" t="s">
        <v>50</v>
      </c>
      <c r="P14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0" s="84">
        <v>44</v>
      </c>
      <c r="R140" s="76" t="str" cm="1">
        <f t="array" ref="R140">_xlfn.IFS(TabelaClean14[[#This Row],[qtde_batalhas]]&lt;=10,"Baixo",TabelaClean14[[#This Row],[qtde_batalhas]]&gt;=26,"Alto",TabelaClean14[[#This Row],[qtde_batalhas]]&lt;26,"Médio")</f>
        <v>Alto</v>
      </c>
      <c r="S140" s="76" t="str">
        <f>IF(AND(TabelaClean14[[#This Row],[nivel_risco]]="Alto",TabelaClean14[[#This Row],[flag_inadimplente]]="Sim"),"Arriscado","Ok")</f>
        <v>Ok</v>
      </c>
      <c r="T140" s="26">
        <v>62500</v>
      </c>
      <c r="U140" s="81">
        <f>IF(AND(TabelaClean14[[#This Row],[analise_risco]]="Arriscado",TabelaClean14[[#This Row],[analise_credito]]="Reprovado"),0,IF(TabelaClean14[[#This Row],[status]]="Ativo",TabelaClean14[[#This Row],[valor_solicitado]]*1.08,0))</f>
        <v>67500</v>
      </c>
      <c r="W140" s="1"/>
      <c r="Y140" t="s">
        <v>809</v>
      </c>
      <c r="Z140" t="str">
        <f t="shared" si="2"/>
        <v>Null</v>
      </c>
      <c r="AE140" t="s">
        <v>631</v>
      </c>
      <c r="AF140" t="str">
        <f>TEXT(AE140,"000\.000\.000\-00")</f>
        <v>000.000.093-00</v>
      </c>
      <c r="AH140" s="15" t="s">
        <v>112</v>
      </c>
      <c r="AJ140" s="22">
        <v>18900</v>
      </c>
      <c r="AK140">
        <v>18900</v>
      </c>
      <c r="AM140" s="21">
        <v>1000</v>
      </c>
      <c r="AN140">
        <v>1000</v>
      </c>
      <c r="AO140">
        <v>1000</v>
      </c>
      <c r="AQ140" t="s">
        <v>103</v>
      </c>
      <c r="AZ140" s="38" t="s">
        <v>887</v>
      </c>
      <c r="BA140" t="s">
        <v>103</v>
      </c>
      <c r="BB140" s="26">
        <v>62500</v>
      </c>
      <c r="BC140" s="81">
        <f>IF(AND(TabelaClean14[[#This Row],[analise_risco]]="Arriscado",TabelaClean14[[#This Row],[analise_credito]]="Reprovado"),0,IF(TabelaClean14[[#This Row],[status]]="Ativo",TabelaClean14[[#This Row],[valor_solicitado]]*1.08,0))</f>
        <v>67500</v>
      </c>
    </row>
    <row r="141" spans="1:55">
      <c r="A141" s="24" t="s">
        <v>76</v>
      </c>
      <c r="B141" s="17" t="s">
        <v>144</v>
      </c>
      <c r="C141" s="25" t="s">
        <v>145</v>
      </c>
      <c r="D141" s="54">
        <v>32</v>
      </c>
      <c r="E141" s="30">
        <v>34457</v>
      </c>
      <c r="F141" s="24" t="str">
        <f>TabelaClean14[[#This Row],[CidadeCPF]]</f>
        <v>Correrrio</v>
      </c>
      <c r="G141" s="17" t="str">
        <f>TabelaClean14[[#This Row],[RegiaoCPF]]</f>
        <v>Terras Fluviais</v>
      </c>
      <c r="H141" s="17" t="str">
        <f>_xlfn.XLOOKUP(TabelaClean14[[#This Row],[cpf]],TabelaDirty[cpfclean],TabelaDirty[cidade])</f>
        <v>Correrrio</v>
      </c>
      <c r="I141" s="17" t="str">
        <f>_xlfn.XLOOKUP(TabelaClean14[[#This Row],[cpf]],TabelaDirty[cpfclean],TabelaDirty[regiao])</f>
        <v>TERRAS FLUVIAIS</v>
      </c>
      <c r="J141" s="17" t="str">
        <f>PROPER(TabelaClean14[[#This Row],[Coluna1]])</f>
        <v>Terras Fluviais</v>
      </c>
      <c r="K141" s="17" t="e">
        <f>_xlfn.TEXTBEFORE(TabelaClean14[[#This Row],[CidadeCPF]]," | ")</f>
        <v>#N/A</v>
      </c>
      <c r="L141" s="24" t="e">
        <f>_xlfn.TEXTAFTER(TabelaClean14[[#This Row],[CidadeCPF]]," | ")</f>
        <v>#N/A</v>
      </c>
      <c r="M141" s="26">
        <v>21300</v>
      </c>
      <c r="N141" s="78">
        <v>48000</v>
      </c>
      <c r="O141" s="1" t="s">
        <v>50</v>
      </c>
      <c r="P14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1" s="84">
        <v>11</v>
      </c>
      <c r="R141" s="1" t="str" cm="1">
        <f t="array" ref="R141">_xlfn.IFS(TabelaClean14[[#This Row],[qtde_batalhas]]&lt;=10,"Baixo",TabelaClean14[[#This Row],[qtde_batalhas]]&gt;=26,"Alto",TabelaClean14[[#This Row],[qtde_batalhas]]&lt;26,"Médio")</f>
        <v>Médio</v>
      </c>
      <c r="S141" s="1" t="str">
        <f>IF(AND(TabelaClean14[[#This Row],[nivel_risco]]="Alto",TabelaClean14[[#This Row],[flag_inadimplente]]="Sim"),"Arriscado","Ok")</f>
        <v>Ok</v>
      </c>
      <c r="T141" s="26">
        <v>35000</v>
      </c>
      <c r="U141" s="81">
        <f>IF(AND(TabelaClean14[[#This Row],[analise_risco]]="Arriscado",TabelaClean14[[#This Row],[analise_credito]]="Reprovado"),0,IF(TabelaClean14[[#This Row],[status]]="Ativo",TabelaClean14[[#This Row],[valor_solicitado]]*1.08,0))</f>
        <v>37800</v>
      </c>
      <c r="W141" s="1"/>
      <c r="Y141" t="s">
        <v>183</v>
      </c>
      <c r="Z141" t="str">
        <f t="shared" si="2"/>
        <v>Dorne</v>
      </c>
      <c r="AE141" t="s">
        <v>419</v>
      </c>
      <c r="AF141" t="str">
        <f>TEXT(AE141,"000\.000\.000\-00")</f>
        <v>000.000.094-00</v>
      </c>
      <c r="AH141" s="14" t="s">
        <v>471</v>
      </c>
      <c r="AI141" t="e" cm="1" vm="1">
        <f t="array" aca="1" ref="AI141" ca="1">_xlfn.TEXTSPLIT(AH141," | ")</f>
        <v>#VALUE!</v>
      </c>
      <c r="AJ141" s="22">
        <v>23200</v>
      </c>
      <c r="AK141">
        <v>23200</v>
      </c>
      <c r="AM141" s="20">
        <v>54500</v>
      </c>
      <c r="AN141">
        <v>54500</v>
      </c>
      <c r="AO141">
        <v>54500</v>
      </c>
      <c r="AQ141" t="s">
        <v>89</v>
      </c>
      <c r="AZ141" s="39" t="s">
        <v>888</v>
      </c>
      <c r="BA141" t="s">
        <v>89</v>
      </c>
      <c r="BB141" s="26">
        <v>21300</v>
      </c>
      <c r="BC141" s="81">
        <f>IF(AND(TabelaClean14[[#This Row],[analise_risco]]="Arriscado",TabelaClean14[[#This Row],[analise_credito]]="Reprovado"),0,IF(TabelaClean14[[#This Row],[status]]="Ativo",TabelaClean14[[#This Row],[valor_solicitado]]*1.08,0))</f>
        <v>37800</v>
      </c>
    </row>
    <row r="142" spans="1:55">
      <c r="A142" s="24" t="s">
        <v>81</v>
      </c>
      <c r="B142" s="17" t="s">
        <v>597</v>
      </c>
      <c r="C142" s="25" t="s">
        <v>598</v>
      </c>
      <c r="D142" s="54">
        <v>69</v>
      </c>
      <c r="E142" s="30">
        <v>20785</v>
      </c>
      <c r="F142" s="24" t="str">
        <f>TabelaClean14[[#This Row],[CidadeCPF]]</f>
        <v>Castelo Negro</v>
      </c>
      <c r="G142" s="17" t="str">
        <f>TabelaClean14[[#This Row],[RegiaoCPF]]</f>
        <v>Norte</v>
      </c>
      <c r="H142" s="17" t="str">
        <f>_xlfn.XLOOKUP(TabelaClean14[[#This Row],[cpf]],TabelaDirty[cpfclean],TabelaDirty[cidade])</f>
        <v>Castelo Negro</v>
      </c>
      <c r="I142" s="17" t="str">
        <f>_xlfn.XLOOKUP(TabelaClean14[[#This Row],[cpf]],TabelaDirty[cpfclean],TabelaDirty[regiao])</f>
        <v>NORTE</v>
      </c>
      <c r="J142" s="17" t="str">
        <f>PROPER(TabelaClean14[[#This Row],[Coluna1]])</f>
        <v>Norte</v>
      </c>
      <c r="K142" s="17" t="e">
        <f>_xlfn.TEXTBEFORE(TabelaClean14[[#This Row],[CidadeCPF]]," | ")</f>
        <v>#N/A</v>
      </c>
      <c r="L142" s="24" t="e">
        <f>_xlfn.TEXTAFTER(TabelaClean14[[#This Row],[CidadeCPF]]," | ")</f>
        <v>#N/A</v>
      </c>
      <c r="M142" s="26">
        <v>16000</v>
      </c>
      <c r="N142" s="78">
        <v>48000</v>
      </c>
      <c r="O142" s="1" t="s">
        <v>50</v>
      </c>
      <c r="P14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2" s="84">
        <v>29</v>
      </c>
      <c r="R142" s="1" t="str" cm="1">
        <f t="array" ref="R142">_xlfn.IFS(TabelaClean14[[#This Row],[qtde_batalhas]]&lt;=10,"Baixo",TabelaClean14[[#This Row],[qtde_batalhas]]&gt;=26,"Alto",TabelaClean14[[#This Row],[qtde_batalhas]]&lt;26,"Médio")</f>
        <v>Alto</v>
      </c>
      <c r="S142" s="1" t="str">
        <f>IF(AND(TabelaClean14[[#This Row],[nivel_risco]]="Alto",TabelaClean14[[#This Row],[flag_inadimplente]]="Sim"),"Arriscado","Ok")</f>
        <v>Ok</v>
      </c>
      <c r="T142" s="26">
        <v>74500</v>
      </c>
      <c r="U14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42" s="1"/>
      <c r="Y142" t="s">
        <v>809</v>
      </c>
      <c r="Z142" t="str">
        <f t="shared" si="2"/>
        <v>Null</v>
      </c>
      <c r="AE142" t="s">
        <v>668</v>
      </c>
      <c r="AF142" t="str">
        <f>TEXT(AE142,"000\.000\.000\-00")</f>
        <v>000.000.095-00</v>
      </c>
      <c r="AH142" s="15" t="s">
        <v>215</v>
      </c>
      <c r="AJ142" s="22">
        <v>10000</v>
      </c>
      <c r="AK142">
        <v>10000</v>
      </c>
      <c r="AM142" s="21">
        <v>25500</v>
      </c>
      <c r="AN142">
        <v>25500</v>
      </c>
      <c r="AO142">
        <v>25500</v>
      </c>
      <c r="AQ142" t="s">
        <v>89</v>
      </c>
      <c r="AZ142" s="38" t="s">
        <v>330</v>
      </c>
      <c r="BA142" t="s">
        <v>89</v>
      </c>
      <c r="BB142" s="26">
        <v>16000</v>
      </c>
      <c r="BC14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43" spans="1:55">
      <c r="A143" s="24" t="s">
        <v>76</v>
      </c>
      <c r="B143" s="17" t="s">
        <v>900</v>
      </c>
      <c r="C143" s="25" t="s">
        <v>362</v>
      </c>
      <c r="D143" s="54">
        <v>31</v>
      </c>
      <c r="E143" s="30">
        <v>34852</v>
      </c>
      <c r="F143" s="17" t="str">
        <f>TabelaClean14[[#This Row],[CidadeClean]]</f>
        <v>Fosso Cailin</v>
      </c>
      <c r="G143" s="17" t="str">
        <f>TabelaClean14[[#This Row],[RegiaoClean]]</f>
        <v>Norte</v>
      </c>
      <c r="H143" s="17" t="str">
        <f>_xlfn.XLOOKUP(TabelaClean14[[#This Row],[cpf]],TabelaDirty[cpfclean],TabelaDirty[cidade])</f>
        <v>Fosso Cailin | Norte</v>
      </c>
      <c r="I143" s="17">
        <f>_xlfn.XLOOKUP(TabelaClean14[[#This Row],[cpf]],TabelaDirty[cpfclean],TabelaDirty[regiao])</f>
        <v>0</v>
      </c>
      <c r="J143" s="17" t="s">
        <v>142</v>
      </c>
      <c r="K143" s="17" t="str">
        <f>_xlfn.TEXTBEFORE(TabelaClean14[[#This Row],[CidadeCPF]]," | ")</f>
        <v>Fosso Cailin</v>
      </c>
      <c r="L143" s="24" t="str">
        <f>_xlfn.TEXTAFTER(TabelaClean14[[#This Row],[CidadeCPF]]," | ")</f>
        <v>Norte</v>
      </c>
      <c r="M143" s="26">
        <v>20500</v>
      </c>
      <c r="N143" s="78">
        <v>47500</v>
      </c>
      <c r="O143" s="1" t="s">
        <v>50</v>
      </c>
      <c r="P14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3" s="84">
        <v>11</v>
      </c>
      <c r="R143" s="1" t="str" cm="1">
        <f t="array" ref="R143">_xlfn.IFS(TabelaClean14[[#This Row],[qtde_batalhas]]&lt;=10,"Baixo",TabelaClean14[[#This Row],[qtde_batalhas]]&gt;=26,"Alto",TabelaClean14[[#This Row],[qtde_batalhas]]&lt;26,"Médio")</f>
        <v>Médio</v>
      </c>
      <c r="S143" s="1" t="str">
        <f>IF(AND(TabelaClean14[[#This Row],[nivel_risco]]="Alto",TabelaClean14[[#This Row],[flag_inadimplente]]="Sim"),"Arriscado","Ok")</f>
        <v>Ok</v>
      </c>
      <c r="T143" s="26">
        <v>18500</v>
      </c>
      <c r="U143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  <c r="W143" s="1"/>
      <c r="Y143" t="s">
        <v>809</v>
      </c>
      <c r="Z143" t="str">
        <f t="shared" si="2"/>
        <v>Null</v>
      </c>
      <c r="AE143" t="s">
        <v>475</v>
      </c>
      <c r="AF143" t="str">
        <f>TEXT(AE143,"000\.000\.000\-00")</f>
        <v>000.000.097-00</v>
      </c>
      <c r="AH143" s="15" t="s">
        <v>162</v>
      </c>
      <c r="AJ143" s="22">
        <v>24900</v>
      </c>
      <c r="AK143">
        <v>24900</v>
      </c>
      <c r="AM143" s="20">
        <v>0</v>
      </c>
      <c r="AN143">
        <v>0</v>
      </c>
      <c r="AO143">
        <v>0</v>
      </c>
      <c r="AQ143" t="s">
        <v>112</v>
      </c>
      <c r="AZ143" s="39" t="s">
        <v>738</v>
      </c>
      <c r="BA143" t="s">
        <v>112</v>
      </c>
      <c r="BB143" s="26">
        <v>20500</v>
      </c>
      <c r="BC143" s="81">
        <f>IF(AND(TabelaClean14[[#This Row],[analise_risco]]="Arriscado",TabelaClean14[[#This Row],[analise_credito]]="Reprovado"),0,IF(TabelaClean14[[#This Row],[status]]="Ativo",TabelaClean14[[#This Row],[valor_solicitado]]*1.08,0))</f>
        <v>19980</v>
      </c>
    </row>
    <row r="144" spans="1:55">
      <c r="A144" s="24" t="s">
        <v>81</v>
      </c>
      <c r="B144" s="17" t="s">
        <v>901</v>
      </c>
      <c r="C144" s="25" t="s">
        <v>742</v>
      </c>
      <c r="D144" s="54">
        <v>73</v>
      </c>
      <c r="E144" s="30" t="s">
        <v>809</v>
      </c>
      <c r="F144" s="24" t="str">
        <f>TabelaClean14[[#This Row],[CidadeCPF]]</f>
        <v>Castelo Negro</v>
      </c>
      <c r="G144" s="17" t="str">
        <f>TabelaClean14[[#This Row],[RegiaoCPF]]</f>
        <v>Norte</v>
      </c>
      <c r="H144" s="17" t="str">
        <f>_xlfn.XLOOKUP(TabelaClean14[[#This Row],[cpf]],TabelaDirty[cpfclean],TabelaDirty[cidade])</f>
        <v>Castelo Negro</v>
      </c>
      <c r="I144" s="17" t="str">
        <f>_xlfn.XLOOKUP(TabelaClean14[[#This Row],[cpf]],TabelaDirty[cpfclean],TabelaDirty[regiao])</f>
        <v>Norte</v>
      </c>
      <c r="J144" s="17" t="str">
        <f>PROPER(TabelaClean14[[#This Row],[Coluna1]])</f>
        <v>Norte</v>
      </c>
      <c r="K144" s="17" t="e">
        <f>_xlfn.TEXTBEFORE(TabelaClean14[[#This Row],[CidadeCPF]]," | ")</f>
        <v>#N/A</v>
      </c>
      <c r="L144" s="24" t="e">
        <f>_xlfn.TEXTAFTER(TabelaClean14[[#This Row],[CidadeCPF]]," | ")</f>
        <v>#N/A</v>
      </c>
      <c r="M144" s="26">
        <v>19900</v>
      </c>
      <c r="N144" s="78">
        <v>47000</v>
      </c>
      <c r="O144" s="1" t="s">
        <v>50</v>
      </c>
      <c r="P14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4" s="84">
        <v>19</v>
      </c>
      <c r="R144" s="1" t="str" cm="1">
        <f t="array" ref="R144">_xlfn.IFS(TabelaClean14[[#This Row],[qtde_batalhas]]&lt;=10,"Baixo",TabelaClean14[[#This Row],[qtde_batalhas]]&gt;=26,"Alto",TabelaClean14[[#This Row],[qtde_batalhas]]&lt;26,"Médio")</f>
        <v>Médio</v>
      </c>
      <c r="S144" s="1" t="str">
        <f>IF(AND(TabelaClean14[[#This Row],[nivel_risco]]="Alto",TabelaClean14[[#This Row],[flag_inadimplente]]="Sim"),"Arriscado","Ok")</f>
        <v>Ok</v>
      </c>
      <c r="T144" s="26">
        <v>20500</v>
      </c>
      <c r="U14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44" s="1"/>
      <c r="Y144" t="s">
        <v>809</v>
      </c>
      <c r="Z144" t="str">
        <f t="shared" si="2"/>
        <v>Null</v>
      </c>
      <c r="AE144" t="s">
        <v>621</v>
      </c>
      <c r="AF144" t="str">
        <f>TEXT(AE144,"000\.000\.000\-00")</f>
        <v>000.000.100-00</v>
      </c>
      <c r="AH144" s="15" t="s">
        <v>705</v>
      </c>
      <c r="AI144" t="e" cm="1" vm="1">
        <f t="array" aca="1" ref="AI144" ca="1">_xlfn.TEXTSPLIT(AH144," | ")</f>
        <v>#VALUE!</v>
      </c>
      <c r="AJ144" s="22">
        <v>12400</v>
      </c>
      <c r="AK144">
        <v>12400</v>
      </c>
      <c r="AL144" t="s">
        <v>139</v>
      </c>
      <c r="AM144" s="21">
        <v>0</v>
      </c>
      <c r="AN144">
        <v>0</v>
      </c>
      <c r="AO144">
        <v>0</v>
      </c>
      <c r="AQ144" t="s">
        <v>79</v>
      </c>
      <c r="AZ144" s="38" t="s">
        <v>552</v>
      </c>
      <c r="BA144" t="s">
        <v>79</v>
      </c>
      <c r="BB144" s="26">
        <v>19900</v>
      </c>
      <c r="BC14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45" spans="1:55">
      <c r="A145" s="24" t="s">
        <v>76</v>
      </c>
      <c r="B145" s="17" t="s">
        <v>747</v>
      </c>
      <c r="C145" s="25" t="s">
        <v>748</v>
      </c>
      <c r="D145" s="54">
        <v>54</v>
      </c>
      <c r="E145" s="30">
        <v>26230</v>
      </c>
      <c r="F145" s="24" t="str">
        <f>TabelaClean14[[#This Row],[CidadeCPF]]</f>
        <v>Fosso Cailin</v>
      </c>
      <c r="G145" s="17" t="str">
        <f>TabelaClean14[[#This Row],[RegiaoCPF]]</f>
        <v>Norte</v>
      </c>
      <c r="H145" s="17" t="str">
        <f>_xlfn.XLOOKUP(TabelaClean14[[#This Row],[cpf]],TabelaDirty[cpfclean],TabelaDirty[cidade])</f>
        <v>Fosso Cailin</v>
      </c>
      <c r="I145" s="17" t="str">
        <f>_xlfn.XLOOKUP(TabelaClean14[[#This Row],[cpf]],TabelaDirty[cpfclean],TabelaDirty[regiao])</f>
        <v>NORTE</v>
      </c>
      <c r="J145" s="17" t="str">
        <f>PROPER(TabelaClean14[[#This Row],[Coluna1]])</f>
        <v>Norte</v>
      </c>
      <c r="K145" s="17" t="e">
        <f>_xlfn.TEXTBEFORE(TabelaClean14[[#This Row],[CidadeCPF]]," | ")</f>
        <v>#N/A</v>
      </c>
      <c r="L145" s="24" t="e">
        <f>_xlfn.TEXTAFTER(TabelaClean14[[#This Row],[CidadeCPF]]," | ")</f>
        <v>#N/A</v>
      </c>
      <c r="M145" s="26">
        <v>18700</v>
      </c>
      <c r="N145" s="78">
        <v>46000</v>
      </c>
      <c r="O145" s="1" t="s">
        <v>51</v>
      </c>
      <c r="P14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5" s="84">
        <v>4</v>
      </c>
      <c r="R145" s="1" t="str" cm="1">
        <f t="array" ref="R145">_xlfn.IFS(TabelaClean14[[#This Row],[qtde_batalhas]]&lt;=10,"Baixo",TabelaClean14[[#This Row],[qtde_batalhas]]&gt;=26,"Alto",TabelaClean14[[#This Row],[qtde_batalhas]]&lt;26,"Médio")</f>
        <v>Baixo</v>
      </c>
      <c r="S145" s="1" t="str">
        <f>IF(AND(TabelaClean14[[#This Row],[nivel_risco]]="Alto",TabelaClean14[[#This Row],[flag_inadimplente]]="Sim"),"Arriscado","Ok")</f>
        <v>Ok</v>
      </c>
      <c r="T145" s="26">
        <v>27500</v>
      </c>
      <c r="U145" s="81">
        <f>IF(AND(TabelaClean14[[#This Row],[analise_risco]]="Arriscado",TabelaClean14[[#This Row],[analise_credito]]="Reprovado"),0,IF(TabelaClean14[[#This Row],[status]]="Ativo",TabelaClean14[[#This Row],[valor_solicitado]]*1.08,0))</f>
        <v>29700.000000000004</v>
      </c>
      <c r="W145" s="1"/>
      <c r="Y145" t="s">
        <v>809</v>
      </c>
      <c r="Z145" t="str">
        <f t="shared" si="2"/>
        <v>Null</v>
      </c>
      <c r="AE145" t="s">
        <v>695</v>
      </c>
      <c r="AF145" t="str">
        <f>TEXT(AE145,"000\.000\.000\-00")</f>
        <v>000.000.101-00</v>
      </c>
      <c r="AH145" s="15" t="s">
        <v>183</v>
      </c>
      <c r="AJ145" s="22" t="s">
        <v>97</v>
      </c>
      <c r="AK145">
        <v>10400</v>
      </c>
      <c r="AM145" s="20">
        <v>8500</v>
      </c>
      <c r="AN145">
        <v>8500</v>
      </c>
      <c r="AO145">
        <v>8500</v>
      </c>
      <c r="AQ145" t="s">
        <v>103</v>
      </c>
      <c r="AZ145" s="39" t="s">
        <v>510</v>
      </c>
      <c r="BA145" t="s">
        <v>103</v>
      </c>
      <c r="BB145" s="26">
        <v>18700</v>
      </c>
      <c r="BC145" s="81">
        <f>IF(AND(TabelaClean14[[#This Row],[analise_risco]]="Arriscado",TabelaClean14[[#This Row],[analise_credito]]="Reprovado"),0,IF(TabelaClean14[[#This Row],[status]]="Ativo",TabelaClean14[[#This Row],[valor_solicitado]]*1.08,0))</f>
        <v>29700.000000000004</v>
      </c>
    </row>
    <row r="146" spans="1:55">
      <c r="A146" s="24" t="s">
        <v>76</v>
      </c>
      <c r="B146" s="17" t="s">
        <v>332</v>
      </c>
      <c r="C146" s="25" t="s">
        <v>333</v>
      </c>
      <c r="D146" s="54">
        <v>60</v>
      </c>
      <c r="E146" s="30">
        <v>24082</v>
      </c>
      <c r="F146" s="24" t="str">
        <f>TabelaClean14[[#This Row],[CidadeCPF]]</f>
        <v>Atalaia da Água Cinzenta</v>
      </c>
      <c r="G146" s="17" t="str">
        <f>TabelaClean14[[#This Row],[RegiaoCPF]]</f>
        <v>Gargalo</v>
      </c>
      <c r="H146" s="17" t="str">
        <f>_xlfn.XLOOKUP(TabelaClean14[[#This Row],[cpf]],TabelaDirty[cpfclean],TabelaDirty[cidade])</f>
        <v>Atalaia da Água Cinzenta</v>
      </c>
      <c r="I146" s="17" t="str">
        <f>_xlfn.XLOOKUP(TabelaClean14[[#This Row],[cpf]],TabelaDirty[cpfclean],TabelaDirty[regiao])</f>
        <v>gargalo</v>
      </c>
      <c r="J146" s="17" t="str">
        <f>PROPER(TabelaClean14[[#This Row],[Coluna1]])</f>
        <v>Gargalo</v>
      </c>
      <c r="K146" s="17" t="e">
        <f>_xlfn.TEXTBEFORE(TabelaClean14[[#This Row],[CidadeCPF]]," | ")</f>
        <v>#N/A</v>
      </c>
      <c r="L146" s="24" t="e">
        <f>_xlfn.TEXTAFTER(TabelaClean14[[#This Row],[CidadeCPF]]," | ")</f>
        <v>#N/A</v>
      </c>
      <c r="M146" s="26">
        <v>13800</v>
      </c>
      <c r="N146" s="78">
        <v>45500</v>
      </c>
      <c r="O146" s="1" t="s">
        <v>50</v>
      </c>
      <c r="P14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6" s="84">
        <v>30</v>
      </c>
      <c r="R146" s="1" t="str" cm="1">
        <f t="array" ref="R146">_xlfn.IFS(TabelaClean14[[#This Row],[qtde_batalhas]]&lt;=10,"Baixo",TabelaClean14[[#This Row],[qtde_batalhas]]&gt;=26,"Alto",TabelaClean14[[#This Row],[qtde_batalhas]]&lt;26,"Médio")</f>
        <v>Alto</v>
      </c>
      <c r="S146" s="1" t="str">
        <f>IF(AND(TabelaClean14[[#This Row],[nivel_risco]]="Alto",TabelaClean14[[#This Row],[flag_inadimplente]]="Sim"),"Arriscado","Ok")</f>
        <v>Ok</v>
      </c>
      <c r="T146" s="26">
        <v>17500</v>
      </c>
      <c r="U146" s="81">
        <f>IF(AND(TabelaClean14[[#This Row],[analise_risco]]="Arriscado",TabelaClean14[[#This Row],[analise_credito]]="Reprovado"),0,IF(TabelaClean14[[#This Row],[status]]="Ativo",TabelaClean14[[#This Row],[valor_solicitado]]*1.08,0))</f>
        <v>18900</v>
      </c>
      <c r="W146" s="1"/>
      <c r="Y146" t="s">
        <v>809</v>
      </c>
      <c r="Z146" t="str">
        <f t="shared" si="2"/>
        <v>Null</v>
      </c>
      <c r="AE146" t="s">
        <v>670</v>
      </c>
      <c r="AF146" t="str">
        <f>TEXT(AE146,"000\.000\.000\-00")</f>
        <v>000.000.105-00</v>
      </c>
      <c r="AH146" s="15" t="s">
        <v>127</v>
      </c>
      <c r="AJ146" s="22">
        <v>28400</v>
      </c>
      <c r="AK146">
        <v>28400</v>
      </c>
      <c r="AM146" s="21">
        <v>38500</v>
      </c>
      <c r="AN146">
        <v>38500</v>
      </c>
      <c r="AO146">
        <v>38500</v>
      </c>
      <c r="AQ146" t="s">
        <v>103</v>
      </c>
      <c r="AZ146" s="38" t="s">
        <v>387</v>
      </c>
      <c r="BA146" t="s">
        <v>103</v>
      </c>
      <c r="BB146" s="26">
        <v>13800</v>
      </c>
      <c r="BC146" s="81">
        <f>IF(AND(TabelaClean14[[#This Row],[analise_risco]]="Arriscado",TabelaClean14[[#This Row],[analise_credito]]="Reprovado"),0,IF(TabelaClean14[[#This Row],[status]]="Ativo",TabelaClean14[[#This Row],[valor_solicitado]]*1.08,0))</f>
        <v>18900</v>
      </c>
    </row>
    <row r="147" spans="1:55">
      <c r="A147" s="24" t="s">
        <v>81</v>
      </c>
      <c r="B147" s="17" t="s">
        <v>579</v>
      </c>
      <c r="C147" s="25" t="s">
        <v>580</v>
      </c>
      <c r="D147" s="54">
        <v>31</v>
      </c>
      <c r="E147" s="30">
        <v>34885</v>
      </c>
      <c r="F147" s="24" t="str">
        <f>TabelaClean14[[#This Row],[CidadeCPF]]</f>
        <v>Pedra do Dragão</v>
      </c>
      <c r="G147" s="17" t="str">
        <f>TabelaClean14[[#This Row],[RegiaoCPF]]</f>
        <v>Terras Da Coroa</v>
      </c>
      <c r="H147" s="17" t="str">
        <f>_xlfn.XLOOKUP(TabelaClean14[[#This Row],[cpf]],TabelaDirty[cpfclean],TabelaDirty[cidade])</f>
        <v>Pedra do Dragão</v>
      </c>
      <c r="I147" s="17" t="str">
        <f>_xlfn.XLOOKUP(TabelaClean14[[#This Row],[cpf]],TabelaDirty[cpfclean],TabelaDirty[regiao])</f>
        <v>Terras da Coroa</v>
      </c>
      <c r="J147" s="17" t="str">
        <f>PROPER(TabelaClean14[[#This Row],[Coluna1]])</f>
        <v>Terras Da Coroa</v>
      </c>
      <c r="K147" s="17" t="e">
        <f>_xlfn.TEXTBEFORE(TabelaClean14[[#This Row],[CidadeCPF]]," | ")</f>
        <v>#N/A</v>
      </c>
      <c r="L147" s="24" t="e">
        <f>_xlfn.TEXTAFTER(TabelaClean14[[#This Row],[CidadeCPF]]," | ")</f>
        <v>#N/A</v>
      </c>
      <c r="M147" s="26">
        <v>16400</v>
      </c>
      <c r="N147" s="78">
        <v>45500</v>
      </c>
      <c r="O147" s="1" t="s">
        <v>50</v>
      </c>
      <c r="P14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7" s="84">
        <v>6</v>
      </c>
      <c r="R147" s="1" t="str" cm="1">
        <f t="array" ref="R147">_xlfn.IFS(TabelaClean14[[#This Row],[qtde_batalhas]]&lt;=10,"Baixo",TabelaClean14[[#This Row],[qtde_batalhas]]&gt;=26,"Alto",TabelaClean14[[#This Row],[qtde_batalhas]]&lt;26,"Médio")</f>
        <v>Baixo</v>
      </c>
      <c r="S147" s="1" t="str">
        <f>IF(AND(TabelaClean14[[#This Row],[nivel_risco]]="Alto",TabelaClean14[[#This Row],[flag_inadimplente]]="Sim"),"Arriscado","Ok")</f>
        <v>Ok</v>
      </c>
      <c r="T147" s="26">
        <v>49500</v>
      </c>
      <c r="U14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47" s="1"/>
      <c r="Y147" t="s">
        <v>809</v>
      </c>
      <c r="Z147" t="str">
        <f t="shared" si="2"/>
        <v>Null</v>
      </c>
      <c r="AE147" t="s">
        <v>660</v>
      </c>
      <c r="AF147" t="str">
        <f>TEXT(AE147,"000\.000\.000\-00")</f>
        <v>000.000.106-00</v>
      </c>
      <c r="AH147" s="15" t="s">
        <v>172</v>
      </c>
      <c r="AM147" s="20">
        <v>0</v>
      </c>
      <c r="AN147">
        <v>0</v>
      </c>
      <c r="AO147">
        <v>0</v>
      </c>
      <c r="AQ147" t="s">
        <v>169</v>
      </c>
      <c r="AZ147" s="39" t="s">
        <v>647</v>
      </c>
      <c r="BA147" t="s">
        <v>169</v>
      </c>
      <c r="BB147" s="26">
        <v>16400</v>
      </c>
      <c r="BC14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48" spans="1:55">
      <c r="A148" s="24" t="s">
        <v>81</v>
      </c>
      <c r="B148" s="17" t="s">
        <v>482</v>
      </c>
      <c r="C148" s="25" t="s">
        <v>483</v>
      </c>
      <c r="D148" s="54">
        <v>30</v>
      </c>
      <c r="E148" s="30">
        <v>35213</v>
      </c>
      <c r="F148" s="17" t="str">
        <f>TabelaClean14[[#This Row],[CidadeClean]]</f>
        <v>Jardim de Cima</v>
      </c>
      <c r="G148" s="17" t="str">
        <f>TabelaClean14[[#This Row],[RegiaoClean]]</f>
        <v>Campina</v>
      </c>
      <c r="H148" s="17" t="str">
        <f>_xlfn.XLOOKUP(TabelaClean14[[#This Row],[cpf]],TabelaDirty[cpfclean],TabelaDirty[cidade])</f>
        <v>Jardim de Cima | Campina</v>
      </c>
      <c r="I148" s="17">
        <f>_xlfn.XLOOKUP(TabelaClean14[[#This Row],[cpf]],TabelaDirty[cpfclean],TabelaDirty[regiao])</f>
        <v>0</v>
      </c>
      <c r="J148" s="17" t="s">
        <v>149</v>
      </c>
      <c r="K148" s="17" t="str">
        <f>_xlfn.TEXTBEFORE(TabelaClean14[[#This Row],[CidadeCPF]]," | ")</f>
        <v>Jardim de Cima</v>
      </c>
      <c r="L148" s="24" t="str">
        <f>_xlfn.TEXTAFTER(TabelaClean14[[#This Row],[CidadeCPF]]," | ")</f>
        <v>Campina</v>
      </c>
      <c r="M148" s="26">
        <v>3900</v>
      </c>
      <c r="N148" s="78">
        <v>45000</v>
      </c>
      <c r="O148" s="1" t="s">
        <v>50</v>
      </c>
      <c r="P14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8" s="84">
        <v>34</v>
      </c>
      <c r="R148" s="1" t="str" cm="1">
        <f t="array" ref="R148">_xlfn.IFS(TabelaClean14[[#This Row],[qtde_batalhas]]&lt;=10,"Baixo",TabelaClean14[[#This Row],[qtde_batalhas]]&gt;=26,"Alto",TabelaClean14[[#This Row],[qtde_batalhas]]&lt;26,"Médio")</f>
        <v>Alto</v>
      </c>
      <c r="S148" s="1" t="str">
        <f>IF(AND(TabelaClean14[[#This Row],[nivel_risco]]="Alto",TabelaClean14[[#This Row],[flag_inadimplente]]="Sim"),"Arriscado","Ok")</f>
        <v>Ok</v>
      </c>
      <c r="T148" s="26">
        <v>41500</v>
      </c>
      <c r="U14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48" s="1"/>
      <c r="Y148" t="s">
        <v>809</v>
      </c>
      <c r="Z148" t="str">
        <f t="shared" si="2"/>
        <v>Null</v>
      </c>
      <c r="AE148" t="s">
        <v>780</v>
      </c>
      <c r="AF148" t="str">
        <f>TEXT(AE148,"000\.000\.000\-00")</f>
        <v>000.000.107-00</v>
      </c>
      <c r="AH148" s="15" t="s">
        <v>141</v>
      </c>
      <c r="AJ148" s="22">
        <v>12800</v>
      </c>
      <c r="AK148">
        <v>12800</v>
      </c>
      <c r="AM148" s="21">
        <v>76500</v>
      </c>
      <c r="AN148">
        <v>76500</v>
      </c>
      <c r="AO148">
        <v>76500</v>
      </c>
      <c r="AQ148" t="s">
        <v>121</v>
      </c>
      <c r="AZ148" s="38" t="s">
        <v>298</v>
      </c>
      <c r="BA148" t="s">
        <v>121</v>
      </c>
      <c r="BB148" s="26">
        <v>3900</v>
      </c>
      <c r="BC14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49" spans="1:55">
      <c r="A149" s="24" t="s">
        <v>76</v>
      </c>
      <c r="B149" s="17" t="s">
        <v>289</v>
      </c>
      <c r="C149" s="25" t="s">
        <v>290</v>
      </c>
      <c r="D149" s="54">
        <v>37</v>
      </c>
      <c r="E149" s="30">
        <v>32543</v>
      </c>
      <c r="F149" s="24" t="str">
        <f>TabelaClean14[[#This Row],[CidadeCPF]]</f>
        <v>Vilavelha</v>
      </c>
      <c r="G149" s="17" t="str">
        <f>TabelaClean14[[#This Row],[RegiaoCPF]]</f>
        <v>Campina</v>
      </c>
      <c r="H149" s="17" t="str">
        <f>_xlfn.XLOOKUP(TabelaClean14[[#This Row],[cpf]],TabelaDirty[cpfclean],TabelaDirty[cidade])</f>
        <v>Vilavelha</v>
      </c>
      <c r="I149" s="17" t="str">
        <f>_xlfn.XLOOKUP(TabelaClean14[[#This Row],[cpf]],TabelaDirty[cpfclean],TabelaDirty[regiao])</f>
        <v>Campina</v>
      </c>
      <c r="J149" s="17" t="str">
        <f>PROPER(TabelaClean14[[#This Row],[Coluna1]])</f>
        <v>Campina</v>
      </c>
      <c r="K149" s="17" t="e">
        <f>_xlfn.TEXTBEFORE(TabelaClean14[[#This Row],[CidadeCPF]]," | ")</f>
        <v>#N/A</v>
      </c>
      <c r="L149" s="24" t="e">
        <f>_xlfn.TEXTAFTER(TabelaClean14[[#This Row],[CidadeCPF]]," | ")</f>
        <v>#N/A</v>
      </c>
      <c r="M149" s="26">
        <v>29200</v>
      </c>
      <c r="N149" s="78">
        <v>45000</v>
      </c>
      <c r="O149" s="1" t="s">
        <v>50</v>
      </c>
      <c r="P14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49" s="84">
        <v>26</v>
      </c>
      <c r="R149" s="1" t="str" cm="1">
        <f t="array" ref="R149">_xlfn.IFS(TabelaClean14[[#This Row],[qtde_batalhas]]&lt;=10,"Baixo",TabelaClean14[[#This Row],[qtde_batalhas]]&gt;=26,"Alto",TabelaClean14[[#This Row],[qtde_batalhas]]&lt;26,"Médio")</f>
        <v>Alto</v>
      </c>
      <c r="S149" s="1" t="str">
        <f>IF(AND(TabelaClean14[[#This Row],[nivel_risco]]="Alto",TabelaClean14[[#This Row],[flag_inadimplente]]="Sim"),"Arriscado","Ok")</f>
        <v>Ok</v>
      </c>
      <c r="T149" s="26">
        <v>23500</v>
      </c>
      <c r="U149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  <c r="W149" s="1"/>
      <c r="Y149" t="s">
        <v>809</v>
      </c>
      <c r="Z149" t="str">
        <f t="shared" si="2"/>
        <v>Null</v>
      </c>
      <c r="AE149" t="s">
        <v>714</v>
      </c>
      <c r="AF149" t="str">
        <f>TEXT(AE149,"000\.000\.000\-00")</f>
        <v>000.000.109-00</v>
      </c>
      <c r="AH149" s="15" t="s">
        <v>223</v>
      </c>
      <c r="AJ149" s="22">
        <v>2600</v>
      </c>
      <c r="AK149">
        <v>2600</v>
      </c>
      <c r="AM149" s="20" t="s">
        <v>92</v>
      </c>
      <c r="AN149" t="s">
        <v>809</v>
      </c>
      <c r="AO149" t="s">
        <v>809</v>
      </c>
      <c r="AQ149" t="s">
        <v>148</v>
      </c>
      <c r="AZ149" s="39" t="s">
        <v>893</v>
      </c>
      <c r="BA149" t="s">
        <v>148</v>
      </c>
      <c r="BB149" s="26">
        <v>29200</v>
      </c>
      <c r="BC149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</row>
    <row r="150" spans="1:55">
      <c r="A150" s="24" t="s">
        <v>76</v>
      </c>
      <c r="B150" s="17" t="s">
        <v>289</v>
      </c>
      <c r="C150" s="25" t="s">
        <v>902</v>
      </c>
      <c r="D150" s="54">
        <f>_xlfn.XLOOKUP(TabelaClean14[[#This Row],[nome]],Base_Dirty!B:B,Base_Dirty!E:E)</f>
        <v>37</v>
      </c>
      <c r="E150" s="51">
        <f>_xlfn.XLOOKUP(TabelaClean14[[#This Row],[nome]],Base_Dirty!$B:$B,Base_Dirty!F:F)</f>
        <v>32543</v>
      </c>
      <c r="F150" s="17" t="s">
        <v>148</v>
      </c>
      <c r="G150" s="17" t="s">
        <v>149</v>
      </c>
      <c r="H150" s="24" t="s">
        <v>149</v>
      </c>
      <c r="I150" s="24">
        <v>29200</v>
      </c>
      <c r="J150" s="24">
        <v>45000</v>
      </c>
      <c r="K150" s="24" t="s">
        <v>50</v>
      </c>
      <c r="L150" s="24">
        <v>26</v>
      </c>
      <c r="M150" s="23">
        <f>_xlfn.XLOOKUP(TabelaClean14[[#This Row],[nome]],Base_Dirty!$B:$B,Base_Dirty!I:I)</f>
        <v>29200</v>
      </c>
      <c r="N150" s="78">
        <f>_xlfn.XLOOKUP(TabelaClean14[[#This Row],[nome]],Base_Dirty!$B:$B,Base_Dirty!J:J)</f>
        <v>45000</v>
      </c>
      <c r="O150" s="79" t="s">
        <v>50</v>
      </c>
      <c r="P15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0" s="84">
        <f>_xlfn.XLOOKUP(TabelaClean14[[#This Row],[nome]],Base_Dirty!$B:$B,Base_Dirty!L:L)</f>
        <v>26</v>
      </c>
      <c r="R150" s="76" t="str" cm="1">
        <f t="array" ref="R150">_xlfn.IFS(TabelaClean14[[#This Row],[qtde_batalhas]]&lt;=10,"Baixo",TabelaClean14[[#This Row],[qtde_batalhas]]&gt;=26,"Alto",TabelaClean14[[#This Row],[qtde_batalhas]]&lt;26,"Médio")</f>
        <v>Alto</v>
      </c>
      <c r="S150" s="76" t="str">
        <f>IF(AND(TabelaClean14[[#This Row],[nivel_risco]]="Alto",TabelaClean14[[#This Row],[flag_inadimplente]]="Sim"),"Arriscado","Ok")</f>
        <v>Ok</v>
      </c>
      <c r="T150" s="26">
        <f>_xlfn.XLOOKUP(TabelaClean14[[#This Row],[nome]],Base_Dirty!$B:$B,Base_Dirty!O:O)</f>
        <v>23500</v>
      </c>
      <c r="U150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  <c r="W150" s="1"/>
      <c r="Y150" t="s">
        <v>142</v>
      </c>
      <c r="Z150" t="str">
        <f t="shared" si="2"/>
        <v>Norte</v>
      </c>
      <c r="AE150" t="s">
        <v>654</v>
      </c>
      <c r="AF150" t="str">
        <f>TEXT(AE150,"000\.000\.000\-00")</f>
        <v>000.000.110-00</v>
      </c>
      <c r="AH150" s="15" t="s">
        <v>112</v>
      </c>
      <c r="AJ150" s="22" t="s">
        <v>340</v>
      </c>
      <c r="AK150">
        <v>28800</v>
      </c>
      <c r="AM150" s="21">
        <v>16000</v>
      </c>
      <c r="AN150">
        <v>16000</v>
      </c>
      <c r="AO150">
        <v>16000</v>
      </c>
      <c r="AQ150" t="s">
        <v>223</v>
      </c>
      <c r="AZ150" s="38" t="s">
        <v>222</v>
      </c>
      <c r="BA150" t="s">
        <v>223</v>
      </c>
      <c r="BB150" s="23">
        <f>_xlfn.XLOOKUP(TabelaClean14[[#This Row],[nome]],Base_Dirty!$B:$B,Base_Dirty!AX:AX)</f>
        <v>0</v>
      </c>
      <c r="BC150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</row>
    <row r="151" spans="1:55">
      <c r="A151" s="24" t="s">
        <v>76</v>
      </c>
      <c r="B151" s="17" t="s">
        <v>289</v>
      </c>
      <c r="C151" s="25" t="s">
        <v>903</v>
      </c>
      <c r="D151" s="54">
        <f>_xlfn.XLOOKUP(TabelaClean14[[#This Row],[nome]],Base_Dirty!B:B,Base_Dirty!E:E)</f>
        <v>37</v>
      </c>
      <c r="E151" s="51">
        <f>_xlfn.XLOOKUP(TabelaClean14[[#This Row],[nome]],Base_Dirty!$B:$B,Base_Dirty!F:F)</f>
        <v>32543</v>
      </c>
      <c r="F151" s="17" t="s">
        <v>148</v>
      </c>
      <c r="G151" s="17" t="s">
        <v>149</v>
      </c>
      <c r="H151" s="24" t="s">
        <v>149</v>
      </c>
      <c r="I151" s="24">
        <v>29200</v>
      </c>
      <c r="J151" s="24">
        <v>45000</v>
      </c>
      <c r="K151" s="24" t="s">
        <v>50</v>
      </c>
      <c r="L151" s="24">
        <v>26</v>
      </c>
      <c r="M151" s="23">
        <f>_xlfn.XLOOKUP(TabelaClean14[[#This Row],[nome]],Base_Dirty!$B:$B,Base_Dirty!I:I)</f>
        <v>29200</v>
      </c>
      <c r="N151" s="78">
        <f>_xlfn.XLOOKUP(TabelaClean14[[#This Row],[nome]],Base_Dirty!$B:$B,Base_Dirty!J:J)</f>
        <v>45000</v>
      </c>
      <c r="O151" s="79" t="s">
        <v>50</v>
      </c>
      <c r="P15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1" s="84">
        <f>_xlfn.XLOOKUP(TabelaClean14[[#This Row],[nome]],Base_Dirty!$B:$B,Base_Dirty!L:L)</f>
        <v>26</v>
      </c>
      <c r="R151" s="76" t="str" cm="1">
        <f t="array" ref="R151">_xlfn.IFS(TabelaClean14[[#This Row],[qtde_batalhas]]&lt;=10,"Baixo",TabelaClean14[[#This Row],[qtde_batalhas]]&gt;=26,"Alto",TabelaClean14[[#This Row],[qtde_batalhas]]&lt;26,"Médio")</f>
        <v>Alto</v>
      </c>
      <c r="S151" s="76" t="str">
        <f>IF(AND(TabelaClean14[[#This Row],[nivel_risco]]="Alto",TabelaClean14[[#This Row],[flag_inadimplente]]="Sim"),"Arriscado","Ok")</f>
        <v>Ok</v>
      </c>
      <c r="T151" s="26">
        <f>_xlfn.XLOOKUP(TabelaClean14[[#This Row],[nome]],Base_Dirty!$B:$B,Base_Dirty!O:O)</f>
        <v>23500</v>
      </c>
      <c r="U151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  <c r="W151" s="1"/>
      <c r="Y151" t="s">
        <v>809</v>
      </c>
      <c r="Z151" t="str">
        <f t="shared" si="2"/>
        <v>Null</v>
      </c>
      <c r="AE151" t="s">
        <v>633</v>
      </c>
      <c r="AF151" t="str">
        <f>TEXT(AE151,"000\.000\.000\-00")</f>
        <v>000.000.111-00</v>
      </c>
      <c r="AH151" s="15" t="s">
        <v>112</v>
      </c>
      <c r="AJ151" s="22">
        <v>14600</v>
      </c>
      <c r="AK151">
        <v>14600</v>
      </c>
      <c r="AM151" s="20">
        <v>18500</v>
      </c>
      <c r="AN151">
        <v>18500</v>
      </c>
      <c r="AO151">
        <v>18500</v>
      </c>
      <c r="AQ151" t="s">
        <v>154</v>
      </c>
      <c r="AZ151" s="39" t="s">
        <v>895</v>
      </c>
      <c r="BA151" t="s">
        <v>154</v>
      </c>
      <c r="BB151" s="23">
        <f>_xlfn.XLOOKUP(TabelaClean14[[#This Row],[nome]],Base_Dirty!$B:$B,Base_Dirty!AX:AX)</f>
        <v>0</v>
      </c>
      <c r="BC151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</row>
    <row r="152" spans="1:55">
      <c r="A152" s="24" t="s">
        <v>81</v>
      </c>
      <c r="B152" s="17" t="s">
        <v>119</v>
      </c>
      <c r="C152" s="25" t="s">
        <v>120</v>
      </c>
      <c r="D152" s="54">
        <v>61</v>
      </c>
      <c r="E152" s="30">
        <v>23667</v>
      </c>
      <c r="F152" s="24" t="str">
        <f>TabelaClean14[[#This Row],[CidadeCPF]]</f>
        <v>Meereen</v>
      </c>
      <c r="G152" s="17" t="str">
        <f>TabelaClean14[[#This Row],[RegiaoCPF]]</f>
        <v>Essos</v>
      </c>
      <c r="H152" s="17" t="str">
        <f>_xlfn.XLOOKUP(TabelaClean14[[#This Row],[cpf]],TabelaDirty[cpfclean],TabelaDirty[cidade])</f>
        <v>Meereen</v>
      </c>
      <c r="I152" s="17" t="str">
        <f>_xlfn.XLOOKUP(TabelaClean14[[#This Row],[cpf]],TabelaDirty[cpfclean],TabelaDirty[regiao])</f>
        <v>Essos</v>
      </c>
      <c r="J152" s="17" t="str">
        <f>PROPER(TabelaClean14[[#This Row],[Coluna1]])</f>
        <v>Essos</v>
      </c>
      <c r="K152" s="17" t="e">
        <f>_xlfn.TEXTBEFORE(TabelaClean14[[#This Row],[CidadeCPF]]," | ")</f>
        <v>#N/A</v>
      </c>
      <c r="L152" s="24" t="e">
        <f>_xlfn.TEXTAFTER(TabelaClean14[[#This Row],[CidadeCPF]]," | ")</f>
        <v>#N/A</v>
      </c>
      <c r="M152" s="26">
        <v>23000</v>
      </c>
      <c r="N152" s="78">
        <v>44500</v>
      </c>
      <c r="O152" s="1" t="s">
        <v>51</v>
      </c>
      <c r="P15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2" s="84">
        <v>32</v>
      </c>
      <c r="R152" s="1" t="str" cm="1">
        <f t="array" ref="R152">_xlfn.IFS(TabelaClean14[[#This Row],[qtde_batalhas]]&lt;=10,"Baixo",TabelaClean14[[#This Row],[qtde_batalhas]]&gt;=26,"Alto",TabelaClean14[[#This Row],[qtde_batalhas]]&lt;26,"Médio")</f>
        <v>Alto</v>
      </c>
      <c r="S152" s="1" t="str">
        <f>IF(AND(TabelaClean14[[#This Row],[nivel_risco]]="Alto",TabelaClean14[[#This Row],[flag_inadimplente]]="Sim"),"Arriscado","Ok")</f>
        <v>Arriscado</v>
      </c>
      <c r="T152" s="26">
        <v>2000</v>
      </c>
      <c r="U15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52" s="1"/>
      <c r="Y152" t="s">
        <v>149</v>
      </c>
      <c r="Z152" t="str">
        <f t="shared" si="2"/>
        <v>Campina</v>
      </c>
      <c r="AE152" t="s">
        <v>642</v>
      </c>
      <c r="AF152" t="str">
        <f>TEXT(AE152,"000\.000\.000\-00")</f>
        <v>000.000.112-00</v>
      </c>
      <c r="AH152" s="14" t="s">
        <v>237</v>
      </c>
      <c r="AI152" t="e" cm="1" vm="1">
        <f t="array" aca="1" ref="AI152" ca="1">_xlfn.TEXTSPLIT(AH152," | ")</f>
        <v>#VALUE!</v>
      </c>
      <c r="AJ152" s="22">
        <v>8200</v>
      </c>
      <c r="AK152">
        <v>8200</v>
      </c>
      <c r="AM152" s="21">
        <v>66000</v>
      </c>
      <c r="AN152">
        <v>66000</v>
      </c>
      <c r="AO152">
        <v>66000</v>
      </c>
      <c r="AQ152" t="s">
        <v>141</v>
      </c>
      <c r="AZ152" s="38" t="s">
        <v>896</v>
      </c>
      <c r="BA152" t="s">
        <v>141</v>
      </c>
      <c r="BB152" s="26">
        <v>23000</v>
      </c>
      <c r="BC15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53" spans="1:55">
      <c r="A153" s="24" t="s">
        <v>76</v>
      </c>
      <c r="B153" s="17" t="s">
        <v>542</v>
      </c>
      <c r="C153" s="25" t="s">
        <v>904</v>
      </c>
      <c r="D153" s="54">
        <v>49</v>
      </c>
      <c r="E153" s="30">
        <v>28330</v>
      </c>
      <c r="F153" s="24" t="str">
        <f>TabelaClean14[[#This Row],[CidadeCPF]]</f>
        <v>Braavos</v>
      </c>
      <c r="G153" s="17" t="str">
        <f>TabelaClean14[[#This Row],[RegiaoCPF]]</f>
        <v>Essos</v>
      </c>
      <c r="H153" s="17" t="str">
        <f>_xlfn.XLOOKUP(TabelaClean14[[#This Row],[cpf]],TabelaDirty[cpfclean],TabelaDirty[cidade])</f>
        <v>Braavos</v>
      </c>
      <c r="I153" s="17" t="str">
        <f>_xlfn.XLOOKUP(TabelaClean14[[#This Row],[cpf]],TabelaDirty[cpfclean],TabelaDirty[regiao])</f>
        <v>Essos</v>
      </c>
      <c r="J153" s="17" t="str">
        <f>PROPER(TabelaClean14[[#This Row],[Coluna1]])</f>
        <v>Essos</v>
      </c>
      <c r="K153" s="17" t="e">
        <f>_xlfn.TEXTBEFORE(TabelaClean14[[#This Row],[CidadeCPF]]," | ")</f>
        <v>#N/A</v>
      </c>
      <c r="L153" s="24" t="e">
        <f>_xlfn.TEXTAFTER(TabelaClean14[[#This Row],[CidadeCPF]]," | ")</f>
        <v>#N/A</v>
      </c>
      <c r="M153" s="26">
        <v>11500</v>
      </c>
      <c r="N153" s="78">
        <v>44500</v>
      </c>
      <c r="O153" s="1" t="s">
        <v>50</v>
      </c>
      <c r="P15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3" s="84">
        <v>45</v>
      </c>
      <c r="R153" s="1" t="str" cm="1">
        <f t="array" ref="R153">_xlfn.IFS(TabelaClean14[[#This Row],[qtde_batalhas]]&lt;=10,"Baixo",TabelaClean14[[#This Row],[qtde_batalhas]]&gt;=26,"Alto",TabelaClean14[[#This Row],[qtde_batalhas]]&lt;26,"Médio")</f>
        <v>Alto</v>
      </c>
      <c r="S153" s="1" t="str">
        <f>IF(AND(TabelaClean14[[#This Row],[nivel_risco]]="Alto",TabelaClean14[[#This Row],[flag_inadimplente]]="Sim"),"Arriscado","Ok")</f>
        <v>Ok</v>
      </c>
      <c r="T153" s="26">
        <v>3000</v>
      </c>
      <c r="U153" s="81">
        <f>IF(AND(TabelaClean14[[#This Row],[analise_risco]]="Arriscado",TabelaClean14[[#This Row],[analise_credito]]="Reprovado"),0,IF(TabelaClean14[[#This Row],[status]]="Ativo",TabelaClean14[[#This Row],[valor_solicitado]]*1.08,0))</f>
        <v>3240</v>
      </c>
      <c r="W153" s="1"/>
      <c r="Y153" t="s">
        <v>456</v>
      </c>
      <c r="Z153" t="str">
        <f t="shared" si="2"/>
        <v>Gargalo</v>
      </c>
      <c r="AE153" t="s">
        <v>761</v>
      </c>
      <c r="AF153" t="str">
        <f>TEXT(AE153,"000\.000\.000\-00")</f>
        <v>000.000.113-00</v>
      </c>
      <c r="AH153" s="15" t="s">
        <v>169</v>
      </c>
      <c r="AJ153" s="22">
        <v>7200</v>
      </c>
      <c r="AK153">
        <v>7200</v>
      </c>
      <c r="AM153" s="20" t="s">
        <v>472</v>
      </c>
      <c r="AN153" t="s">
        <v>809</v>
      </c>
      <c r="AO153" t="s">
        <v>809</v>
      </c>
      <c r="AQ153" t="s">
        <v>79</v>
      </c>
      <c r="AZ153" s="39" t="s">
        <v>448</v>
      </c>
      <c r="BA153" t="s">
        <v>79</v>
      </c>
      <c r="BB153" s="26">
        <v>11500</v>
      </c>
      <c r="BC153" s="81">
        <f>IF(AND(TabelaClean14[[#This Row],[analise_risco]]="Arriscado",TabelaClean14[[#This Row],[analise_credito]]="Reprovado"),0,IF(TabelaClean14[[#This Row],[status]]="Ativo",TabelaClean14[[#This Row],[valor_solicitado]]*1.08,0))</f>
        <v>3240</v>
      </c>
    </row>
    <row r="154" spans="1:55">
      <c r="A154" s="24" t="s">
        <v>81</v>
      </c>
      <c r="B154" s="17" t="s">
        <v>534</v>
      </c>
      <c r="C154" s="25" t="s">
        <v>535</v>
      </c>
      <c r="D154" s="54">
        <v>58</v>
      </c>
      <c r="E154" s="30">
        <v>24872</v>
      </c>
      <c r="F154" s="24" t="str">
        <f>TabelaClean14[[#This Row],[CidadeCPF]]</f>
        <v>Pyke</v>
      </c>
      <c r="G154" s="17" t="str">
        <f>TabelaClean14[[#This Row],[RegiaoCPF]]</f>
        <v>Ilhas De Ferro</v>
      </c>
      <c r="H154" s="17" t="str">
        <f>_xlfn.XLOOKUP(TabelaClean14[[#This Row],[cpf]],TabelaDirty[cpfclean],TabelaDirty[cidade])</f>
        <v>Pyke</v>
      </c>
      <c r="I154" s="17" t="str">
        <f>_xlfn.XLOOKUP(TabelaClean14[[#This Row],[cpf]],TabelaDirty[cpfclean],TabelaDirty[regiao])</f>
        <v>ILHAS DE FERRO</v>
      </c>
      <c r="J154" s="17" t="str">
        <f>PROPER(TabelaClean14[[#This Row],[Coluna1]])</f>
        <v>Ilhas De Ferro</v>
      </c>
      <c r="K154" s="17" t="e">
        <f>_xlfn.TEXTBEFORE(TabelaClean14[[#This Row],[CidadeCPF]]," | ")</f>
        <v>#N/A</v>
      </c>
      <c r="L154" s="24" t="e">
        <f>_xlfn.TEXTAFTER(TabelaClean14[[#This Row],[CidadeCPF]]," | ")</f>
        <v>#N/A</v>
      </c>
      <c r="M154" s="26">
        <v>12500</v>
      </c>
      <c r="N154" s="78">
        <v>44500</v>
      </c>
      <c r="O154" s="1" t="s">
        <v>50</v>
      </c>
      <c r="P15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4" s="84">
        <v>13</v>
      </c>
      <c r="R154" s="1" t="str" cm="1">
        <f t="array" ref="R154">_xlfn.IFS(TabelaClean14[[#This Row],[qtde_batalhas]]&lt;=10,"Baixo",TabelaClean14[[#This Row],[qtde_batalhas]]&gt;=26,"Alto",TabelaClean14[[#This Row],[qtde_batalhas]]&lt;26,"Médio")</f>
        <v>Médio</v>
      </c>
      <c r="S154" s="1" t="str">
        <f>IF(AND(TabelaClean14[[#This Row],[nivel_risco]]="Alto",TabelaClean14[[#This Row],[flag_inadimplente]]="Sim"),"Arriscado","Ok")</f>
        <v>Ok</v>
      </c>
      <c r="T154" s="26">
        <v>16000</v>
      </c>
      <c r="U15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54" s="1"/>
      <c r="Y154" t="s">
        <v>809</v>
      </c>
      <c r="Z154" t="str">
        <f t="shared" si="2"/>
        <v>Null</v>
      </c>
      <c r="AE154" t="s">
        <v>567</v>
      </c>
      <c r="AF154" t="str">
        <f>TEXT(AE154,"000\.000\.000\-00")</f>
        <v>000.000.114-00</v>
      </c>
      <c r="AH154" s="15" t="s">
        <v>89</v>
      </c>
      <c r="AJ154" s="22">
        <v>25400</v>
      </c>
      <c r="AK154">
        <v>25400</v>
      </c>
      <c r="AM154" s="21">
        <v>70500</v>
      </c>
      <c r="AN154">
        <v>70500</v>
      </c>
      <c r="AO154">
        <v>70500</v>
      </c>
      <c r="AQ154" t="s">
        <v>103</v>
      </c>
      <c r="AZ154" s="38" t="s">
        <v>645</v>
      </c>
      <c r="BA154" t="s">
        <v>103</v>
      </c>
      <c r="BB154" s="26">
        <v>12500</v>
      </c>
      <c r="BC15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55" spans="1:55">
      <c r="A155" s="24" t="s">
        <v>81</v>
      </c>
      <c r="B155" s="17" t="s">
        <v>534</v>
      </c>
      <c r="C155" t="str">
        <f>_xlfn.XLOOKUP(TabelaClean14[[#This Row],[nome]],Base_Dirty!$B:$B,Base_Dirty!D:D)</f>
        <v>000.000.009-00</v>
      </c>
      <c r="D155" s="54">
        <f>_xlfn.XLOOKUP(TabelaClean14[[#This Row],[nome]],Base_Dirty!B:B,Base_Dirty!E:E)</f>
        <v>58</v>
      </c>
      <c r="E155" s="51">
        <f>_xlfn.XLOOKUP(TabelaClean14[[#This Row],[nome]],Base_Dirty!$B:$B,Base_Dirty!F:F)</f>
        <v>24872</v>
      </c>
      <c r="F155" s="17" t="s">
        <v>112</v>
      </c>
      <c r="G155" s="25" t="s">
        <v>113</v>
      </c>
      <c r="H155" s="24" t="s">
        <v>264</v>
      </c>
      <c r="I155" s="24">
        <v>12500</v>
      </c>
      <c r="J155" s="24">
        <v>44500</v>
      </c>
      <c r="K155" s="24" t="s">
        <v>244</v>
      </c>
      <c r="L155" s="24">
        <v>13</v>
      </c>
      <c r="M155" s="23">
        <f>_xlfn.XLOOKUP(TabelaClean14[[#This Row],[nome]],Base_Dirty!$B:$B,Base_Dirty!I:I)</f>
        <v>12500</v>
      </c>
      <c r="N155" s="78">
        <f>_xlfn.XLOOKUP(TabelaClean14[[#This Row],[nome]],Base_Dirty!$B:$B,Base_Dirty!J:J)</f>
        <v>44500</v>
      </c>
      <c r="O155" s="79" t="s">
        <v>50</v>
      </c>
      <c r="P155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5" s="84">
        <f>_xlfn.XLOOKUP(TabelaClean14[[#This Row],[nome]],Base_Dirty!$B:$B,Base_Dirty!L:L)</f>
        <v>13</v>
      </c>
      <c r="R155" s="76" t="str" cm="1">
        <f t="array" ref="R155">_xlfn.IFS(TabelaClean14[[#This Row],[qtde_batalhas]]&lt;=10,"Baixo",TabelaClean14[[#This Row],[qtde_batalhas]]&gt;=26,"Alto",TabelaClean14[[#This Row],[qtde_batalhas]]&lt;26,"Médio")</f>
        <v>Médio</v>
      </c>
      <c r="S155" s="76" t="str">
        <f>IF(AND(TabelaClean14[[#This Row],[nivel_risco]]="Alto",TabelaClean14[[#This Row],[flag_inadimplente]]="Sim"),"Arriscado","Ok")</f>
        <v>Ok</v>
      </c>
      <c r="T155" s="26">
        <f>_xlfn.XLOOKUP(TabelaClean14[[#This Row],[nome]],Base_Dirty!$B:$B,Base_Dirty!O:O)</f>
        <v>16000</v>
      </c>
      <c r="U15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55" s="1"/>
      <c r="Y155" t="s">
        <v>149</v>
      </c>
      <c r="Z155" t="str">
        <f t="shared" si="2"/>
        <v>Campina</v>
      </c>
      <c r="AE155" t="s">
        <v>435</v>
      </c>
      <c r="AF155" t="str">
        <f>TEXT(AE155,"000\.000\.000\-00")</f>
        <v>000.000.115-00</v>
      </c>
      <c r="AH155" s="15" t="s">
        <v>83</v>
      </c>
      <c r="AJ155" s="22">
        <v>3900</v>
      </c>
      <c r="AK155">
        <v>3900</v>
      </c>
      <c r="AM155" s="20">
        <v>45000</v>
      </c>
      <c r="AN155">
        <v>45000</v>
      </c>
      <c r="AO155">
        <v>45000</v>
      </c>
      <c r="AQ155" t="s">
        <v>242</v>
      </c>
      <c r="AZ155" s="39" t="s">
        <v>333</v>
      </c>
      <c r="BA155" t="s">
        <v>242</v>
      </c>
      <c r="BB155" s="23">
        <f>_xlfn.XLOOKUP(TabelaClean14[[#This Row],[nome]],Base_Dirty!$B:$B,Base_Dirty!AX:AX)</f>
        <v>0</v>
      </c>
      <c r="BC15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56" spans="1:55">
      <c r="A156" s="24" t="s">
        <v>81</v>
      </c>
      <c r="B156" s="17" t="s">
        <v>534</v>
      </c>
      <c r="C156" t="str">
        <f>_xlfn.XLOOKUP(TabelaClean14[[#This Row],[nome]],Base_Dirty!$B:$B,Base_Dirty!D:D)</f>
        <v>000.000.009-00</v>
      </c>
      <c r="D156" s="54">
        <f>_xlfn.XLOOKUP(TabelaClean14[[#This Row],[nome]],Base_Dirty!B:B,Base_Dirty!E:E)</f>
        <v>58</v>
      </c>
      <c r="E156" s="51">
        <f>_xlfn.XLOOKUP(TabelaClean14[[#This Row],[nome]],Base_Dirty!$B:$B,Base_Dirty!F:F)</f>
        <v>24872</v>
      </c>
      <c r="F156" s="17" t="s">
        <v>112</v>
      </c>
      <c r="G156" s="25" t="s">
        <v>113</v>
      </c>
      <c r="H156" s="24" t="s">
        <v>264</v>
      </c>
      <c r="I156" s="24">
        <v>12500</v>
      </c>
      <c r="J156" s="24">
        <v>44500</v>
      </c>
      <c r="K156" s="24" t="s">
        <v>244</v>
      </c>
      <c r="L156" s="24">
        <v>13</v>
      </c>
      <c r="M156" s="23">
        <f>_xlfn.XLOOKUP(TabelaClean14[[#This Row],[nome]],Base_Dirty!$B:$B,Base_Dirty!I:I)</f>
        <v>12500</v>
      </c>
      <c r="N156" s="78">
        <f>_xlfn.XLOOKUP(TabelaClean14[[#This Row],[nome]],Base_Dirty!$B:$B,Base_Dirty!J:J)</f>
        <v>44500</v>
      </c>
      <c r="O156" s="79" t="s">
        <v>50</v>
      </c>
      <c r="P15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6" s="84">
        <f>_xlfn.XLOOKUP(TabelaClean14[[#This Row],[nome]],Base_Dirty!$B:$B,Base_Dirty!L:L)</f>
        <v>13</v>
      </c>
      <c r="R156" s="76" t="str" cm="1">
        <f t="array" ref="R156">_xlfn.IFS(TabelaClean14[[#This Row],[qtde_batalhas]]&lt;=10,"Baixo",TabelaClean14[[#This Row],[qtde_batalhas]]&gt;=26,"Alto",TabelaClean14[[#This Row],[qtde_batalhas]]&lt;26,"Médio")</f>
        <v>Médio</v>
      </c>
      <c r="S156" s="76" t="str">
        <f>IF(AND(TabelaClean14[[#This Row],[nivel_risco]]="Alto",TabelaClean14[[#This Row],[flag_inadimplente]]="Sim"),"Arriscado","Ok")</f>
        <v>Ok</v>
      </c>
      <c r="T156" s="26">
        <f>_xlfn.XLOOKUP(TabelaClean14[[#This Row],[nome]],Base_Dirty!$B:$B,Base_Dirty!O:O)</f>
        <v>16000</v>
      </c>
      <c r="U15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56" s="1"/>
      <c r="Y156" t="s">
        <v>142</v>
      </c>
      <c r="Z156" t="str">
        <f t="shared" si="2"/>
        <v>Norte</v>
      </c>
      <c r="AE156" t="s">
        <v>730</v>
      </c>
      <c r="AF156" t="str">
        <f>TEXT(AE156,"000\.000\.000\-00")</f>
        <v>000.000.118-00</v>
      </c>
      <c r="AH156" s="15" t="s">
        <v>242</v>
      </c>
      <c r="AJ156" s="22">
        <v>29000</v>
      </c>
      <c r="AK156">
        <v>29000</v>
      </c>
      <c r="AM156" s="21">
        <v>67500</v>
      </c>
      <c r="AN156">
        <v>67500</v>
      </c>
      <c r="AO156">
        <v>67500</v>
      </c>
      <c r="AQ156" t="s">
        <v>148</v>
      </c>
      <c r="AZ156" s="38" t="s">
        <v>290</v>
      </c>
      <c r="BA156" t="s">
        <v>148</v>
      </c>
      <c r="BB156" s="23">
        <f>_xlfn.XLOOKUP(TabelaClean14[[#This Row],[nome]],Base_Dirty!$B:$B,Base_Dirty!AX:AX)</f>
        <v>0</v>
      </c>
      <c r="BC15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57" spans="1:55">
      <c r="A157" s="24" t="s">
        <v>81</v>
      </c>
      <c r="B157" s="17" t="s">
        <v>253</v>
      </c>
      <c r="C157" s="25" t="s">
        <v>905</v>
      </c>
      <c r="D157" s="54">
        <v>35</v>
      </c>
      <c r="E157" s="30">
        <v>33204</v>
      </c>
      <c r="F157" s="24" t="str">
        <f>TabelaClean14[[#This Row],[CidadeCPF]]</f>
        <v>Winterfell</v>
      </c>
      <c r="G157" s="17" t="str">
        <f>TabelaClean14[[#This Row],[RegiaoCPF]]</f>
        <v>Norte</v>
      </c>
      <c r="H157" s="17" t="str">
        <f>_xlfn.XLOOKUP(TabelaClean14[[#This Row],[cpf]],TabelaDirty[cpfclean],TabelaDirty[cidade])</f>
        <v>Winterfell</v>
      </c>
      <c r="I157" s="17" t="str">
        <f>_xlfn.XLOOKUP(TabelaClean14[[#This Row],[cpf]],TabelaDirty[cpfclean],TabelaDirty[regiao])</f>
        <v>norte</v>
      </c>
      <c r="J157" s="17" t="str">
        <f>PROPER(TabelaClean14[[#This Row],[Coluna1]])</f>
        <v>Norte</v>
      </c>
      <c r="K157" s="17" t="e">
        <f>_xlfn.TEXTBEFORE(TabelaClean14[[#This Row],[CidadeCPF]]," | ")</f>
        <v>#N/A</v>
      </c>
      <c r="L157" s="24" t="e">
        <f>_xlfn.TEXTAFTER(TabelaClean14[[#This Row],[CidadeCPF]]," | ")</f>
        <v>#N/A</v>
      </c>
      <c r="M157" s="26">
        <v>17600</v>
      </c>
      <c r="N157" s="78">
        <v>44000</v>
      </c>
      <c r="O157" s="1" t="s">
        <v>50</v>
      </c>
      <c r="P15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7" s="84">
        <v>22</v>
      </c>
      <c r="R157" s="1" t="str" cm="1">
        <f t="array" ref="R157">_xlfn.IFS(TabelaClean14[[#This Row],[qtde_batalhas]]&lt;=10,"Baixo",TabelaClean14[[#This Row],[qtde_batalhas]]&gt;=26,"Alto",TabelaClean14[[#This Row],[qtde_batalhas]]&lt;26,"Médio")</f>
        <v>Médio</v>
      </c>
      <c r="S157" s="1" t="str">
        <f>IF(AND(TabelaClean14[[#This Row],[nivel_risco]]="Alto",TabelaClean14[[#This Row],[flag_inadimplente]]="Sim"),"Arriscado","Ok")</f>
        <v>Ok</v>
      </c>
      <c r="T157" s="26">
        <v>56500</v>
      </c>
      <c r="U15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57" s="1"/>
      <c r="Y157" t="s">
        <v>809</v>
      </c>
      <c r="Z157" t="str">
        <f t="shared" si="2"/>
        <v>Null</v>
      </c>
      <c r="AE157" t="s">
        <v>159</v>
      </c>
      <c r="AF157" t="str">
        <f>TEXT(AE157,"000\.000\.000\-00")</f>
        <v>000.000.119-00</v>
      </c>
      <c r="AH157" s="15" t="s">
        <v>103</v>
      </c>
      <c r="AJ157" s="22">
        <v>29800</v>
      </c>
      <c r="AK157">
        <v>29800</v>
      </c>
      <c r="AM157" s="20">
        <v>54500</v>
      </c>
      <c r="AN157">
        <v>54500</v>
      </c>
      <c r="AO157">
        <v>54500</v>
      </c>
      <c r="AQ157" t="s">
        <v>127</v>
      </c>
      <c r="AZ157" s="39" t="s">
        <v>904</v>
      </c>
      <c r="BA157" t="s">
        <v>127</v>
      </c>
      <c r="BB157" s="26">
        <v>17600</v>
      </c>
      <c r="BC15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58" spans="1:55">
      <c r="A158" s="24" t="s">
        <v>76</v>
      </c>
      <c r="B158" s="17" t="s">
        <v>530</v>
      </c>
      <c r="C158" s="25" t="s">
        <v>531</v>
      </c>
      <c r="D158" s="54">
        <v>55</v>
      </c>
      <c r="E158" s="30">
        <v>26103</v>
      </c>
      <c r="F158" s="24" t="str">
        <f>TabelaClean14[[#This Row],[CidadeCPF]]</f>
        <v>Ponta Tempestade</v>
      </c>
      <c r="G158" s="17" t="str">
        <f>TabelaClean14[[#This Row],[RegiaoCPF]]</f>
        <v>Terras Da Tempestade</v>
      </c>
      <c r="H158" s="17" t="str">
        <f>_xlfn.XLOOKUP(TabelaClean14[[#This Row],[cpf]],TabelaDirty[cpfclean],TabelaDirty[cidade])</f>
        <v>Ponta Tempestade</v>
      </c>
      <c r="I158" s="17" t="str">
        <f>_xlfn.XLOOKUP(TabelaClean14[[#This Row],[cpf]],TabelaDirty[cpfclean],TabelaDirty[regiao])</f>
        <v>Terras da Tempestade</v>
      </c>
      <c r="J158" s="17" t="str">
        <f>PROPER(TabelaClean14[[#This Row],[Coluna1]])</f>
        <v>Terras Da Tempestade</v>
      </c>
      <c r="K158" s="17" t="e">
        <f>_xlfn.TEXTBEFORE(TabelaClean14[[#This Row],[CidadeCPF]]," | ")</f>
        <v>#N/A</v>
      </c>
      <c r="L158" s="24" t="e">
        <f>_xlfn.TEXTAFTER(TabelaClean14[[#This Row],[CidadeCPF]]," | ")</f>
        <v>#N/A</v>
      </c>
      <c r="M158" s="26">
        <v>9600</v>
      </c>
      <c r="N158" s="78">
        <v>43000</v>
      </c>
      <c r="O158" s="1" t="s">
        <v>50</v>
      </c>
      <c r="P15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8" s="84">
        <v>36</v>
      </c>
      <c r="R158" s="1" t="str" cm="1">
        <f t="array" ref="R158">_xlfn.IFS(TabelaClean14[[#This Row],[qtde_batalhas]]&lt;=10,"Baixo",TabelaClean14[[#This Row],[qtde_batalhas]]&gt;=26,"Alto",TabelaClean14[[#This Row],[qtde_batalhas]]&lt;26,"Médio")</f>
        <v>Alto</v>
      </c>
      <c r="S158" s="1" t="str">
        <f>IF(AND(TabelaClean14[[#This Row],[nivel_risco]]="Alto",TabelaClean14[[#This Row],[flag_inadimplente]]="Sim"),"Arriscado","Ok")</f>
        <v>Ok</v>
      </c>
      <c r="T158" s="26">
        <v>67500</v>
      </c>
      <c r="U158" s="81">
        <f>IF(AND(TabelaClean14[[#This Row],[analise_risco]]="Arriscado",TabelaClean14[[#This Row],[analise_credito]]="Reprovado"),0,IF(TabelaClean14[[#This Row],[status]]="Ativo",TabelaClean14[[#This Row],[valor_solicitado]]*1.08,0))</f>
        <v>72900</v>
      </c>
      <c r="W158" s="1"/>
      <c r="Y158" t="s">
        <v>809</v>
      </c>
      <c r="Z158" t="str">
        <f t="shared" si="2"/>
        <v>Null</v>
      </c>
      <c r="AE158" t="s">
        <v>758</v>
      </c>
      <c r="AF158" t="str">
        <f>TEXT(AE158,"000\.000\.000\-00")</f>
        <v>000.000.120-00</v>
      </c>
      <c r="AH158" s="15" t="s">
        <v>223</v>
      </c>
      <c r="AJ158" s="22">
        <v>2000</v>
      </c>
      <c r="AK158">
        <v>2000</v>
      </c>
      <c r="AM158" s="21">
        <v>60000</v>
      </c>
      <c r="AN158">
        <v>60000</v>
      </c>
      <c r="AO158">
        <v>60000</v>
      </c>
      <c r="AQ158" t="s">
        <v>112</v>
      </c>
      <c r="AZ158" s="38" t="s">
        <v>535</v>
      </c>
      <c r="BA158" t="s">
        <v>112</v>
      </c>
      <c r="BB158" s="26">
        <v>9600</v>
      </c>
      <c r="BC158" s="81">
        <f>IF(AND(TabelaClean14[[#This Row],[analise_risco]]="Arriscado",TabelaClean14[[#This Row],[analise_credito]]="Reprovado"),0,IF(TabelaClean14[[#This Row],[status]]="Ativo",TabelaClean14[[#This Row],[valor_solicitado]]*1.08,0))</f>
        <v>72900</v>
      </c>
    </row>
    <row r="159" spans="1:55">
      <c r="A159" s="24" t="s">
        <v>76</v>
      </c>
      <c r="B159" s="17" t="s">
        <v>494</v>
      </c>
      <c r="C159" s="25" t="s">
        <v>495</v>
      </c>
      <c r="D159" s="54">
        <v>26</v>
      </c>
      <c r="E159" s="30">
        <v>36619</v>
      </c>
      <c r="F159" s="24" t="str">
        <f>TabelaClean14[[#This Row],[CidadeCPF]]</f>
        <v>Harrenhal</v>
      </c>
      <c r="G159" s="17" t="str">
        <f>TabelaClean14[[#This Row],[RegiaoCPF]]</f>
        <v>Terras Fluviais</v>
      </c>
      <c r="H159" s="17" t="str">
        <f>_xlfn.XLOOKUP(TabelaClean14[[#This Row],[cpf]],TabelaDirty[cpfclean],TabelaDirty[cidade])</f>
        <v>Harrenhal</v>
      </c>
      <c r="I159" s="17" t="str">
        <f>_xlfn.XLOOKUP(TabelaClean14[[#This Row],[cpf]],TabelaDirty[cpfclean],TabelaDirty[regiao])</f>
        <v>Terras Fluviais</v>
      </c>
      <c r="J159" s="17" t="str">
        <f>PROPER(TabelaClean14[[#This Row],[Coluna1]])</f>
        <v>Terras Fluviais</v>
      </c>
      <c r="K159" s="17" t="e">
        <f>_xlfn.TEXTBEFORE(TabelaClean14[[#This Row],[CidadeCPF]]," | ")</f>
        <v>#N/A</v>
      </c>
      <c r="L159" s="24" t="e">
        <f>_xlfn.TEXTAFTER(TabelaClean14[[#This Row],[CidadeCPF]]," | ")</f>
        <v>#N/A</v>
      </c>
      <c r="M159" s="26">
        <v>26800</v>
      </c>
      <c r="N159" s="78">
        <v>42500</v>
      </c>
      <c r="O159" s="1" t="s">
        <v>51</v>
      </c>
      <c r="P15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59" s="84">
        <v>29</v>
      </c>
      <c r="R159" s="1" t="str" cm="1">
        <f t="array" ref="R159">_xlfn.IFS(TabelaClean14[[#This Row],[qtde_batalhas]]&lt;=10,"Baixo",TabelaClean14[[#This Row],[qtde_batalhas]]&gt;=26,"Alto",TabelaClean14[[#This Row],[qtde_batalhas]]&lt;26,"Médio")</f>
        <v>Alto</v>
      </c>
      <c r="S159" s="1" t="str">
        <f>IF(AND(TabelaClean14[[#This Row],[nivel_risco]]="Alto",TabelaClean14[[#This Row],[flag_inadimplente]]="Sim"),"Arriscado","Ok")</f>
        <v>Arriscado</v>
      </c>
      <c r="T159" s="26">
        <v>66000</v>
      </c>
      <c r="U159" s="81">
        <f>IF(AND(TabelaClean14[[#This Row],[analise_risco]]="Arriscado",TabelaClean14[[#This Row],[analise_credito]]="Reprovado"),0,IF(TabelaClean14[[#This Row],[status]]="Ativo",TabelaClean14[[#This Row],[valor_solicitado]]*1.08,0))</f>
        <v>71280</v>
      </c>
      <c r="W159" s="1"/>
      <c r="Y159" t="s">
        <v>809</v>
      </c>
      <c r="Z159" t="str">
        <f t="shared" si="2"/>
        <v>Null</v>
      </c>
      <c r="AE159" t="s">
        <v>514</v>
      </c>
      <c r="AF159" t="str">
        <f>TEXT(AE159,"000\.000\.000\-00")</f>
        <v>000.000.122-00</v>
      </c>
      <c r="AH159" s="15" t="s">
        <v>112</v>
      </c>
      <c r="AJ159" s="22">
        <v>26500</v>
      </c>
      <c r="AK159">
        <v>26500</v>
      </c>
      <c r="AM159" s="20">
        <v>14500</v>
      </c>
      <c r="AN159">
        <v>14500</v>
      </c>
      <c r="AO159">
        <v>14500</v>
      </c>
      <c r="AQ159" t="s">
        <v>210</v>
      </c>
      <c r="AZ159" s="39" t="s">
        <v>905</v>
      </c>
      <c r="BA159" t="s">
        <v>210</v>
      </c>
      <c r="BB159" s="26">
        <v>26800</v>
      </c>
      <c r="BC159" s="81">
        <f>IF(AND(TabelaClean14[[#This Row],[analise_risco]]="Arriscado",TabelaClean14[[#This Row],[analise_credito]]="Reprovado"),0,IF(TabelaClean14[[#This Row],[status]]="Ativo",TabelaClean14[[#This Row],[valor_solicitado]]*1.08,0))</f>
        <v>71280</v>
      </c>
    </row>
    <row r="160" spans="1:55">
      <c r="A160" s="24" t="s">
        <v>76</v>
      </c>
      <c r="B160" s="17" t="s">
        <v>454</v>
      </c>
      <c r="C160" s="25" t="s">
        <v>455</v>
      </c>
      <c r="D160" s="54">
        <v>53</v>
      </c>
      <c r="E160" s="30">
        <v>26631</v>
      </c>
      <c r="F160" s="24" t="str">
        <f>TabelaClean14[[#This Row],[CidadeCPF]]</f>
        <v>Atalaia da Água Cinzenta</v>
      </c>
      <c r="G160" s="17" t="str">
        <f>TabelaClean14[[#This Row],[RegiaoCPF]]</f>
        <v>Gargalo</v>
      </c>
      <c r="H160" s="17" t="str">
        <f>_xlfn.XLOOKUP(TabelaClean14[[#This Row],[cpf]],TabelaDirty[cpfclean],TabelaDirty[cidade])</f>
        <v>Atalaia da Água Cinzenta</v>
      </c>
      <c r="I160" s="17" t="str">
        <f>_xlfn.XLOOKUP(TabelaClean14[[#This Row],[cpf]],TabelaDirty[cpfclean],TabelaDirty[regiao])</f>
        <v>Gargalo</v>
      </c>
      <c r="J160" s="17" t="str">
        <f>PROPER(TabelaClean14[[#This Row],[Coluna1]])</f>
        <v>Gargalo</v>
      </c>
      <c r="K160" s="17" t="e">
        <f>_xlfn.TEXTBEFORE(TabelaClean14[[#This Row],[CidadeCPF]]," | ")</f>
        <v>#N/A</v>
      </c>
      <c r="L160" s="24" t="e">
        <f>_xlfn.TEXTAFTER(TabelaClean14[[#This Row],[CidadeCPF]]," | ")</f>
        <v>#N/A</v>
      </c>
      <c r="M160" s="26">
        <v>22700</v>
      </c>
      <c r="N160" s="78">
        <v>42500</v>
      </c>
      <c r="O160" s="1" t="s">
        <v>51</v>
      </c>
      <c r="P16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0" s="84">
        <v>25</v>
      </c>
      <c r="R160" s="1" t="str" cm="1">
        <f t="array" ref="R160">_xlfn.IFS(TabelaClean14[[#This Row],[qtde_batalhas]]&lt;=10,"Baixo",TabelaClean14[[#This Row],[qtde_batalhas]]&gt;=26,"Alto",TabelaClean14[[#This Row],[qtde_batalhas]]&lt;26,"Médio")</f>
        <v>Médio</v>
      </c>
      <c r="S160" s="1" t="str">
        <f>IF(AND(TabelaClean14[[#This Row],[nivel_risco]]="Alto",TabelaClean14[[#This Row],[flag_inadimplente]]="Sim"),"Arriscado","Ok")</f>
        <v>Ok</v>
      </c>
      <c r="T160" s="26">
        <v>86000</v>
      </c>
      <c r="U160" s="81">
        <f>IF(AND(TabelaClean14[[#This Row],[analise_risco]]="Arriscado",TabelaClean14[[#This Row],[analise_credito]]="Reprovado"),0,IF(TabelaClean14[[#This Row],[status]]="Ativo",TabelaClean14[[#This Row],[valor_solicitado]]*1.08,0))</f>
        <v>92880</v>
      </c>
      <c r="W160" s="1"/>
      <c r="Y160" t="s">
        <v>90</v>
      </c>
      <c r="Z160" t="str">
        <f t="shared" si="2"/>
        <v>Terras Da Coroa</v>
      </c>
      <c r="AE160" t="s">
        <v>771</v>
      </c>
      <c r="AF160" t="str">
        <f>TEXT(AE160,"000\.000\.000\-00")</f>
        <v>000.000.123-00</v>
      </c>
      <c r="AH160" s="15" t="s">
        <v>360</v>
      </c>
      <c r="AJ160" s="22">
        <v>19900</v>
      </c>
      <c r="AK160">
        <v>19900</v>
      </c>
      <c r="AM160" s="21">
        <v>35000</v>
      </c>
      <c r="AN160">
        <v>35000</v>
      </c>
      <c r="AO160">
        <v>35000</v>
      </c>
      <c r="AQ160" t="s">
        <v>83</v>
      </c>
      <c r="AZ160" s="38" t="s">
        <v>531</v>
      </c>
      <c r="BA160" t="s">
        <v>83</v>
      </c>
      <c r="BB160" s="26">
        <v>22700</v>
      </c>
      <c r="BC160" s="81">
        <f>IF(AND(TabelaClean14[[#This Row],[analise_risco]]="Arriscado",TabelaClean14[[#This Row],[analise_credito]]="Reprovado"),0,IF(TabelaClean14[[#This Row],[status]]="Ativo",TabelaClean14[[#This Row],[valor_solicitado]]*1.08,0))</f>
        <v>92880</v>
      </c>
    </row>
    <row r="161" spans="1:55">
      <c r="A161" s="24" t="s">
        <v>76</v>
      </c>
      <c r="B161" s="17" t="s">
        <v>648</v>
      </c>
      <c r="C161" s="25" t="s">
        <v>816</v>
      </c>
      <c r="D161" s="54">
        <v>24</v>
      </c>
      <c r="E161" s="30">
        <v>37470</v>
      </c>
      <c r="F161" s="24" t="str">
        <f>TabelaClean14[[#This Row],[CidadeCPF]]</f>
        <v>Solar do Entardecer</v>
      </c>
      <c r="G161" s="17" t="str">
        <f>TabelaClean14[[#This Row],[RegiaoCPF]]</f>
        <v>Terras Da Tempestade</v>
      </c>
      <c r="H161" s="17" t="str">
        <f>_xlfn.XLOOKUP(TabelaClean14[[#This Row],[cpf]],TabelaDirty[cpfclean],TabelaDirty[cidade])</f>
        <v>Solar do Entardecer</v>
      </c>
      <c r="I161" s="17" t="str">
        <f>_xlfn.XLOOKUP(TabelaClean14[[#This Row],[cpf]],TabelaDirty[cpfclean],TabelaDirty[regiao])</f>
        <v>terras da tempestade</v>
      </c>
      <c r="J161" s="17" t="str">
        <f>PROPER(TabelaClean14[[#This Row],[Coluna1]])</f>
        <v>Terras Da Tempestade</v>
      </c>
      <c r="K161" s="17" t="e">
        <f>_xlfn.TEXTBEFORE(TabelaClean14[[#This Row],[CidadeCPF]]," | ")</f>
        <v>#N/A</v>
      </c>
      <c r="L161" s="24" t="e">
        <f>_xlfn.TEXTAFTER(TabelaClean14[[#This Row],[CidadeCPF]]," | ")</f>
        <v>#N/A</v>
      </c>
      <c r="M161" s="26">
        <v>16900</v>
      </c>
      <c r="N161" s="78">
        <v>42500</v>
      </c>
      <c r="O161" s="1" t="s">
        <v>51</v>
      </c>
      <c r="P16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1" s="84">
        <v>26</v>
      </c>
      <c r="R161" s="1" t="str" cm="1">
        <f t="array" ref="R161">_xlfn.IFS(TabelaClean14[[#This Row],[qtde_batalhas]]&lt;=10,"Baixo",TabelaClean14[[#This Row],[qtde_batalhas]]&gt;=26,"Alto",TabelaClean14[[#This Row],[qtde_batalhas]]&lt;26,"Médio")</f>
        <v>Alto</v>
      </c>
      <c r="S161" s="1" t="str">
        <f>IF(AND(TabelaClean14[[#This Row],[nivel_risco]]="Alto",TabelaClean14[[#This Row],[flag_inadimplente]]="Sim"),"Arriscado","Ok")</f>
        <v>Arriscado</v>
      </c>
      <c r="T161" s="26">
        <v>12500</v>
      </c>
      <c r="U161" s="81">
        <f>IF(AND(TabelaClean14[[#This Row],[analise_risco]]="Arriscado",TabelaClean14[[#This Row],[analise_credito]]="Reprovado"),0,IF(TabelaClean14[[#This Row],[status]]="Ativo",TabelaClean14[[#This Row],[valor_solicitado]]*1.08,0))</f>
        <v>13500</v>
      </c>
      <c r="W161" s="1"/>
      <c r="Y161" t="s">
        <v>809</v>
      </c>
      <c r="Z161" t="str">
        <f t="shared" si="2"/>
        <v>Null</v>
      </c>
      <c r="AE161" t="s">
        <v>171</v>
      </c>
      <c r="AF161" t="str">
        <f>TEXT(AE161,"000\.000\.000\-00")</f>
        <v>000.000.124-00</v>
      </c>
      <c r="AH161" s="15" t="s">
        <v>121</v>
      </c>
      <c r="AJ161" s="22">
        <v>5300</v>
      </c>
      <c r="AK161">
        <v>5300</v>
      </c>
      <c r="AM161" s="20" t="s">
        <v>293</v>
      </c>
      <c r="AN161" t="s">
        <v>809</v>
      </c>
      <c r="AO161" t="s">
        <v>809</v>
      </c>
      <c r="AQ161" t="s">
        <v>154</v>
      </c>
      <c r="AZ161" s="39" t="s">
        <v>619</v>
      </c>
      <c r="BA161" t="s">
        <v>154</v>
      </c>
      <c r="BB161" s="26">
        <v>16900</v>
      </c>
      <c r="BC161" s="81">
        <f>IF(AND(TabelaClean14[[#This Row],[analise_risco]]="Arriscado",TabelaClean14[[#This Row],[analise_credito]]="Reprovado"),0,IF(TabelaClean14[[#This Row],[status]]="Ativo",TabelaClean14[[#This Row],[valor_solicitado]]*1.08,0))</f>
        <v>13500</v>
      </c>
    </row>
    <row r="162" spans="1:55">
      <c r="A162" s="24" t="s">
        <v>76</v>
      </c>
      <c r="B162" s="17" t="s">
        <v>906</v>
      </c>
      <c r="C162" s="25" t="s">
        <v>907</v>
      </c>
      <c r="D162" s="54">
        <v>67</v>
      </c>
      <c r="E162" s="30">
        <v>21671</v>
      </c>
      <c r="F162" s="25" t="s">
        <v>83</v>
      </c>
      <c r="G162" s="25" t="s">
        <v>303</v>
      </c>
      <c r="H162" s="24">
        <v>6500</v>
      </c>
      <c r="I162" s="24">
        <v>42500</v>
      </c>
      <c r="J162" s="24" t="s">
        <v>51</v>
      </c>
      <c r="K162" s="24">
        <v>3</v>
      </c>
      <c r="L162" s="24"/>
      <c r="M162" s="26">
        <v>8000</v>
      </c>
      <c r="N162" s="78">
        <v>42500</v>
      </c>
      <c r="O162" s="1" t="s">
        <v>51</v>
      </c>
      <c r="P162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2" s="84">
        <v>3</v>
      </c>
      <c r="R162" s="76" t="str" cm="1">
        <f t="array" ref="R162">_xlfn.IFS(TabelaClean14[[#This Row],[qtde_batalhas]]&lt;=10,"Baixo",TabelaClean14[[#This Row],[qtde_batalhas]]&gt;=26,"Alto",TabelaClean14[[#This Row],[qtde_batalhas]]&lt;26,"Médio")</f>
        <v>Baixo</v>
      </c>
      <c r="S162" s="76" t="str">
        <f>IF(AND(TabelaClean14[[#This Row],[nivel_risco]]="Alto",TabelaClean14[[#This Row],[flag_inadimplente]]="Sim"),"Arriscado","Ok")</f>
        <v>Ok</v>
      </c>
      <c r="T162" s="26">
        <v>8000</v>
      </c>
      <c r="U162" s="81">
        <f>IF(AND(TabelaClean14[[#This Row],[analise_risco]]="Arriscado",TabelaClean14[[#This Row],[analise_credito]]="Reprovado"),0,IF(TabelaClean14[[#This Row],[status]]="Ativo",TabelaClean14[[#This Row],[valor_solicitado]]*1.08,0))</f>
        <v>8640</v>
      </c>
      <c r="W162" s="1"/>
      <c r="Y162" t="s">
        <v>122</v>
      </c>
      <c r="Z162" t="str">
        <f t="shared" si="2"/>
        <v>Essos</v>
      </c>
      <c r="AE162" t="s">
        <v>151</v>
      </c>
      <c r="AF162" t="str">
        <f>TEXT(AE162,"000\.000\.000\-00")</f>
        <v>000.000.125-00</v>
      </c>
      <c r="AH162" s="15" t="s">
        <v>138</v>
      </c>
      <c r="AJ162" s="22">
        <v>4500</v>
      </c>
      <c r="AK162">
        <v>4500</v>
      </c>
      <c r="AM162" s="21">
        <v>0</v>
      </c>
      <c r="AN162">
        <v>0</v>
      </c>
      <c r="AO162">
        <v>0</v>
      </c>
      <c r="AQ162" t="s">
        <v>154</v>
      </c>
      <c r="AZ162" s="38" t="s">
        <v>428</v>
      </c>
      <c r="BA162" t="s">
        <v>154</v>
      </c>
      <c r="BB162" s="26">
        <v>8000</v>
      </c>
      <c r="BC162" s="81">
        <f>IF(AND(TabelaClean14[[#This Row],[analise_risco]]="Arriscado",TabelaClean14[[#This Row],[analise_credito]]="Reprovado"),0,IF(TabelaClean14[[#This Row],[status]]="Ativo",TabelaClean14[[#This Row],[valor_solicitado]]*1.08,0))</f>
        <v>8640</v>
      </c>
    </row>
    <row r="163" spans="1:55">
      <c r="A163" s="24" t="s">
        <v>76</v>
      </c>
      <c r="B163" s="17" t="s">
        <v>618</v>
      </c>
      <c r="C163" s="25" t="s">
        <v>619</v>
      </c>
      <c r="D163" s="54">
        <v>30</v>
      </c>
      <c r="E163" s="30">
        <v>35180</v>
      </c>
      <c r="F163" s="24" t="str">
        <f>TabelaClean14[[#This Row],[CidadeCPF]]</f>
        <v>Ilha dos Ursos</v>
      </c>
      <c r="G163" s="17" t="str">
        <f>TabelaClean14[[#This Row],[RegiaoCPF]]</f>
        <v>Norte</v>
      </c>
      <c r="H163" s="17" t="str">
        <f>_xlfn.XLOOKUP(TabelaClean14[[#This Row],[cpf]],TabelaDirty[cpfclean],TabelaDirty[cidade])</f>
        <v>Ilha dos Ursos</v>
      </c>
      <c r="I163" s="17" t="str">
        <f>_xlfn.XLOOKUP(TabelaClean14[[#This Row],[cpf]],TabelaDirty[cpfclean],TabelaDirty[regiao])</f>
        <v>Norte</v>
      </c>
      <c r="J163" s="17" t="str">
        <f>PROPER(TabelaClean14[[#This Row],[Coluna1]])</f>
        <v>Norte</v>
      </c>
      <c r="K163" s="17" t="e">
        <f>_xlfn.TEXTBEFORE(TabelaClean14[[#This Row],[CidadeCPF]]," | ")</f>
        <v>#N/A</v>
      </c>
      <c r="L163" s="24" t="e">
        <f>_xlfn.TEXTAFTER(TabelaClean14[[#This Row],[CidadeCPF]]," | ")</f>
        <v>#N/A</v>
      </c>
      <c r="M163" s="26">
        <v>13800</v>
      </c>
      <c r="N163" s="78">
        <v>42000</v>
      </c>
      <c r="O163" s="1" t="s">
        <v>50</v>
      </c>
      <c r="P16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3" s="84">
        <v>29</v>
      </c>
      <c r="R163" s="1" t="str" cm="1">
        <f t="array" ref="R163">_xlfn.IFS(TabelaClean14[[#This Row],[qtde_batalhas]]&lt;=10,"Baixo",TabelaClean14[[#This Row],[qtde_batalhas]]&gt;=26,"Alto",TabelaClean14[[#This Row],[qtde_batalhas]]&lt;26,"Médio")</f>
        <v>Alto</v>
      </c>
      <c r="S163" s="1" t="str">
        <f>IF(AND(TabelaClean14[[#This Row],[nivel_risco]]="Alto",TabelaClean14[[#This Row],[flag_inadimplente]]="Sim"),"Arriscado","Ok")</f>
        <v>Ok</v>
      </c>
      <c r="T163" s="26">
        <v>7000</v>
      </c>
      <c r="U163" s="81">
        <f>IF(AND(TabelaClean14[[#This Row],[analise_risco]]="Arriscado",TabelaClean14[[#This Row],[analise_credito]]="Reprovado"),0,IF(TabelaClean14[[#This Row],[status]]="Ativo",TabelaClean14[[#This Row],[valor_solicitado]]*1.08,0))</f>
        <v>7560.0000000000009</v>
      </c>
      <c r="W163" s="1"/>
      <c r="Y163" t="s">
        <v>809</v>
      </c>
      <c r="Z163" t="str">
        <f t="shared" si="2"/>
        <v>Null</v>
      </c>
      <c r="AE163" t="s">
        <v>603</v>
      </c>
      <c r="AF163" t="str">
        <f>TEXT(AE163,"000\.000\.000\-00")</f>
        <v>000.000.126-00</v>
      </c>
      <c r="AH163" s="15" t="s">
        <v>183</v>
      </c>
      <c r="AJ163" s="22">
        <v>24400</v>
      </c>
      <c r="AK163">
        <v>24400</v>
      </c>
      <c r="AM163" s="20">
        <v>7500</v>
      </c>
      <c r="AN163">
        <v>7500</v>
      </c>
      <c r="AO163">
        <v>7500</v>
      </c>
      <c r="AQ163" t="s">
        <v>112</v>
      </c>
      <c r="AZ163" s="39" t="s">
        <v>284</v>
      </c>
      <c r="BA163" t="s">
        <v>112</v>
      </c>
      <c r="BB163" s="26">
        <v>13800</v>
      </c>
      <c r="BC163" s="81">
        <f>IF(AND(TabelaClean14[[#This Row],[analise_risco]]="Arriscado",TabelaClean14[[#This Row],[analise_credito]]="Reprovado"),0,IF(TabelaClean14[[#This Row],[status]]="Ativo",TabelaClean14[[#This Row],[valor_solicitado]]*1.08,0))</f>
        <v>7560.0000000000009</v>
      </c>
    </row>
    <row r="164" spans="1:55">
      <c r="A164" s="24" t="s">
        <v>81</v>
      </c>
      <c r="B164" s="17" t="s">
        <v>463</v>
      </c>
      <c r="C164" s="25" t="s">
        <v>877</v>
      </c>
      <c r="D164" s="54">
        <v>66</v>
      </c>
      <c r="E164" s="30">
        <v>21873</v>
      </c>
      <c r="F164" s="24" t="str">
        <f>TabelaClean14[[#This Row],[CidadeCPF]]</f>
        <v>Fosso Cailin</v>
      </c>
      <c r="G164" s="17" t="str">
        <f>TabelaClean14[[#This Row],[RegiaoCPF]]</f>
        <v>Norte</v>
      </c>
      <c r="H164" s="17" t="str">
        <f>_xlfn.XLOOKUP(TabelaClean14[[#This Row],[cpf]],TabelaDirty[cpfclean],TabelaDirty[cidade])</f>
        <v>Fosso Cailin</v>
      </c>
      <c r="I164" s="17" t="str">
        <f>_xlfn.XLOOKUP(TabelaClean14[[#This Row],[cpf]],TabelaDirty[cpfclean],TabelaDirty[regiao])</f>
        <v>Norte</v>
      </c>
      <c r="J164" s="17" t="str">
        <f>PROPER(TabelaClean14[[#This Row],[Coluna1]])</f>
        <v>Norte</v>
      </c>
      <c r="K164" s="17" t="e">
        <f>_xlfn.TEXTBEFORE(TabelaClean14[[#This Row],[CidadeCPF]]," | ")</f>
        <v>#N/A</v>
      </c>
      <c r="L164" s="24" t="e">
        <f>_xlfn.TEXTAFTER(TabelaClean14[[#This Row],[CidadeCPF]]," | ")</f>
        <v>#N/A</v>
      </c>
      <c r="M164" s="26">
        <v>9900</v>
      </c>
      <c r="N164" s="78">
        <v>42000</v>
      </c>
      <c r="O164" s="1" t="s">
        <v>50</v>
      </c>
      <c r="P16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4" s="84">
        <v>13</v>
      </c>
      <c r="R164" s="1" t="str" cm="1">
        <f t="array" ref="R164">_xlfn.IFS(TabelaClean14[[#This Row],[qtde_batalhas]]&lt;=10,"Baixo",TabelaClean14[[#This Row],[qtde_batalhas]]&gt;=26,"Alto",TabelaClean14[[#This Row],[qtde_batalhas]]&lt;26,"Médio")</f>
        <v>Médio</v>
      </c>
      <c r="S164" s="1" t="str">
        <f>IF(AND(TabelaClean14[[#This Row],[nivel_risco]]="Alto",TabelaClean14[[#This Row],[flag_inadimplente]]="Sim"),"Arriscado","Ok")</f>
        <v>Ok</v>
      </c>
      <c r="T164" s="26">
        <v>37000</v>
      </c>
      <c r="U16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64" s="1"/>
      <c r="Y164" t="s">
        <v>809</v>
      </c>
      <c r="Z164" t="str">
        <f t="shared" si="2"/>
        <v>Null</v>
      </c>
      <c r="AE164" t="s">
        <v>626</v>
      </c>
      <c r="AF164" t="str">
        <f>TEXT(AE164,"000\.000\.000\-00")</f>
        <v>000.000.128-00</v>
      </c>
      <c r="AH164" s="15" t="s">
        <v>242</v>
      </c>
      <c r="AJ164" s="22">
        <v>19900</v>
      </c>
      <c r="AK164">
        <v>19900</v>
      </c>
      <c r="AM164" s="21">
        <v>49500</v>
      </c>
      <c r="AN164">
        <v>49500</v>
      </c>
      <c r="AO164">
        <v>49500</v>
      </c>
      <c r="AQ164" t="s">
        <v>172</v>
      </c>
      <c r="AZ164" s="38" t="s">
        <v>908</v>
      </c>
      <c r="BA164" t="s">
        <v>172</v>
      </c>
      <c r="BB164" s="26">
        <v>9900</v>
      </c>
      <c r="BC16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65" spans="1:55">
      <c r="A165" s="24" t="s">
        <v>81</v>
      </c>
      <c r="B165" s="17" t="s">
        <v>427</v>
      </c>
      <c r="C165" s="25" t="s">
        <v>428</v>
      </c>
      <c r="D165" s="54">
        <v>29</v>
      </c>
      <c r="E165" s="30">
        <v>35607</v>
      </c>
      <c r="F165" s="24" t="str">
        <f>TabelaClean14[[#This Row],[CidadeCPF]]</f>
        <v>Ilha dos Ursos</v>
      </c>
      <c r="G165" s="17" t="str">
        <f>TabelaClean14[[#This Row],[RegiaoCPF]]</f>
        <v>Norte</v>
      </c>
      <c r="H165" s="17" t="str">
        <f>_xlfn.XLOOKUP(TabelaClean14[[#This Row],[cpf]],TabelaDirty[cpfclean],TabelaDirty[cidade])</f>
        <v>Ilha dos Ursos</v>
      </c>
      <c r="I165" s="17" t="str">
        <f>_xlfn.XLOOKUP(TabelaClean14[[#This Row],[cpf]],TabelaDirty[cpfclean],TabelaDirty[regiao])</f>
        <v>Norte</v>
      </c>
      <c r="J165" s="17" t="str">
        <f>PROPER(TabelaClean14[[#This Row],[Coluna1]])</f>
        <v>Norte</v>
      </c>
      <c r="K165" s="17" t="e">
        <f>_xlfn.TEXTBEFORE(TabelaClean14[[#This Row],[CidadeCPF]]," | ")</f>
        <v>#N/A</v>
      </c>
      <c r="L165" s="24" t="e">
        <f>_xlfn.TEXTAFTER(TabelaClean14[[#This Row],[CidadeCPF]]," | ")</f>
        <v>#N/A</v>
      </c>
      <c r="M165" s="26">
        <v>13800</v>
      </c>
      <c r="N165" s="78">
        <v>41500</v>
      </c>
      <c r="O165" s="1" t="s">
        <v>50</v>
      </c>
      <c r="P16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5" s="84">
        <v>34</v>
      </c>
      <c r="R165" s="1" t="str" cm="1">
        <f t="array" ref="R165">_xlfn.IFS(TabelaClean14[[#This Row],[qtde_batalhas]]&lt;=10,"Baixo",TabelaClean14[[#This Row],[qtde_batalhas]]&gt;=26,"Alto",TabelaClean14[[#This Row],[qtde_batalhas]]&lt;26,"Médio")</f>
        <v>Alto</v>
      </c>
      <c r="S165" s="1" t="str">
        <f>IF(AND(TabelaClean14[[#This Row],[nivel_risco]]="Alto",TabelaClean14[[#This Row],[flag_inadimplente]]="Sim"),"Arriscado","Ok")</f>
        <v>Ok</v>
      </c>
      <c r="T165" s="26">
        <v>66000</v>
      </c>
      <c r="U16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65" s="1"/>
      <c r="Y165" t="s">
        <v>809</v>
      </c>
      <c r="Z165" t="str">
        <f t="shared" si="2"/>
        <v>Null</v>
      </c>
      <c r="AE165" t="s">
        <v>348</v>
      </c>
      <c r="AF165" t="str">
        <f>TEXT(AE165,"000\.000\.000\-00")</f>
        <v>000.000.129-00</v>
      </c>
      <c r="AH165" s="15" t="s">
        <v>127</v>
      </c>
      <c r="AJ165" s="22">
        <v>14500</v>
      </c>
      <c r="AK165">
        <v>14500</v>
      </c>
      <c r="AM165" s="20">
        <v>39500</v>
      </c>
      <c r="AN165">
        <v>39500</v>
      </c>
      <c r="AO165">
        <v>39500</v>
      </c>
      <c r="AQ165" t="s">
        <v>141</v>
      </c>
      <c r="AZ165" s="39" t="s">
        <v>529</v>
      </c>
      <c r="BA165" t="s">
        <v>141</v>
      </c>
      <c r="BB165" s="26">
        <v>13800</v>
      </c>
      <c r="BC16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66" spans="1:55">
      <c r="A166" s="24" t="s">
        <v>76</v>
      </c>
      <c r="B166" s="17" t="s">
        <v>909</v>
      </c>
      <c r="C166" s="25" t="s">
        <v>284</v>
      </c>
      <c r="D166" s="54">
        <v>55</v>
      </c>
      <c r="E166" s="30">
        <v>26104</v>
      </c>
      <c r="F166" s="24" t="str">
        <f>TabelaClean14[[#This Row],[CidadeCPF]]</f>
        <v>Pyke</v>
      </c>
      <c r="G166" s="17" t="str">
        <f>TabelaClean14[[#This Row],[RegiaoCPF]]</f>
        <v>Ilhas De Ferro</v>
      </c>
      <c r="H166" s="17" t="str">
        <f>_xlfn.XLOOKUP(TabelaClean14[[#This Row],[cpf]],TabelaDirty[cpfclean],TabelaDirty[cidade])</f>
        <v>Pyke</v>
      </c>
      <c r="I166" s="17" t="str">
        <f>_xlfn.XLOOKUP(TabelaClean14[[#This Row],[cpf]],TabelaDirty[cpfclean],TabelaDirty[regiao])</f>
        <v>Ilhas De Ferro</v>
      </c>
      <c r="J166" s="17" t="str">
        <f>PROPER(TabelaClean14[[#This Row],[Coluna1]])</f>
        <v>Ilhas De Ferro</v>
      </c>
      <c r="K166" s="17" t="e">
        <f>_xlfn.TEXTBEFORE(TabelaClean14[[#This Row],[CidadeCPF]]," | ")</f>
        <v>#N/A</v>
      </c>
      <c r="L166" s="24" t="e">
        <f>_xlfn.TEXTAFTER(TabelaClean14[[#This Row],[CidadeCPF]]," | ")</f>
        <v>#N/A</v>
      </c>
      <c r="M166" s="26">
        <v>22100</v>
      </c>
      <c r="N166" s="78">
        <v>41500</v>
      </c>
      <c r="O166" s="1" t="s">
        <v>50</v>
      </c>
      <c r="P16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6" s="84">
        <v>18</v>
      </c>
      <c r="R166" s="1" t="str" cm="1">
        <f t="array" ref="R166">_xlfn.IFS(TabelaClean14[[#This Row],[qtde_batalhas]]&lt;=10,"Baixo",TabelaClean14[[#This Row],[qtde_batalhas]]&gt;=26,"Alto",TabelaClean14[[#This Row],[qtde_batalhas]]&lt;26,"Médio")</f>
        <v>Médio</v>
      </c>
      <c r="S166" s="1" t="str">
        <f>IF(AND(TabelaClean14[[#This Row],[nivel_risco]]="Alto",TabelaClean14[[#This Row],[flag_inadimplente]]="Sim"),"Arriscado","Ok")</f>
        <v>Ok</v>
      </c>
      <c r="T166" s="26">
        <v>65000</v>
      </c>
      <c r="U166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  <c r="W166" s="1"/>
      <c r="Y166" t="s">
        <v>142</v>
      </c>
      <c r="Z166" t="str">
        <f t="shared" si="2"/>
        <v>Norte</v>
      </c>
      <c r="AE166" t="s">
        <v>645</v>
      </c>
      <c r="AF166" t="str">
        <f>TEXT(AE166,"000\.000\.000\-00")</f>
        <v>000.000.130-00</v>
      </c>
      <c r="AH166" s="15" t="s">
        <v>121</v>
      </c>
      <c r="AJ166" s="22" t="s">
        <v>743</v>
      </c>
      <c r="AK166">
        <v>19900</v>
      </c>
      <c r="AM166" s="21">
        <v>47000</v>
      </c>
      <c r="AN166">
        <v>47000</v>
      </c>
      <c r="AO166">
        <v>47000</v>
      </c>
      <c r="AQ166" t="s">
        <v>121</v>
      </c>
      <c r="AZ166" s="38" t="s">
        <v>504</v>
      </c>
      <c r="BA166" t="s">
        <v>121</v>
      </c>
      <c r="BB166" s="26">
        <v>22100</v>
      </c>
      <c r="BC166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</row>
    <row r="167" spans="1:55">
      <c r="A167" s="24" t="s">
        <v>76</v>
      </c>
      <c r="B167" s="17" t="s">
        <v>733</v>
      </c>
      <c r="C167" s="25" t="s">
        <v>734</v>
      </c>
      <c r="D167" s="54" t="s">
        <v>910</v>
      </c>
      <c r="E167" s="30">
        <v>27378</v>
      </c>
      <c r="F167" s="24" t="str">
        <f>TabelaClean14[[#This Row],[CidadeCPF]]</f>
        <v>Dorne</v>
      </c>
      <c r="G167" s="17" t="str">
        <f>TabelaClean14[[#This Row],[RegiaoCPF]]</f>
        <v>Dorne</v>
      </c>
      <c r="H167" s="17" t="str">
        <f>_xlfn.XLOOKUP(TabelaClean14[[#This Row],[cpf]],TabelaDirty[cpfclean],TabelaDirty[cidade])</f>
        <v>Dorne</v>
      </c>
      <c r="I167" s="17" t="str">
        <f>_xlfn.XLOOKUP(TabelaClean14[[#This Row],[cpf]],TabelaDirty[cpfclean],TabelaDirty[regiao])</f>
        <v>Dorne</v>
      </c>
      <c r="J167" s="17" t="str">
        <f>PROPER(TabelaClean14[[#This Row],[Coluna1]])</f>
        <v>Dorne</v>
      </c>
      <c r="K167" s="17" t="e">
        <f>_xlfn.TEXTBEFORE(TabelaClean14[[#This Row],[CidadeCPF]]," | ")</f>
        <v>#N/A</v>
      </c>
      <c r="L167" s="24" t="e">
        <f>_xlfn.TEXTAFTER(TabelaClean14[[#This Row],[CidadeCPF]]," | ")</f>
        <v>#N/A</v>
      </c>
      <c r="M167" s="26">
        <v>11600</v>
      </c>
      <c r="N167" s="78">
        <v>41000</v>
      </c>
      <c r="O167" s="1" t="s">
        <v>50</v>
      </c>
      <c r="P16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7" s="84">
        <v>7</v>
      </c>
      <c r="R167" s="1" t="str" cm="1">
        <f t="array" ref="R167">_xlfn.IFS(TabelaClean14[[#This Row],[qtde_batalhas]]&lt;=10,"Baixo",TabelaClean14[[#This Row],[qtde_batalhas]]&gt;=26,"Alto",TabelaClean14[[#This Row],[qtde_batalhas]]&lt;26,"Médio")</f>
        <v>Baixo</v>
      </c>
      <c r="S167" s="1" t="str">
        <f>IF(AND(TabelaClean14[[#This Row],[nivel_risco]]="Alto",TabelaClean14[[#This Row],[flag_inadimplente]]="Sim"),"Arriscado","Ok")</f>
        <v>Ok</v>
      </c>
      <c r="T167" s="26">
        <v>67000</v>
      </c>
      <c r="U167" s="81">
        <f>IF(AND(TabelaClean14[[#This Row],[analise_risco]]="Arriscado",TabelaClean14[[#This Row],[analise_credito]]="Reprovado"),0,IF(TabelaClean14[[#This Row],[status]]="Ativo",TabelaClean14[[#This Row],[valor_solicitado]]*1.08,0))</f>
        <v>72360</v>
      </c>
      <c r="W167" s="1"/>
      <c r="Y167" t="s">
        <v>809</v>
      </c>
      <c r="Z167" t="str">
        <f t="shared" si="2"/>
        <v>Null</v>
      </c>
      <c r="AE167" t="s">
        <v>200</v>
      </c>
      <c r="AF167" t="str">
        <f>TEXT(AE167,"000\.000\.000\-00")</f>
        <v>000.000.131-00</v>
      </c>
      <c r="AH167" s="15" t="s">
        <v>302</v>
      </c>
      <c r="AJ167" s="22">
        <v>6700</v>
      </c>
      <c r="AK167">
        <v>6700</v>
      </c>
      <c r="AM167" s="20">
        <v>16500</v>
      </c>
      <c r="AN167">
        <v>16500</v>
      </c>
      <c r="AO167">
        <v>16500</v>
      </c>
      <c r="AQ167" t="s">
        <v>83</v>
      </c>
      <c r="AZ167" s="39" t="s">
        <v>642</v>
      </c>
      <c r="BA167" t="s">
        <v>83</v>
      </c>
      <c r="BB167" s="26">
        <v>11600</v>
      </c>
      <c r="BC167" s="81">
        <f>IF(AND(TabelaClean14[[#This Row],[analise_risco]]="Arriscado",TabelaClean14[[#This Row],[analise_credito]]="Reprovado"),0,IF(TabelaClean14[[#This Row],[status]]="Ativo",TabelaClean14[[#This Row],[valor_solicitado]]*1.08,0))</f>
        <v>72360</v>
      </c>
    </row>
    <row r="168" spans="1:55">
      <c r="A168" s="24" t="s">
        <v>76</v>
      </c>
      <c r="B168" s="17" t="s">
        <v>415</v>
      </c>
      <c r="C168" s="25" t="s">
        <v>908</v>
      </c>
      <c r="D168" s="54">
        <v>24</v>
      </c>
      <c r="E168" s="30">
        <v>37290</v>
      </c>
      <c r="F168" s="24" t="str">
        <f>TabelaClean14[[#This Row],[CidadeCPF]]</f>
        <v>Jardim de Cima</v>
      </c>
      <c r="G168" s="17" t="str">
        <f>TabelaClean14[[#This Row],[RegiaoCPF]]</f>
        <v>Campina</v>
      </c>
      <c r="H168" s="17" t="str">
        <f>_xlfn.XLOOKUP(TabelaClean14[[#This Row],[cpf]],TabelaDirty[cpfclean],TabelaDirty[cidade])</f>
        <v>Jardim de Cima</v>
      </c>
      <c r="I168" s="17" t="str">
        <f>_xlfn.XLOOKUP(TabelaClean14[[#This Row],[cpf]],TabelaDirty[cpfclean],TabelaDirty[regiao])</f>
        <v>campina</v>
      </c>
      <c r="J168" s="17" t="str">
        <f>PROPER(TabelaClean14[[#This Row],[Coluna1]])</f>
        <v>Campina</v>
      </c>
      <c r="K168" s="17" t="e">
        <f>_xlfn.TEXTBEFORE(TabelaClean14[[#This Row],[CidadeCPF]]," | ")</f>
        <v>#N/A</v>
      </c>
      <c r="L168" s="24" t="e">
        <f>_xlfn.TEXTAFTER(TabelaClean14[[#This Row],[CidadeCPF]]," | ")</f>
        <v>#N/A</v>
      </c>
      <c r="M168" s="26">
        <v>6400</v>
      </c>
      <c r="N168" s="78">
        <v>41000</v>
      </c>
      <c r="O168" s="1" t="s">
        <v>50</v>
      </c>
      <c r="P16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8" s="84">
        <v>22</v>
      </c>
      <c r="R168" s="1" t="str" cm="1">
        <f t="array" ref="R168">_xlfn.IFS(TabelaClean14[[#This Row],[qtde_batalhas]]&lt;=10,"Baixo",TabelaClean14[[#This Row],[qtde_batalhas]]&gt;=26,"Alto",TabelaClean14[[#This Row],[qtde_batalhas]]&lt;26,"Médio")</f>
        <v>Médio</v>
      </c>
      <c r="S168" s="1" t="str">
        <f>IF(AND(TabelaClean14[[#This Row],[nivel_risco]]="Alto",TabelaClean14[[#This Row],[flag_inadimplente]]="Sim"),"Arriscado","Ok")</f>
        <v>Ok</v>
      </c>
      <c r="T168" s="26">
        <v>74500</v>
      </c>
      <c r="U168" s="81">
        <f>IF(AND(TabelaClean14[[#This Row],[analise_risco]]="Arriscado",TabelaClean14[[#This Row],[analise_credito]]="Reprovado"),0,IF(TabelaClean14[[#This Row],[status]]="Ativo",TabelaClean14[[#This Row],[valor_solicitado]]*1.08,0))</f>
        <v>80460</v>
      </c>
      <c r="W168" s="1"/>
      <c r="Y168" t="s">
        <v>809</v>
      </c>
      <c r="Z168" t="str">
        <f t="shared" si="2"/>
        <v>Null</v>
      </c>
      <c r="AE168" t="s">
        <v>266</v>
      </c>
      <c r="AF168" t="str">
        <f>TEXT(AE168,"000\.000\.000\-00")</f>
        <v>000.000.133-00</v>
      </c>
      <c r="AH168" s="15" t="s">
        <v>83</v>
      </c>
      <c r="AJ168" s="22">
        <v>2500</v>
      </c>
      <c r="AK168">
        <v>2500</v>
      </c>
      <c r="AM168" s="21">
        <v>72500</v>
      </c>
      <c r="AN168">
        <v>72500</v>
      </c>
      <c r="AO168">
        <v>72500</v>
      </c>
      <c r="AQ168" t="s">
        <v>127</v>
      </c>
      <c r="AZ168" s="38" t="s">
        <v>682</v>
      </c>
      <c r="BA168" t="s">
        <v>127</v>
      </c>
      <c r="BB168" s="26">
        <v>6400</v>
      </c>
      <c r="BC168" s="81">
        <f>IF(AND(TabelaClean14[[#This Row],[analise_risco]]="Arriscado",TabelaClean14[[#This Row],[analise_credito]]="Reprovado"),0,IF(TabelaClean14[[#This Row],[status]]="Ativo",TabelaClean14[[#This Row],[valor_solicitado]]*1.08,0))</f>
        <v>80460</v>
      </c>
    </row>
    <row r="169" spans="1:55">
      <c r="A169" s="24" t="s">
        <v>76</v>
      </c>
      <c r="B169" s="17" t="s">
        <v>763</v>
      </c>
      <c r="C169" s="25" t="s">
        <v>764</v>
      </c>
      <c r="D169" s="54" t="s">
        <v>809</v>
      </c>
      <c r="E169" s="30">
        <v>35600</v>
      </c>
      <c r="F169" s="24" t="str">
        <f>TabelaClean14[[#This Row],[CidadeCPF]]</f>
        <v>Harrenhal</v>
      </c>
      <c r="G169" s="17" t="str">
        <f>TabelaClean14[[#This Row],[RegiaoCPF]]</f>
        <v>Terras Fluviais</v>
      </c>
      <c r="H169" s="17" t="str">
        <f>_xlfn.XLOOKUP(TabelaClean14[[#This Row],[cpf]],TabelaDirty[cpfclean],TabelaDirty[cidade])</f>
        <v>Harrenhal</v>
      </c>
      <c r="I169" s="17" t="str">
        <f>_xlfn.XLOOKUP(TabelaClean14[[#This Row],[cpf]],TabelaDirty[cpfclean],TabelaDirty[regiao])</f>
        <v>Terras Fluviais</v>
      </c>
      <c r="J169" s="17" t="str">
        <f>PROPER(TabelaClean14[[#This Row],[Coluna1]])</f>
        <v>Terras Fluviais</v>
      </c>
      <c r="K169" s="17" t="e">
        <f>_xlfn.TEXTBEFORE(TabelaClean14[[#This Row],[CidadeCPF]]," | ")</f>
        <v>#N/A</v>
      </c>
      <c r="L169" s="24" t="e">
        <f>_xlfn.TEXTAFTER(TabelaClean14[[#This Row],[CidadeCPF]]," | ")</f>
        <v>#N/A</v>
      </c>
      <c r="M169" s="26">
        <v>9600</v>
      </c>
      <c r="N169" s="78">
        <v>41000</v>
      </c>
      <c r="O169" s="1" t="s">
        <v>50</v>
      </c>
      <c r="P16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69" s="84">
        <v>27</v>
      </c>
      <c r="R169" s="1" t="str" cm="1">
        <f t="array" ref="R169">_xlfn.IFS(TabelaClean14[[#This Row],[qtde_batalhas]]&lt;=10,"Baixo",TabelaClean14[[#This Row],[qtde_batalhas]]&gt;=26,"Alto",TabelaClean14[[#This Row],[qtde_batalhas]]&lt;26,"Médio")</f>
        <v>Alto</v>
      </c>
      <c r="S169" s="1" t="str">
        <f>IF(AND(TabelaClean14[[#This Row],[nivel_risco]]="Alto",TabelaClean14[[#This Row],[flag_inadimplente]]="Sim"),"Arriscado","Ok")</f>
        <v>Ok</v>
      </c>
      <c r="T169" s="26">
        <v>25000</v>
      </c>
      <c r="U169" s="81">
        <f>IF(AND(TabelaClean14[[#This Row],[analise_risco]]="Arriscado",TabelaClean14[[#This Row],[analise_credito]]="Reprovado"),0,IF(TabelaClean14[[#This Row],[status]]="Ativo",TabelaClean14[[#This Row],[valor_solicitado]]*1.08,0))</f>
        <v>27000</v>
      </c>
      <c r="W169" s="1"/>
      <c r="Y169" t="s">
        <v>809</v>
      </c>
      <c r="Z169" t="str">
        <f t="shared" si="2"/>
        <v>Null</v>
      </c>
      <c r="AE169" t="s">
        <v>774</v>
      </c>
      <c r="AF169" t="str">
        <f>TEXT(AE169,"000\.000\.000\-00")</f>
        <v>000.000.134-00</v>
      </c>
      <c r="AH169" s="15" t="s">
        <v>103</v>
      </c>
      <c r="AJ169" s="22">
        <v>22600</v>
      </c>
      <c r="AK169">
        <v>22600</v>
      </c>
      <c r="AM169" s="20">
        <v>58000</v>
      </c>
      <c r="AN169">
        <v>58000</v>
      </c>
      <c r="AO169">
        <v>58000</v>
      </c>
      <c r="AQ169" t="s">
        <v>141</v>
      </c>
      <c r="AZ169" s="39" t="s">
        <v>175</v>
      </c>
      <c r="BA169" t="s">
        <v>141</v>
      </c>
      <c r="BB169" s="26">
        <v>9600</v>
      </c>
      <c r="BC169" s="81">
        <f>IF(AND(TabelaClean14[[#This Row],[analise_risco]]="Arriscado",TabelaClean14[[#This Row],[analise_credito]]="Reprovado"),0,IF(TabelaClean14[[#This Row],[status]]="Ativo",TabelaClean14[[#This Row],[valor_solicitado]]*1.08,0))</f>
        <v>27000</v>
      </c>
    </row>
    <row r="170" spans="1:55">
      <c r="A170" s="24" t="s">
        <v>76</v>
      </c>
      <c r="B170" s="17" t="s">
        <v>911</v>
      </c>
      <c r="C170" s="25" t="s">
        <v>529</v>
      </c>
      <c r="D170" s="54">
        <v>25</v>
      </c>
      <c r="E170" s="30">
        <v>36824</v>
      </c>
      <c r="F170" s="24" t="str">
        <f>TabelaClean14[[#This Row],[CidadeCPF]]</f>
        <v>Castelo Negro</v>
      </c>
      <c r="G170" s="17" t="str">
        <f>TabelaClean14[[#This Row],[RegiaoCPF]]</f>
        <v>Norte</v>
      </c>
      <c r="H170" s="17" t="str">
        <f>_xlfn.XLOOKUP(TabelaClean14[[#This Row],[cpf]],TabelaDirty[cpfclean],TabelaDirty[cidade])</f>
        <v>Castelo Negro</v>
      </c>
      <c r="I170" s="17" t="str">
        <f>_xlfn.XLOOKUP(TabelaClean14[[#This Row],[cpf]],TabelaDirty[cpfclean],TabelaDirty[regiao])</f>
        <v>Norte</v>
      </c>
      <c r="J170" s="17" t="str">
        <f>PROPER(TabelaClean14[[#This Row],[Coluna1]])</f>
        <v>Norte</v>
      </c>
      <c r="K170" s="17" t="e">
        <f>_xlfn.TEXTBEFORE(TabelaClean14[[#This Row],[CidadeCPF]]," | ")</f>
        <v>#N/A</v>
      </c>
      <c r="L170" s="24" t="e">
        <f>_xlfn.TEXTAFTER(TabelaClean14[[#This Row],[CidadeCPF]]," | ")</f>
        <v>#N/A</v>
      </c>
      <c r="M170" s="26">
        <v>18300</v>
      </c>
      <c r="N170" s="78">
        <v>41000</v>
      </c>
      <c r="O170" s="1" t="s">
        <v>50</v>
      </c>
      <c r="P17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0" s="84">
        <v>9</v>
      </c>
      <c r="R170" s="1" t="str" cm="1">
        <f t="array" ref="R170">_xlfn.IFS(TabelaClean14[[#This Row],[qtde_batalhas]]&lt;=10,"Baixo",TabelaClean14[[#This Row],[qtde_batalhas]]&gt;=26,"Alto",TabelaClean14[[#This Row],[qtde_batalhas]]&lt;26,"Médio")</f>
        <v>Baixo</v>
      </c>
      <c r="S170" s="1" t="str">
        <f>IF(AND(TabelaClean14[[#This Row],[nivel_risco]]="Alto",TabelaClean14[[#This Row],[flag_inadimplente]]="Sim"),"Arriscado","Ok")</f>
        <v>Ok</v>
      </c>
      <c r="T170" s="26">
        <v>32500</v>
      </c>
      <c r="U170" s="81">
        <f>IF(AND(TabelaClean14[[#This Row],[analise_risco]]="Arriscado",TabelaClean14[[#This Row],[analise_credito]]="Reprovado"),0,IF(TabelaClean14[[#This Row],[status]]="Ativo",TabelaClean14[[#This Row],[valor_solicitado]]*1.08,0))</f>
        <v>35100</v>
      </c>
      <c r="W170" s="1"/>
      <c r="Y170" t="s">
        <v>809</v>
      </c>
      <c r="Z170" t="str">
        <f t="shared" si="2"/>
        <v>Null</v>
      </c>
      <c r="AE170" t="s">
        <v>278</v>
      </c>
      <c r="AF170" t="str">
        <f>TEXT(AE170,"000\.000\.000\-00")</f>
        <v>000.000.135-00</v>
      </c>
      <c r="AH170" s="15" t="s">
        <v>89</v>
      </c>
      <c r="AJ170" s="22">
        <v>23900</v>
      </c>
      <c r="AK170">
        <v>23900</v>
      </c>
      <c r="AM170" s="21">
        <v>58000</v>
      </c>
      <c r="AN170">
        <v>58000</v>
      </c>
      <c r="AO170">
        <v>58000</v>
      </c>
      <c r="AQ170" t="s">
        <v>223</v>
      </c>
      <c r="AZ170" s="38" t="s">
        <v>716</v>
      </c>
      <c r="BA170" t="s">
        <v>223</v>
      </c>
      <c r="BB170" s="26">
        <v>18300</v>
      </c>
      <c r="BC170" s="81">
        <f>IF(AND(TabelaClean14[[#This Row],[analise_risco]]="Arriscado",TabelaClean14[[#This Row],[analise_credito]]="Reprovado"),0,IF(TabelaClean14[[#This Row],[status]]="Ativo",TabelaClean14[[#This Row],[valor_solicitado]]*1.08,0))</f>
        <v>35100</v>
      </c>
    </row>
    <row r="171" spans="1:55">
      <c r="A171" s="24" t="s">
        <v>76</v>
      </c>
      <c r="B171" s="17" t="s">
        <v>912</v>
      </c>
      <c r="C171" t="str">
        <f>_xlfn.XLOOKUP(TabelaClean14[[#This Row],[nome]],Base_Dirty!$B:$B,Base_Dirty!D:D)</f>
        <v>000.000.000-00</v>
      </c>
      <c r="D171" s="54">
        <f>_xlfn.XLOOKUP(TabelaClean14[[#This Row],[nome]],Base_Dirty!B:B,Base_Dirty!E:E)</f>
        <v>24</v>
      </c>
      <c r="E171" s="51">
        <f>_xlfn.XLOOKUP(TabelaClean14[[#This Row],[nome]],Base_Dirty!$B:$B,Base_Dirty!F:F)</f>
        <v>0</v>
      </c>
      <c r="F171" s="17" t="s">
        <v>89</v>
      </c>
      <c r="G171" s="17" t="s">
        <v>90</v>
      </c>
      <c r="H171" s="24" t="s">
        <v>413</v>
      </c>
      <c r="I171" s="24">
        <v>17000</v>
      </c>
      <c r="J171" s="24">
        <v>41000</v>
      </c>
      <c r="K171" s="24" t="s">
        <v>50</v>
      </c>
      <c r="L171" s="24">
        <v>37</v>
      </c>
      <c r="M171" s="23">
        <f>_xlfn.XLOOKUP(TabelaClean14[[#This Row],[nome]],Base_Dirty!$B:$B,Base_Dirty!I:I)</f>
        <v>17000</v>
      </c>
      <c r="N171" s="78">
        <f>_xlfn.XLOOKUP(TabelaClean14[[#This Row],[nome]],Base_Dirty!$B:$B,Base_Dirty!J:J)</f>
        <v>41000</v>
      </c>
      <c r="O171" s="79" t="s">
        <v>50</v>
      </c>
      <c r="P17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1" s="84">
        <f>_xlfn.XLOOKUP(TabelaClean14[[#This Row],[nome]],Base_Dirty!$B:$B,Base_Dirty!L:L)</f>
        <v>37</v>
      </c>
      <c r="R171" s="76" t="str" cm="1">
        <f t="array" ref="R171">_xlfn.IFS(TabelaClean14[[#This Row],[qtde_batalhas]]&lt;=10,"Baixo",TabelaClean14[[#This Row],[qtde_batalhas]]&gt;=26,"Alto",TabelaClean14[[#This Row],[qtde_batalhas]]&lt;26,"Médio")</f>
        <v>Alto</v>
      </c>
      <c r="S171" s="76" t="str">
        <f>IF(AND(TabelaClean14[[#This Row],[nivel_risco]]="Alto",TabelaClean14[[#This Row],[flag_inadimplente]]="Sim"),"Arriscado","Ok")</f>
        <v>Ok</v>
      </c>
      <c r="T171" s="26">
        <f>_xlfn.XLOOKUP(TabelaClean14[[#This Row],[nome]],Base_Dirty!$B:$B,Base_Dirty!O:O)</f>
        <v>33000</v>
      </c>
      <c r="U171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  <c r="W171" s="1"/>
      <c r="Y171" t="s">
        <v>139</v>
      </c>
      <c r="Z171" t="str">
        <f t="shared" si="2"/>
        <v>Terras Fluviais</v>
      </c>
      <c r="AE171" t="s">
        <v>275</v>
      </c>
      <c r="AF171" t="str">
        <f>TEXT(AE171,"000\.000\.000\-00")</f>
        <v>000.000.136-00</v>
      </c>
      <c r="AH171" s="15" t="s">
        <v>223</v>
      </c>
      <c r="AJ171" s="22">
        <v>16200</v>
      </c>
      <c r="AK171">
        <v>16200</v>
      </c>
      <c r="AM171" s="20">
        <v>25000</v>
      </c>
      <c r="AN171">
        <v>25000</v>
      </c>
      <c r="AO171">
        <v>25000</v>
      </c>
      <c r="AQ171" t="s">
        <v>83</v>
      </c>
      <c r="AZ171" s="39" t="s">
        <v>419</v>
      </c>
      <c r="BA171" t="s">
        <v>83</v>
      </c>
      <c r="BB171" s="23">
        <f>_xlfn.XLOOKUP(TabelaClean14[[#This Row],[nome]],Base_Dirty!$B:$B,Base_Dirty!AX:AX)</f>
        <v>0</v>
      </c>
      <c r="BC171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</row>
    <row r="172" spans="1:55">
      <c r="A172" s="24" t="s">
        <v>76</v>
      </c>
      <c r="B172" s="17" t="s">
        <v>392</v>
      </c>
      <c r="C172" s="25" t="s">
        <v>393</v>
      </c>
      <c r="D172" s="54">
        <v>69</v>
      </c>
      <c r="E172" s="30">
        <v>21051</v>
      </c>
      <c r="F172" s="24" t="str">
        <f>TabelaClean14[[#This Row],[CidadeCPF]]</f>
        <v>Ponta Tempestade</v>
      </c>
      <c r="G172" s="17" t="str">
        <f>TabelaClean14[[#This Row],[RegiaoCPF]]</f>
        <v>Terras Da Tempestade</v>
      </c>
      <c r="H172" s="17" t="str">
        <f>_xlfn.XLOOKUP(TabelaClean14[[#This Row],[cpf]],TabelaDirty[cpfclean],TabelaDirty[cidade])</f>
        <v>Ponta Tempestade</v>
      </c>
      <c r="I172" s="17" t="str">
        <f>_xlfn.XLOOKUP(TabelaClean14[[#This Row],[cpf]],TabelaDirty[cpfclean],TabelaDirty[regiao])</f>
        <v>Terras da Tempestade</v>
      </c>
      <c r="J172" s="17" t="str">
        <f>PROPER(TabelaClean14[[#This Row],[Coluna1]])</f>
        <v>Terras Da Tempestade</v>
      </c>
      <c r="K172" s="17" t="e">
        <f>_xlfn.TEXTBEFORE(TabelaClean14[[#This Row],[CidadeCPF]]," | ")</f>
        <v>#N/A</v>
      </c>
      <c r="L172" s="24" t="e">
        <f>_xlfn.TEXTAFTER(TabelaClean14[[#This Row],[CidadeCPF]]," | ")</f>
        <v>#N/A</v>
      </c>
      <c r="M172" s="26">
        <v>25100</v>
      </c>
      <c r="N172" s="78">
        <v>40500</v>
      </c>
      <c r="O172" s="1" t="s">
        <v>50</v>
      </c>
      <c r="P17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2" s="84">
        <v>43</v>
      </c>
      <c r="R172" s="1" t="str" cm="1">
        <f t="array" ref="R172">_xlfn.IFS(TabelaClean14[[#This Row],[qtde_batalhas]]&lt;=10,"Baixo",TabelaClean14[[#This Row],[qtde_batalhas]]&gt;=26,"Alto",TabelaClean14[[#This Row],[qtde_batalhas]]&lt;26,"Médio")</f>
        <v>Alto</v>
      </c>
      <c r="S172" s="1" t="str">
        <f>IF(AND(TabelaClean14[[#This Row],[nivel_risco]]="Alto",TabelaClean14[[#This Row],[flag_inadimplente]]="Sim"),"Arriscado","Ok")</f>
        <v>Ok</v>
      </c>
      <c r="T172" s="26">
        <v>24500</v>
      </c>
      <c r="U172" s="81">
        <f>IF(AND(TabelaClean14[[#This Row],[analise_risco]]="Arriscado",TabelaClean14[[#This Row],[analise_credito]]="Reprovado"),0,IF(TabelaClean14[[#This Row],[status]]="Ativo",TabelaClean14[[#This Row],[valor_solicitado]]*1.08,0))</f>
        <v>26460</v>
      </c>
      <c r="W172" s="1"/>
      <c r="Y172" t="s">
        <v>809</v>
      </c>
      <c r="Z172" t="str">
        <f t="shared" si="2"/>
        <v>Null</v>
      </c>
      <c r="AE172" t="s">
        <v>286</v>
      </c>
      <c r="AF172" t="str">
        <f>TEXT(AE172,"000\.000\.000\-00")</f>
        <v>000.000.138-00</v>
      </c>
      <c r="AH172" s="15" t="s">
        <v>127</v>
      </c>
      <c r="AJ172" s="22">
        <v>16800</v>
      </c>
      <c r="AK172">
        <v>16800</v>
      </c>
      <c r="AM172" s="21">
        <v>0</v>
      </c>
      <c r="AN172">
        <v>0</v>
      </c>
      <c r="AO172">
        <v>0</v>
      </c>
      <c r="AQ172" t="s">
        <v>83</v>
      </c>
      <c r="AZ172" s="38" t="s">
        <v>130</v>
      </c>
      <c r="BA172" t="s">
        <v>83</v>
      </c>
      <c r="BB172" s="26">
        <v>25100</v>
      </c>
      <c r="BC172" s="81">
        <f>IF(AND(TabelaClean14[[#This Row],[analise_risco]]="Arriscado",TabelaClean14[[#This Row],[analise_credito]]="Reprovado"),0,IF(TabelaClean14[[#This Row],[status]]="Ativo",TabelaClean14[[#This Row],[valor_solicitado]]*1.08,0))</f>
        <v>26460</v>
      </c>
    </row>
    <row r="173" spans="1:55">
      <c r="A173" s="24" t="s">
        <v>76</v>
      </c>
      <c r="B173" s="17" t="s">
        <v>227</v>
      </c>
      <c r="C173" s="25" t="s">
        <v>913</v>
      </c>
      <c r="D173" s="54">
        <v>73</v>
      </c>
      <c r="E173" s="30">
        <v>19588</v>
      </c>
      <c r="F173" s="24" t="str">
        <f>TabelaClean14[[#This Row],[CidadeCPF]]</f>
        <v>Fosso Cailin</v>
      </c>
      <c r="G173" s="17" t="str">
        <f>TabelaClean14[[#This Row],[RegiaoCPF]]</f>
        <v>Norte</v>
      </c>
      <c r="H173" s="17" t="str">
        <f>_xlfn.XLOOKUP(TabelaClean14[[#This Row],[cpf]],TabelaDirty[cpfclean],TabelaDirty[cidade])</f>
        <v>Fosso Cailin</v>
      </c>
      <c r="I173" s="17" t="str">
        <f>_xlfn.XLOOKUP(TabelaClean14[[#This Row],[cpf]],TabelaDirty[cpfclean],TabelaDirty[regiao])</f>
        <v>Norte</v>
      </c>
      <c r="J173" s="17" t="str">
        <f>PROPER(TabelaClean14[[#This Row],[Coluna1]])</f>
        <v>Norte</v>
      </c>
      <c r="K173" s="17" t="e">
        <f>_xlfn.TEXTBEFORE(TabelaClean14[[#This Row],[CidadeCPF]]," | ")</f>
        <v>#N/A</v>
      </c>
      <c r="L173" s="24" t="e">
        <f>_xlfn.TEXTAFTER(TabelaClean14[[#This Row],[CidadeCPF]]," | ")</f>
        <v>#N/A</v>
      </c>
      <c r="M173" s="26">
        <v>28600</v>
      </c>
      <c r="N173" s="78">
        <v>40500</v>
      </c>
      <c r="O173" s="1" t="s">
        <v>50</v>
      </c>
      <c r="P17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3" s="84">
        <v>20</v>
      </c>
      <c r="R173" s="1" t="str" cm="1">
        <f t="array" ref="R173">_xlfn.IFS(TabelaClean14[[#This Row],[qtde_batalhas]]&lt;=10,"Baixo",TabelaClean14[[#This Row],[qtde_batalhas]]&gt;=26,"Alto",TabelaClean14[[#This Row],[qtde_batalhas]]&lt;26,"Médio")</f>
        <v>Médio</v>
      </c>
      <c r="S173" s="1" t="str">
        <f>IF(AND(TabelaClean14[[#This Row],[nivel_risco]]="Alto",TabelaClean14[[#This Row],[flag_inadimplente]]="Sim"),"Arriscado","Ok")</f>
        <v>Ok</v>
      </c>
      <c r="T173" s="26">
        <v>2500</v>
      </c>
      <c r="U173" s="81">
        <f>IF(AND(TabelaClean14[[#This Row],[analise_risco]]="Arriscado",TabelaClean14[[#This Row],[analise_credito]]="Reprovado"),0,IF(TabelaClean14[[#This Row],[status]]="Ativo",TabelaClean14[[#This Row],[valor_solicitado]]*1.08,0))</f>
        <v>2700</v>
      </c>
      <c r="W173" s="1"/>
      <c r="Y173" t="s">
        <v>84</v>
      </c>
      <c r="Z173" t="str">
        <f t="shared" si="2"/>
        <v>Terras Da Tempestade</v>
      </c>
      <c r="AE173" t="s">
        <v>307</v>
      </c>
      <c r="AF173" t="str">
        <f>TEXT(AE173,"000\.000\.000\-00")</f>
        <v>000.000.139-00</v>
      </c>
      <c r="AH173" s="15" t="s">
        <v>148</v>
      </c>
      <c r="AJ173" s="22">
        <v>9200</v>
      </c>
      <c r="AK173">
        <v>9200</v>
      </c>
      <c r="AM173" s="20">
        <v>5000</v>
      </c>
      <c r="AN173">
        <v>5000</v>
      </c>
      <c r="AO173">
        <v>5000</v>
      </c>
      <c r="AQ173" t="s">
        <v>242</v>
      </c>
      <c r="AZ173" s="39" t="s">
        <v>628</v>
      </c>
      <c r="BA173" t="s">
        <v>242</v>
      </c>
      <c r="BB173" s="26">
        <v>28600</v>
      </c>
      <c r="BC173" s="81">
        <f>IF(AND(TabelaClean14[[#This Row],[analise_risco]]="Arriscado",TabelaClean14[[#This Row],[analise_credito]]="Reprovado"),0,IF(TabelaClean14[[#This Row],[status]]="Ativo",TabelaClean14[[#This Row],[valor_solicitado]]*1.08,0))</f>
        <v>2700</v>
      </c>
    </row>
    <row r="174" spans="1:55">
      <c r="A174" s="24" t="s">
        <v>76</v>
      </c>
      <c r="B174" s="17" t="s">
        <v>587</v>
      </c>
      <c r="C174" s="25" t="s">
        <v>588</v>
      </c>
      <c r="D174" s="54">
        <v>70</v>
      </c>
      <c r="E174" s="30">
        <v>20533</v>
      </c>
      <c r="F174" s="24" t="str">
        <f>TabelaClean14[[#This Row],[CidadeCPF]]</f>
        <v>Atalaia da Água Cinzenta</v>
      </c>
      <c r="G174" s="17" t="str">
        <f>TabelaClean14[[#This Row],[RegiaoCPF]]</f>
        <v>Gargalo</v>
      </c>
      <c r="H174" s="17" t="str">
        <f>_xlfn.XLOOKUP(TabelaClean14[[#This Row],[cpf]],TabelaDirty[cpfclean],TabelaDirty[cidade])</f>
        <v>Atalaia da Água Cinzenta</v>
      </c>
      <c r="I174" s="17" t="str">
        <f>_xlfn.XLOOKUP(TabelaClean14[[#This Row],[cpf]],TabelaDirty[cpfclean],TabelaDirty[regiao])</f>
        <v>Gargalo</v>
      </c>
      <c r="J174" s="17" t="str">
        <f>PROPER(TabelaClean14[[#This Row],[Coluna1]])</f>
        <v>Gargalo</v>
      </c>
      <c r="K174" s="17" t="e">
        <f>_xlfn.TEXTBEFORE(TabelaClean14[[#This Row],[CidadeCPF]]," | ")</f>
        <v>#N/A</v>
      </c>
      <c r="L174" s="24" t="e">
        <f>_xlfn.TEXTAFTER(TabelaClean14[[#This Row],[CidadeCPF]]," | ")</f>
        <v>#N/A</v>
      </c>
      <c r="M174" s="26">
        <v>9100</v>
      </c>
      <c r="N174" s="78">
        <v>40500</v>
      </c>
      <c r="O174" s="1" t="s">
        <v>50</v>
      </c>
      <c r="P17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4" s="84">
        <v>35</v>
      </c>
      <c r="R174" s="1" t="str" cm="1">
        <f t="array" ref="R174">_xlfn.IFS(TabelaClean14[[#This Row],[qtde_batalhas]]&lt;=10,"Baixo",TabelaClean14[[#This Row],[qtde_batalhas]]&gt;=26,"Alto",TabelaClean14[[#This Row],[qtde_batalhas]]&lt;26,"Médio")</f>
        <v>Alto</v>
      </c>
      <c r="S174" s="1" t="str">
        <f>IF(AND(TabelaClean14[[#This Row],[nivel_risco]]="Alto",TabelaClean14[[#This Row],[flag_inadimplente]]="Sim"),"Arriscado","Ok")</f>
        <v>Ok</v>
      </c>
      <c r="T174" s="26">
        <v>53000</v>
      </c>
      <c r="U174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  <c r="W174" s="1"/>
      <c r="Y174" t="s">
        <v>809</v>
      </c>
      <c r="Z174" t="str">
        <f t="shared" si="2"/>
        <v>Null</v>
      </c>
      <c r="AE174" t="s">
        <v>387</v>
      </c>
      <c r="AF174" t="str">
        <f>TEXT(AE174,"000\.000\.000\-00")</f>
        <v>000.000.141-00</v>
      </c>
      <c r="AH174" s="15" t="s">
        <v>103</v>
      </c>
      <c r="AJ174" s="22">
        <v>8000</v>
      </c>
      <c r="AK174">
        <v>8000</v>
      </c>
      <c r="AM174" s="21">
        <v>14500</v>
      </c>
      <c r="AN174">
        <v>14500</v>
      </c>
      <c r="AO174">
        <v>14500</v>
      </c>
      <c r="AQ174" t="s">
        <v>183</v>
      </c>
      <c r="AZ174" s="38" t="s">
        <v>617</v>
      </c>
      <c r="BA174" t="s">
        <v>183</v>
      </c>
      <c r="BB174" s="26">
        <v>9100</v>
      </c>
      <c r="BC174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</row>
    <row r="175" spans="1:55">
      <c r="A175" s="29" t="s">
        <v>809</v>
      </c>
      <c r="B175" s="17" t="s">
        <v>452</v>
      </c>
      <c r="C175" s="25" t="s">
        <v>453</v>
      </c>
      <c r="D175" s="54">
        <v>61</v>
      </c>
      <c r="E175" s="30">
        <v>23813</v>
      </c>
      <c r="F175" s="24" t="str">
        <f>TabelaClean14[[#This Row],[CidadeCPF]]</f>
        <v>Braavos</v>
      </c>
      <c r="G175" s="17" t="str">
        <f>TabelaClean14[[#This Row],[RegiaoCPF]]</f>
        <v>Essos</v>
      </c>
      <c r="H175" s="17" t="str">
        <f>_xlfn.XLOOKUP(TabelaClean14[[#This Row],[cpf]],TabelaDirty[cpfclean],TabelaDirty[cidade])</f>
        <v>Braavos</v>
      </c>
      <c r="I175" s="17" t="str">
        <f>_xlfn.XLOOKUP(TabelaClean14[[#This Row],[cpf]],TabelaDirty[cpfclean],TabelaDirty[regiao])</f>
        <v>Essos</v>
      </c>
      <c r="J175" s="17" t="str">
        <f>PROPER(TabelaClean14[[#This Row],[Coluna1]])</f>
        <v>Essos</v>
      </c>
      <c r="K175" s="17" t="e">
        <f>_xlfn.TEXTBEFORE(TabelaClean14[[#This Row],[CidadeCPF]]," | ")</f>
        <v>#N/A</v>
      </c>
      <c r="L175" s="24" t="e">
        <f>_xlfn.TEXTAFTER(TabelaClean14[[#This Row],[CidadeCPF]]," | ")</f>
        <v>#N/A</v>
      </c>
      <c r="M175" s="26">
        <v>26300</v>
      </c>
      <c r="N175" s="78">
        <v>40000</v>
      </c>
      <c r="O175" s="1" t="s">
        <v>51</v>
      </c>
      <c r="P17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5" s="84">
        <v>10</v>
      </c>
      <c r="R175" s="1" t="str" cm="1">
        <f t="array" ref="R175">_xlfn.IFS(TabelaClean14[[#This Row],[qtde_batalhas]]&lt;=10,"Baixo",TabelaClean14[[#This Row],[qtde_batalhas]]&gt;=26,"Alto",TabelaClean14[[#This Row],[qtde_batalhas]]&lt;26,"Médio")</f>
        <v>Baixo</v>
      </c>
      <c r="S175" s="1" t="str">
        <f>IF(AND(TabelaClean14[[#This Row],[nivel_risco]]="Alto",TabelaClean14[[#This Row],[flag_inadimplente]]="Sim"),"Arriscado","Ok")</f>
        <v>Ok</v>
      </c>
      <c r="T175" s="26">
        <v>16500</v>
      </c>
      <c r="U17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75" s="1"/>
      <c r="Y175" t="s">
        <v>809</v>
      </c>
      <c r="Z175" t="str">
        <f t="shared" si="2"/>
        <v>Null</v>
      </c>
      <c r="AE175" t="s">
        <v>495</v>
      </c>
      <c r="AF175" t="str">
        <f>TEXT(AE175,"000\.000\.000\-00")</f>
        <v>000.000.143-00</v>
      </c>
      <c r="AH175" s="15" t="s">
        <v>103</v>
      </c>
      <c r="AJ175" s="22">
        <v>29500</v>
      </c>
      <c r="AK175">
        <v>29500</v>
      </c>
      <c r="AM175" s="20">
        <v>5000</v>
      </c>
      <c r="AN175">
        <v>5000</v>
      </c>
      <c r="AO175">
        <v>5000</v>
      </c>
      <c r="AQ175" t="s">
        <v>154</v>
      </c>
      <c r="AZ175" s="39" t="s">
        <v>595</v>
      </c>
      <c r="BA175" t="s">
        <v>154</v>
      </c>
      <c r="BB175" s="26">
        <v>26300</v>
      </c>
      <c r="BC17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76" spans="1:55">
      <c r="A176" s="24" t="s">
        <v>81</v>
      </c>
      <c r="B176" s="17" t="s">
        <v>503</v>
      </c>
      <c r="C176" s="25" t="s">
        <v>504</v>
      </c>
      <c r="D176" s="54">
        <v>58</v>
      </c>
      <c r="E176" s="30">
        <v>24726</v>
      </c>
      <c r="F176" s="24" t="str">
        <f>TabelaClean14[[#This Row],[CidadeCPF]]</f>
        <v>Meereen</v>
      </c>
      <c r="G176" s="17" t="str">
        <f>TabelaClean14[[#This Row],[RegiaoCPF]]</f>
        <v>Essos</v>
      </c>
      <c r="H176" s="17" t="str">
        <f>_xlfn.XLOOKUP(TabelaClean14[[#This Row],[cpf]],TabelaDirty[cpfclean],TabelaDirty[cidade])</f>
        <v>Meereen</v>
      </c>
      <c r="I176" s="17" t="str">
        <f>_xlfn.XLOOKUP(TabelaClean14[[#This Row],[cpf]],TabelaDirty[cpfclean],TabelaDirty[regiao])</f>
        <v>Essos</v>
      </c>
      <c r="J176" s="17" t="str">
        <f>PROPER(TabelaClean14[[#This Row],[Coluna1]])</f>
        <v>Essos</v>
      </c>
      <c r="K176" s="17" t="e">
        <f>_xlfn.TEXTBEFORE(TabelaClean14[[#This Row],[CidadeCPF]]," | ")</f>
        <v>#N/A</v>
      </c>
      <c r="L176" s="24" t="e">
        <f>_xlfn.TEXTAFTER(TabelaClean14[[#This Row],[CidadeCPF]]," | ")</f>
        <v>#N/A</v>
      </c>
      <c r="M176" s="26">
        <v>20100</v>
      </c>
      <c r="N176" s="78">
        <v>40000</v>
      </c>
      <c r="O176" s="1" t="s">
        <v>50</v>
      </c>
      <c r="P17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6" s="84">
        <v>16</v>
      </c>
      <c r="R176" s="1" t="str" cm="1">
        <f t="array" ref="R176">_xlfn.IFS(TabelaClean14[[#This Row],[qtde_batalhas]]&lt;=10,"Baixo",TabelaClean14[[#This Row],[qtde_batalhas]]&gt;=26,"Alto",TabelaClean14[[#This Row],[qtde_batalhas]]&lt;26,"Médio")</f>
        <v>Médio</v>
      </c>
      <c r="S176" s="1" t="str">
        <f>IF(AND(TabelaClean14[[#This Row],[nivel_risco]]="Alto",TabelaClean14[[#This Row],[flag_inadimplente]]="Sim"),"Arriscado","Ok")</f>
        <v>Ok</v>
      </c>
      <c r="T176" s="26">
        <v>98500</v>
      </c>
      <c r="U17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76" s="1"/>
      <c r="Y176" t="s">
        <v>809</v>
      </c>
      <c r="Z176" t="str">
        <f t="shared" si="2"/>
        <v>Null</v>
      </c>
      <c r="AE176" t="s">
        <v>601</v>
      </c>
      <c r="AF176" t="str">
        <f>TEXT(AE176,"000\.000\.000\-00")</f>
        <v>000.000.144-00</v>
      </c>
      <c r="AH176" s="15" t="s">
        <v>183</v>
      </c>
      <c r="AJ176" s="22">
        <v>14700</v>
      </c>
      <c r="AK176">
        <v>14700</v>
      </c>
      <c r="AM176" s="21">
        <v>0</v>
      </c>
      <c r="AN176">
        <v>0</v>
      </c>
      <c r="AO176">
        <v>0</v>
      </c>
      <c r="AQ176" t="s">
        <v>127</v>
      </c>
      <c r="AZ176" s="38" t="s">
        <v>450</v>
      </c>
      <c r="BA176" t="s">
        <v>127</v>
      </c>
      <c r="BB176" s="26">
        <v>20100</v>
      </c>
      <c r="BC17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77" spans="1:55">
      <c r="A177" s="24" t="s">
        <v>76</v>
      </c>
      <c r="B177" s="17" t="s">
        <v>641</v>
      </c>
      <c r="C177" s="25" t="s">
        <v>642</v>
      </c>
      <c r="D177" s="54">
        <v>65</v>
      </c>
      <c r="E177" s="30">
        <v>22314</v>
      </c>
      <c r="F177" s="24" t="str">
        <f>TabelaClean14[[#This Row],[CidadeCPF]]</f>
        <v>Ponta Tempestade</v>
      </c>
      <c r="G177" s="17" t="str">
        <f>TabelaClean14[[#This Row],[RegiaoCPF]]</f>
        <v>Terras Da Tempestade</v>
      </c>
      <c r="H177" s="17" t="str">
        <f>_xlfn.XLOOKUP(TabelaClean14[[#This Row],[cpf]],TabelaDirty[cpfclean],TabelaDirty[cidade])</f>
        <v>Ponta Tempestade</v>
      </c>
      <c r="I177" s="17" t="str">
        <f>_xlfn.XLOOKUP(TabelaClean14[[#This Row],[cpf]],TabelaDirty[cpfclean],TabelaDirty[regiao])</f>
        <v>Terras Da Tempestade</v>
      </c>
      <c r="J177" s="17" t="str">
        <f>PROPER(TabelaClean14[[#This Row],[Coluna1]])</f>
        <v>Terras Da Tempestade</v>
      </c>
      <c r="K177" s="17" t="e">
        <f>_xlfn.TEXTBEFORE(TabelaClean14[[#This Row],[CidadeCPF]]," | ")</f>
        <v>#N/A</v>
      </c>
      <c r="L177" s="24" t="e">
        <f>_xlfn.TEXTAFTER(TabelaClean14[[#This Row],[CidadeCPF]]," | ")</f>
        <v>#N/A</v>
      </c>
      <c r="M177" s="26">
        <v>6100</v>
      </c>
      <c r="N177" s="78">
        <v>40000</v>
      </c>
      <c r="O177" s="1" t="s">
        <v>50</v>
      </c>
      <c r="P17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7" s="84">
        <v>13</v>
      </c>
      <c r="R177" s="1" t="str" cm="1">
        <f t="array" ref="R177">_xlfn.IFS(TabelaClean14[[#This Row],[qtde_batalhas]]&lt;=10,"Baixo",TabelaClean14[[#This Row],[qtde_batalhas]]&gt;=26,"Alto",TabelaClean14[[#This Row],[qtde_batalhas]]&lt;26,"Médio")</f>
        <v>Médio</v>
      </c>
      <c r="S177" s="1" t="str">
        <f>IF(AND(TabelaClean14[[#This Row],[nivel_risco]]="Alto",TabelaClean14[[#This Row],[flag_inadimplente]]="Sim"),"Arriscado","Ok")</f>
        <v>Ok</v>
      </c>
      <c r="T177" s="26">
        <v>22500</v>
      </c>
      <c r="U177" s="81">
        <f>IF(AND(TabelaClean14[[#This Row],[analise_risco]]="Arriscado",TabelaClean14[[#This Row],[analise_credito]]="Reprovado"),0,IF(TabelaClean14[[#This Row],[status]]="Ativo",TabelaClean14[[#This Row],[valor_solicitado]]*1.08,0))</f>
        <v>24300</v>
      </c>
      <c r="W177" s="1"/>
      <c r="Y177" t="s">
        <v>809</v>
      </c>
      <c r="Z177" t="str">
        <f t="shared" si="2"/>
        <v>Null</v>
      </c>
      <c r="AE177" t="s">
        <v>562</v>
      </c>
      <c r="AF177" t="str">
        <f>TEXT(AE177,"000\.000\.000\-00")</f>
        <v>000.000.146-00</v>
      </c>
      <c r="AH177" s="15" t="s">
        <v>154</v>
      </c>
      <c r="AJ177" s="22">
        <v>12200</v>
      </c>
      <c r="AK177">
        <v>12200</v>
      </c>
      <c r="AM177" s="20">
        <v>79500</v>
      </c>
      <c r="AN177">
        <v>79500</v>
      </c>
      <c r="AO177">
        <v>79500</v>
      </c>
      <c r="AQ177" t="s">
        <v>210</v>
      </c>
      <c r="AZ177" s="39" t="s">
        <v>280</v>
      </c>
      <c r="BA177" t="s">
        <v>210</v>
      </c>
      <c r="BB177" s="26">
        <v>6100</v>
      </c>
      <c r="BC177" s="81">
        <f>IF(AND(TabelaClean14[[#This Row],[analise_risco]]="Arriscado",TabelaClean14[[#This Row],[analise_credito]]="Reprovado"),0,IF(TabelaClean14[[#This Row],[status]]="Ativo",TabelaClean14[[#This Row],[valor_solicitado]]*1.08,0))</f>
        <v>24300</v>
      </c>
    </row>
    <row r="178" spans="1:55">
      <c r="A178" s="24" t="s">
        <v>76</v>
      </c>
      <c r="B178" s="17" t="s">
        <v>395</v>
      </c>
      <c r="C178" s="25" t="s">
        <v>396</v>
      </c>
      <c r="D178" s="54">
        <v>67</v>
      </c>
      <c r="E178" s="30">
        <v>21624</v>
      </c>
      <c r="F178" s="24" t="str">
        <f>TabelaClean14[[#This Row],[CidadeCPF]]</f>
        <v>Winterfell</v>
      </c>
      <c r="G178" s="17" t="str">
        <f>TabelaClean14[[#This Row],[RegiaoCPF]]</f>
        <v>Norte</v>
      </c>
      <c r="H178" s="17" t="str">
        <f>_xlfn.XLOOKUP(TabelaClean14[[#This Row],[cpf]],TabelaDirty[cpfclean],TabelaDirty[cidade])</f>
        <v>Winterfell</v>
      </c>
      <c r="I178" s="17" t="str">
        <f>_xlfn.XLOOKUP(TabelaClean14[[#This Row],[cpf]],TabelaDirty[cpfclean],TabelaDirty[regiao])</f>
        <v>NORTE</v>
      </c>
      <c r="J178" s="17" t="str">
        <f>PROPER(TabelaClean14[[#This Row],[Coluna1]])</f>
        <v>Norte</v>
      </c>
      <c r="K178" s="17" t="e">
        <f>_xlfn.TEXTBEFORE(TabelaClean14[[#This Row],[CidadeCPF]]," | ")</f>
        <v>#N/A</v>
      </c>
      <c r="L178" s="24" t="e">
        <f>_xlfn.TEXTAFTER(TabelaClean14[[#This Row],[CidadeCPF]]," | ")</f>
        <v>#N/A</v>
      </c>
      <c r="M178" s="26">
        <v>8500</v>
      </c>
      <c r="N178" s="78">
        <v>39500</v>
      </c>
      <c r="O178" s="1" t="s">
        <v>51</v>
      </c>
      <c r="P17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8" s="84" t="s">
        <v>809</v>
      </c>
      <c r="R178" s="1" t="str" cm="1">
        <f t="array" ref="R178">_xlfn.IFS(TabelaClean14[[#This Row],[qtde_batalhas]]&lt;=10,"Baixo",TabelaClean14[[#This Row],[qtde_batalhas]]&gt;=26,"Alto",TabelaClean14[[#This Row],[qtde_batalhas]]&lt;26,"Médio")</f>
        <v>Alto</v>
      </c>
      <c r="S178" s="1" t="str">
        <f>IF(AND(TabelaClean14[[#This Row],[nivel_risco]]="Alto",TabelaClean14[[#This Row],[flag_inadimplente]]="Sim"),"Arriscado","Ok")</f>
        <v>Arriscado</v>
      </c>
      <c r="T178" s="26">
        <v>42000</v>
      </c>
      <c r="U178" s="81">
        <f>IF(AND(TabelaClean14[[#This Row],[analise_risco]]="Arriscado",TabelaClean14[[#This Row],[analise_credito]]="Reprovado"),0,IF(TabelaClean14[[#This Row],[status]]="Ativo",TabelaClean14[[#This Row],[valor_solicitado]]*1.08,0))</f>
        <v>45360</v>
      </c>
      <c r="W178" s="1"/>
      <c r="Y178" t="s">
        <v>132</v>
      </c>
      <c r="Z178" t="str">
        <f t="shared" si="2"/>
        <v>Ilhas De Ferro</v>
      </c>
      <c r="AE178" t="s">
        <v>684</v>
      </c>
      <c r="AF178" t="str">
        <f>TEXT(AE178,"000\.000\.000\-00")</f>
        <v>000.000.147-00</v>
      </c>
      <c r="AH178" s="15" t="s">
        <v>141</v>
      </c>
      <c r="AJ178" s="22">
        <v>25000</v>
      </c>
      <c r="AK178">
        <v>25000</v>
      </c>
      <c r="AM178" s="21">
        <v>0</v>
      </c>
      <c r="AN178">
        <v>0</v>
      </c>
      <c r="AO178">
        <v>0</v>
      </c>
      <c r="AQ178" t="s">
        <v>242</v>
      </c>
      <c r="AZ178" s="38" t="s">
        <v>914</v>
      </c>
      <c r="BA178" t="s">
        <v>242</v>
      </c>
      <c r="BB178" s="26">
        <v>8500</v>
      </c>
      <c r="BC178" s="81">
        <f>IF(AND(TabelaClean14[[#This Row],[analise_risco]]="Arriscado",TabelaClean14[[#This Row],[analise_credito]]="Reprovado"),0,IF(TabelaClean14[[#This Row],[status]]="Ativo",TabelaClean14[[#This Row],[valor_solicitado]]*1.08,0))</f>
        <v>45360</v>
      </c>
    </row>
    <row r="179" spans="1:55">
      <c r="A179" s="24" t="s">
        <v>76</v>
      </c>
      <c r="B179" s="17" t="s">
        <v>681</v>
      </c>
      <c r="C179" s="25" t="s">
        <v>682</v>
      </c>
      <c r="D179" s="54">
        <v>28</v>
      </c>
      <c r="E179" s="30" t="s">
        <v>809</v>
      </c>
      <c r="F179" s="24" t="str">
        <f>TabelaClean14[[#This Row],[CidadeCPF]]</f>
        <v>Braavos</v>
      </c>
      <c r="G179" s="17" t="str">
        <f>TabelaClean14[[#This Row],[RegiaoCPF]]</f>
        <v>Essos</v>
      </c>
      <c r="H179" s="17" t="str">
        <f>_xlfn.XLOOKUP(TabelaClean14[[#This Row],[cpf]],TabelaDirty[cpfclean],TabelaDirty[cidade])</f>
        <v>Braavos</v>
      </c>
      <c r="I179" s="17" t="str">
        <f>_xlfn.XLOOKUP(TabelaClean14[[#This Row],[cpf]],TabelaDirty[cpfclean],TabelaDirty[regiao])</f>
        <v>Essos</v>
      </c>
      <c r="J179" s="17" t="str">
        <f>PROPER(TabelaClean14[[#This Row],[Coluna1]])</f>
        <v>Essos</v>
      </c>
      <c r="K179" s="17" t="e">
        <f>_xlfn.TEXTBEFORE(TabelaClean14[[#This Row],[CidadeCPF]]," | ")</f>
        <v>#N/A</v>
      </c>
      <c r="L179" s="24" t="e">
        <f>_xlfn.TEXTAFTER(TabelaClean14[[#This Row],[CidadeCPF]]," | ")</f>
        <v>#N/A</v>
      </c>
      <c r="M179" s="26">
        <v>14500</v>
      </c>
      <c r="N179" s="78">
        <v>39500</v>
      </c>
      <c r="O179" s="1" t="s">
        <v>50</v>
      </c>
      <c r="P17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79" s="84">
        <v>18</v>
      </c>
      <c r="R179" s="1" t="str" cm="1">
        <f t="array" ref="R179">_xlfn.IFS(TabelaClean14[[#This Row],[qtde_batalhas]]&lt;=10,"Baixo",TabelaClean14[[#This Row],[qtde_batalhas]]&gt;=26,"Alto",TabelaClean14[[#This Row],[qtde_batalhas]]&lt;26,"Médio")</f>
        <v>Médio</v>
      </c>
      <c r="S179" s="1" t="str">
        <f>IF(AND(TabelaClean14[[#This Row],[nivel_risco]]="Alto",TabelaClean14[[#This Row],[flag_inadimplente]]="Sim"),"Arriscado","Ok")</f>
        <v>Ok</v>
      </c>
      <c r="T179" s="26">
        <v>32000</v>
      </c>
      <c r="U179" s="81">
        <f>IF(AND(TabelaClean14[[#This Row],[analise_risco]]="Arriscado",TabelaClean14[[#This Row],[analise_credito]]="Reprovado"),0,IF(TabelaClean14[[#This Row],[status]]="Ativo",TabelaClean14[[#This Row],[valor_solicitado]]*1.08,0))</f>
        <v>34560</v>
      </c>
      <c r="W179" s="1"/>
      <c r="Y179" t="s">
        <v>84</v>
      </c>
      <c r="Z179" t="str">
        <f t="shared" si="2"/>
        <v>Terras Da Tempestade</v>
      </c>
      <c r="AE179" t="s">
        <v>458</v>
      </c>
      <c r="AF179" t="str">
        <f>TEXT(AE179,"000\.000\.000\-00")</f>
        <v>000.000.148-00</v>
      </c>
      <c r="AH179" s="15" t="s">
        <v>242</v>
      </c>
      <c r="AJ179" s="22" t="s">
        <v>394</v>
      </c>
      <c r="AK179">
        <v>25100</v>
      </c>
      <c r="AM179" s="20">
        <v>40500</v>
      </c>
      <c r="AN179">
        <v>40500</v>
      </c>
      <c r="AO179">
        <v>40500</v>
      </c>
      <c r="AQ179" t="s">
        <v>210</v>
      </c>
      <c r="AZ179" s="39" t="s">
        <v>462</v>
      </c>
      <c r="BA179" t="s">
        <v>210</v>
      </c>
      <c r="BB179" s="26">
        <v>14500</v>
      </c>
      <c r="BC179" s="81">
        <f>IF(AND(TabelaClean14[[#This Row],[analise_risco]]="Arriscado",TabelaClean14[[#This Row],[analise_credito]]="Reprovado"),0,IF(TabelaClean14[[#This Row],[status]]="Ativo",TabelaClean14[[#This Row],[valor_solicitado]]*1.08,0))</f>
        <v>34560</v>
      </c>
    </row>
    <row r="180" spans="1:55">
      <c r="A180" s="24" t="s">
        <v>76</v>
      </c>
      <c r="B180" s="17" t="s">
        <v>174</v>
      </c>
      <c r="C180" s="25" t="s">
        <v>175</v>
      </c>
      <c r="D180" s="54">
        <v>38</v>
      </c>
      <c r="E180" s="30">
        <v>32166</v>
      </c>
      <c r="F180" s="24" t="str">
        <f>TabelaClean14[[#This Row],[CidadeCPF]]</f>
        <v>Castelo Negro</v>
      </c>
      <c r="G180" s="17" t="str">
        <f>TabelaClean14[[#This Row],[RegiaoCPF]]</f>
        <v>Norte</v>
      </c>
      <c r="H180" s="17" t="str">
        <f>_xlfn.XLOOKUP(TabelaClean14[[#This Row],[cpf]],TabelaDirty[cpfclean],TabelaDirty[cidade])</f>
        <v>Castelo Negro</v>
      </c>
      <c r="I180" s="17" t="str">
        <f>_xlfn.XLOOKUP(TabelaClean14[[#This Row],[cpf]],TabelaDirty[cpfclean],TabelaDirty[regiao])</f>
        <v>norte</v>
      </c>
      <c r="J180" s="17" t="str">
        <f>PROPER(TabelaClean14[[#This Row],[Coluna1]])</f>
        <v>Norte</v>
      </c>
      <c r="K180" s="17" t="e">
        <f>_xlfn.TEXTBEFORE(TabelaClean14[[#This Row],[CidadeCPF]]," | ")</f>
        <v>#N/A</v>
      </c>
      <c r="L180" s="24" t="e">
        <f>_xlfn.TEXTAFTER(TabelaClean14[[#This Row],[CidadeCPF]]," | ")</f>
        <v>#N/A</v>
      </c>
      <c r="M180" s="26">
        <v>19500</v>
      </c>
      <c r="N180" s="78">
        <v>39000</v>
      </c>
      <c r="O180" s="1" t="s">
        <v>50</v>
      </c>
      <c r="P18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0" s="84">
        <v>25</v>
      </c>
      <c r="R180" s="1" t="str" cm="1">
        <f t="array" ref="R180">_xlfn.IFS(TabelaClean14[[#This Row],[qtde_batalhas]]&lt;=10,"Baixo",TabelaClean14[[#This Row],[qtde_batalhas]]&gt;=26,"Alto",TabelaClean14[[#This Row],[qtde_batalhas]]&lt;26,"Médio")</f>
        <v>Médio</v>
      </c>
      <c r="S180" s="1" t="str">
        <f>IF(AND(TabelaClean14[[#This Row],[nivel_risco]]="Alto",TabelaClean14[[#This Row],[flag_inadimplente]]="Sim"),"Arriscado","Ok")</f>
        <v>Ok</v>
      </c>
      <c r="T180" s="26">
        <v>88500</v>
      </c>
      <c r="U180" s="81">
        <f>IF(AND(TabelaClean14[[#This Row],[analise_risco]]="Arriscado",TabelaClean14[[#This Row],[analise_credito]]="Reprovado"),0,IF(TabelaClean14[[#This Row],[status]]="Ativo",TabelaClean14[[#This Row],[valor_solicitado]]*1.08,0))</f>
        <v>95580</v>
      </c>
      <c r="W180" s="1"/>
      <c r="Y180" t="s">
        <v>122</v>
      </c>
      <c r="Z180" t="str">
        <f t="shared" si="2"/>
        <v>Essos</v>
      </c>
      <c r="AE180" t="s">
        <v>748</v>
      </c>
      <c r="AF180" t="str">
        <f>TEXT(AE180,"000\.000\.000\-00")</f>
        <v>000.000.149-00</v>
      </c>
      <c r="AH180" s="15" t="s">
        <v>223</v>
      </c>
      <c r="AJ180" s="22">
        <v>14400</v>
      </c>
      <c r="AK180">
        <v>14400</v>
      </c>
      <c r="AM180" s="21">
        <v>0</v>
      </c>
      <c r="AN180">
        <v>0</v>
      </c>
      <c r="AO180">
        <v>0</v>
      </c>
      <c r="AQ180" t="s">
        <v>148</v>
      </c>
      <c r="AZ180" s="38" t="s">
        <v>212</v>
      </c>
      <c r="BA180" t="s">
        <v>148</v>
      </c>
      <c r="BB180" s="26">
        <v>19500</v>
      </c>
      <c r="BC180" s="81">
        <f>IF(AND(TabelaClean14[[#This Row],[analise_risco]]="Arriscado",TabelaClean14[[#This Row],[analise_credito]]="Reprovado"),0,IF(TabelaClean14[[#This Row],[status]]="Ativo",TabelaClean14[[#This Row],[valor_solicitado]]*1.08,0))</f>
        <v>95580</v>
      </c>
    </row>
    <row r="181" spans="1:55">
      <c r="A181" s="24" t="s">
        <v>76</v>
      </c>
      <c r="B181" s="17" t="s">
        <v>544</v>
      </c>
      <c r="C181" s="25" t="s">
        <v>545</v>
      </c>
      <c r="D181" s="54">
        <v>18</v>
      </c>
      <c r="E181" s="30">
        <v>39338</v>
      </c>
      <c r="F181" s="24" t="str">
        <f>TabelaClean14[[#This Row],[CidadeCPF]]</f>
        <v>Fosso Cailin</v>
      </c>
      <c r="G181" s="17" t="str">
        <f>TabelaClean14[[#This Row],[RegiaoCPF]]</f>
        <v>Norte</v>
      </c>
      <c r="H181" s="17" t="str">
        <f>_xlfn.XLOOKUP(TabelaClean14[[#This Row],[cpf]],TabelaDirty[cpfclean],TabelaDirty[cidade])</f>
        <v>Fosso Cailin</v>
      </c>
      <c r="I181" s="17" t="str">
        <f>_xlfn.XLOOKUP(TabelaClean14[[#This Row],[cpf]],TabelaDirty[cpfclean],TabelaDirty[regiao])</f>
        <v>NORTE</v>
      </c>
      <c r="J181" s="17" t="str">
        <f>PROPER(TabelaClean14[[#This Row],[Coluna1]])</f>
        <v>Norte</v>
      </c>
      <c r="K181" s="17" t="e">
        <f>_xlfn.TEXTBEFORE(TabelaClean14[[#This Row],[CidadeCPF]]," | ")</f>
        <v>#N/A</v>
      </c>
      <c r="L181" s="24" t="e">
        <f>_xlfn.TEXTAFTER(TabelaClean14[[#This Row],[CidadeCPF]]," | ")</f>
        <v>#N/A</v>
      </c>
      <c r="M181" s="26">
        <v>14100</v>
      </c>
      <c r="N181" s="78">
        <v>38500</v>
      </c>
      <c r="O181" s="1" t="s">
        <v>809</v>
      </c>
      <c r="P18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1" s="84">
        <v>7</v>
      </c>
      <c r="R181" s="1" t="str" cm="1">
        <f t="array" ref="R181">_xlfn.IFS(TabelaClean14[[#This Row],[qtde_batalhas]]&lt;=10,"Baixo",TabelaClean14[[#This Row],[qtde_batalhas]]&gt;=26,"Alto",TabelaClean14[[#This Row],[qtde_batalhas]]&lt;26,"Médio")</f>
        <v>Baixo</v>
      </c>
      <c r="S181" s="1" t="str">
        <f>IF(AND(TabelaClean14[[#This Row],[nivel_risco]]="Alto",TabelaClean14[[#This Row],[flag_inadimplente]]="Sim"),"Arriscado","Ok")</f>
        <v>Ok</v>
      </c>
      <c r="T181" s="26">
        <v>11000</v>
      </c>
      <c r="U181" s="81">
        <f>IF(AND(TabelaClean14[[#This Row],[analise_risco]]="Arriscado",TabelaClean14[[#This Row],[analise_credito]]="Reprovado"),0,IF(TabelaClean14[[#This Row],[status]]="Ativo",TabelaClean14[[#This Row],[valor_solicitado]]*1.08,0))</f>
        <v>11880</v>
      </c>
      <c r="W181" s="1"/>
      <c r="Y181" t="s">
        <v>809</v>
      </c>
      <c r="Z181" t="str">
        <f t="shared" si="2"/>
        <v>Null</v>
      </c>
      <c r="AE181" t="s">
        <v>393</v>
      </c>
      <c r="AF181" t="str">
        <f>TEXT(AE181,"000\.000\.000\-00")</f>
        <v>000.000.152-00</v>
      </c>
      <c r="AH181" s="15" t="s">
        <v>183</v>
      </c>
      <c r="AJ181" s="22">
        <v>18700</v>
      </c>
      <c r="AK181">
        <v>18700</v>
      </c>
      <c r="AM181" s="20">
        <v>15000</v>
      </c>
      <c r="AN181">
        <v>15000</v>
      </c>
      <c r="AO181">
        <v>15000</v>
      </c>
      <c r="AQ181" t="s">
        <v>154</v>
      </c>
      <c r="AZ181" s="39" t="s">
        <v>915</v>
      </c>
      <c r="BA181" t="s">
        <v>154</v>
      </c>
      <c r="BB181" s="26">
        <v>14100</v>
      </c>
      <c r="BC181" s="81">
        <f>IF(AND(TabelaClean14[[#This Row],[analise_risco]]="Arriscado",TabelaClean14[[#This Row],[analise_credito]]="Reprovado"),0,IF(TabelaClean14[[#This Row],[status]]="Ativo",TabelaClean14[[#This Row],[valor_solicitado]]*1.08,0))</f>
        <v>11880</v>
      </c>
    </row>
    <row r="182" spans="1:55">
      <c r="A182" s="24" t="s">
        <v>76</v>
      </c>
      <c r="B182" s="17" t="s">
        <v>715</v>
      </c>
      <c r="C182" s="25" t="s">
        <v>716</v>
      </c>
      <c r="D182" s="54">
        <v>49</v>
      </c>
      <c r="E182" s="30">
        <v>28147</v>
      </c>
      <c r="F182" s="24" t="str">
        <f>TabelaClean14[[#This Row],[CidadeCPF]]</f>
        <v>Porto Real</v>
      </c>
      <c r="G182" s="17" t="str">
        <f>TabelaClean14[[#This Row],[RegiaoCPF]]</f>
        <v>Terras Da Coroa</v>
      </c>
      <c r="H182" s="17" t="str">
        <f>_xlfn.XLOOKUP(TabelaClean14[[#This Row],[cpf]],TabelaDirty[cpfclean],TabelaDirty[cidade])</f>
        <v>Porto Real</v>
      </c>
      <c r="I182" s="17" t="str">
        <f>_xlfn.XLOOKUP(TabelaClean14[[#This Row],[cpf]],TabelaDirty[cpfclean],TabelaDirty[regiao])</f>
        <v>Terras Da Coroa</v>
      </c>
      <c r="J182" s="17" t="str">
        <f>PROPER(TabelaClean14[[#This Row],[Coluna1]])</f>
        <v>Terras Da Coroa</v>
      </c>
      <c r="K182" s="17" t="e">
        <f>_xlfn.TEXTBEFORE(TabelaClean14[[#This Row],[CidadeCPF]]," | ")</f>
        <v>#N/A</v>
      </c>
      <c r="L182" s="24" t="e">
        <f>_xlfn.TEXTAFTER(TabelaClean14[[#This Row],[CidadeCPF]]," | ")</f>
        <v>#N/A</v>
      </c>
      <c r="M182" s="26">
        <v>28400</v>
      </c>
      <c r="N182" s="78">
        <v>38500</v>
      </c>
      <c r="O182" s="1" t="s">
        <v>50</v>
      </c>
      <c r="P18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2" s="84">
        <v>26</v>
      </c>
      <c r="R182" s="1" t="str" cm="1">
        <f t="array" ref="R182">_xlfn.IFS(TabelaClean14[[#This Row],[qtde_batalhas]]&lt;=10,"Baixo",TabelaClean14[[#This Row],[qtde_batalhas]]&gt;=26,"Alto",TabelaClean14[[#This Row],[qtde_batalhas]]&lt;26,"Médio")</f>
        <v>Alto</v>
      </c>
      <c r="S182" s="1" t="str">
        <f>IF(AND(TabelaClean14[[#This Row],[nivel_risco]]="Alto",TabelaClean14[[#This Row],[flag_inadimplente]]="Sim"),"Arriscado","Ok")</f>
        <v>Ok</v>
      </c>
      <c r="T182" s="26">
        <v>51000</v>
      </c>
      <c r="U182" s="81">
        <f>IF(AND(TabelaClean14[[#This Row],[analise_risco]]="Arriscado",TabelaClean14[[#This Row],[analise_credito]]="Reprovado"),0,IF(TabelaClean14[[#This Row],[status]]="Ativo",TabelaClean14[[#This Row],[valor_solicitado]]*1.08,0))</f>
        <v>55080</v>
      </c>
      <c r="W182" s="1"/>
      <c r="Y182" t="s">
        <v>809</v>
      </c>
      <c r="Z182" t="str">
        <f t="shared" si="2"/>
        <v>Null</v>
      </c>
      <c r="AE182" t="s">
        <v>656</v>
      </c>
      <c r="AF182" t="str">
        <f>TEXT(AE182,"000\.000\.000\-00")</f>
        <v>000.000.153-00</v>
      </c>
      <c r="AH182" s="15" t="s">
        <v>154</v>
      </c>
      <c r="AJ182" s="22" t="s">
        <v>759</v>
      </c>
      <c r="AK182">
        <v>6400</v>
      </c>
      <c r="AM182" s="21">
        <v>19500</v>
      </c>
      <c r="AN182">
        <v>19500</v>
      </c>
      <c r="AO182">
        <v>19500</v>
      </c>
      <c r="AQ182" t="s">
        <v>112</v>
      </c>
      <c r="AZ182" s="38" t="s">
        <v>111</v>
      </c>
      <c r="BA182" t="s">
        <v>112</v>
      </c>
      <c r="BB182" s="26">
        <v>28400</v>
      </c>
      <c r="BC182" s="81">
        <f>IF(AND(TabelaClean14[[#This Row],[analise_risco]]="Arriscado",TabelaClean14[[#This Row],[analise_credito]]="Reprovado"),0,IF(TabelaClean14[[#This Row],[status]]="Ativo",TabelaClean14[[#This Row],[valor_solicitado]]*1.08,0))</f>
        <v>55080</v>
      </c>
    </row>
    <row r="183" spans="1:55">
      <c r="A183" s="24" t="s">
        <v>76</v>
      </c>
      <c r="B183" s="17" t="s">
        <v>477</v>
      </c>
      <c r="C183" s="25" t="s">
        <v>916</v>
      </c>
      <c r="D183" s="54">
        <v>33</v>
      </c>
      <c r="E183" s="30">
        <v>34084</v>
      </c>
      <c r="F183" s="25" t="s">
        <v>154</v>
      </c>
      <c r="G183" s="25" t="s">
        <v>142</v>
      </c>
      <c r="H183" s="24">
        <v>29700</v>
      </c>
      <c r="I183" s="24">
        <v>38000</v>
      </c>
      <c r="J183" s="24" t="s">
        <v>51</v>
      </c>
      <c r="K183" s="24">
        <v>41</v>
      </c>
      <c r="L183" s="24"/>
      <c r="M183" s="26">
        <v>83500</v>
      </c>
      <c r="N183" s="78">
        <v>38000</v>
      </c>
      <c r="O183" s="1" t="s">
        <v>51</v>
      </c>
      <c r="P18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3" s="84">
        <v>41</v>
      </c>
      <c r="R183" s="76" t="str" cm="1">
        <f t="array" ref="R183">_xlfn.IFS(TabelaClean14[[#This Row],[qtde_batalhas]]&lt;=10,"Baixo",TabelaClean14[[#This Row],[qtde_batalhas]]&gt;=26,"Alto",TabelaClean14[[#This Row],[qtde_batalhas]]&lt;26,"Médio")</f>
        <v>Alto</v>
      </c>
      <c r="S183" s="76" t="str">
        <f>IF(AND(TabelaClean14[[#This Row],[nivel_risco]]="Alto",TabelaClean14[[#This Row],[flag_inadimplente]]="Sim"),"Arriscado","Ok")</f>
        <v>Arriscado</v>
      </c>
      <c r="T183" s="26">
        <v>83500</v>
      </c>
      <c r="U183" s="81">
        <f>IF(AND(TabelaClean14[[#This Row],[analise_risco]]="Arriscado",TabelaClean14[[#This Row],[analise_credito]]="Reprovado"),0,IF(TabelaClean14[[#This Row],[status]]="Ativo",TabelaClean14[[#This Row],[valor_solicitado]]*1.08,0))</f>
        <v>90180</v>
      </c>
      <c r="W183" s="1"/>
      <c r="Y183" t="s">
        <v>809</v>
      </c>
      <c r="Z183" t="str">
        <f t="shared" si="2"/>
        <v>Null</v>
      </c>
      <c r="AE183" t="s">
        <v>611</v>
      </c>
      <c r="AF183" t="str">
        <f>TEXT(AE183,"000\.000\.000\-00")</f>
        <v>000.000.155-00</v>
      </c>
      <c r="AH183" s="15" t="s">
        <v>89</v>
      </c>
      <c r="AJ183" s="22">
        <v>16500</v>
      </c>
      <c r="AK183">
        <v>16500</v>
      </c>
      <c r="AM183" s="20">
        <v>4000</v>
      </c>
      <c r="AN183">
        <v>4000</v>
      </c>
      <c r="AO183">
        <v>4000</v>
      </c>
      <c r="AQ183" t="s">
        <v>79</v>
      </c>
      <c r="AZ183" s="39" t="s">
        <v>709</v>
      </c>
      <c r="BA183" t="s">
        <v>79</v>
      </c>
      <c r="BB183" s="26">
        <v>83500</v>
      </c>
      <c r="BC183" s="81">
        <f>IF(AND(TabelaClean14[[#This Row],[analise_risco]]="Arriscado",TabelaClean14[[#This Row],[analise_credito]]="Reprovado"),0,IF(TabelaClean14[[#This Row],[status]]="Ativo",TabelaClean14[[#This Row],[valor_solicitado]]*1.08,0))</f>
        <v>90180</v>
      </c>
    </row>
    <row r="184" spans="1:55">
      <c r="A184" s="24" t="s">
        <v>81</v>
      </c>
      <c r="B184" s="17" t="s">
        <v>917</v>
      </c>
      <c r="C184" s="25" t="s">
        <v>419</v>
      </c>
      <c r="D184" s="54">
        <v>52</v>
      </c>
      <c r="E184" s="30">
        <v>27186</v>
      </c>
      <c r="F184" s="24" t="str">
        <f>TabelaClean14[[#This Row],[CidadeCPF]]</f>
        <v>Ponta Tempestade</v>
      </c>
      <c r="G184" s="17" t="str">
        <f>TabelaClean14[[#This Row],[RegiaoCPF]]</f>
        <v>Terras Da Tempestade</v>
      </c>
      <c r="H184" s="17" t="str">
        <f>_xlfn.XLOOKUP(TabelaClean14[[#This Row],[cpf]],TabelaDirty[cpfclean],TabelaDirty[cidade])</f>
        <v>Ponta Tempestade</v>
      </c>
      <c r="I184" s="17" t="str">
        <f>_xlfn.XLOOKUP(TabelaClean14[[#This Row],[cpf]],TabelaDirty[cpfclean],TabelaDirty[regiao])</f>
        <v>terras da tempestade</v>
      </c>
      <c r="J184" s="17" t="str">
        <f>PROPER(TabelaClean14[[#This Row],[Coluna1]])</f>
        <v>Terras Da Tempestade</v>
      </c>
      <c r="K184" s="17" t="e">
        <f>_xlfn.TEXTBEFORE(TabelaClean14[[#This Row],[CidadeCPF]]," | ")</f>
        <v>#N/A</v>
      </c>
      <c r="L184" s="24" t="e">
        <f>_xlfn.TEXTAFTER(TabelaClean14[[#This Row],[CidadeCPF]]," | ")</f>
        <v>#N/A</v>
      </c>
      <c r="M184" s="26">
        <v>6400</v>
      </c>
      <c r="N184" s="78">
        <v>37000</v>
      </c>
      <c r="O184" s="1" t="s">
        <v>50</v>
      </c>
      <c r="P18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4" s="84">
        <v>1</v>
      </c>
      <c r="R184" s="1" t="str" cm="1">
        <f t="array" ref="R184">_xlfn.IFS(TabelaClean14[[#This Row],[qtde_batalhas]]&lt;=10,"Baixo",TabelaClean14[[#This Row],[qtde_batalhas]]&gt;=26,"Alto",TabelaClean14[[#This Row],[qtde_batalhas]]&lt;26,"Médio")</f>
        <v>Baixo</v>
      </c>
      <c r="S184" s="1" t="str">
        <f>IF(AND(TabelaClean14[[#This Row],[nivel_risco]]="Alto",TabelaClean14[[#This Row],[flag_inadimplente]]="Sim"),"Arriscado","Ok")</f>
        <v>Ok</v>
      </c>
      <c r="T184" s="26">
        <v>87000</v>
      </c>
      <c r="U18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84" s="1"/>
      <c r="Y184" t="s">
        <v>809</v>
      </c>
      <c r="Z184" t="str">
        <f t="shared" si="2"/>
        <v>Null</v>
      </c>
      <c r="AE184" t="s">
        <v>430</v>
      </c>
      <c r="AF184" t="str">
        <f>TEXT(AE184,"000\.000\.000\-00")</f>
        <v>000.000.157-00</v>
      </c>
      <c r="AH184" s="15" t="s">
        <v>112</v>
      </c>
      <c r="AJ184" s="22">
        <v>16400</v>
      </c>
      <c r="AK184">
        <v>16400</v>
      </c>
      <c r="AM184" s="21" t="s">
        <v>581</v>
      </c>
      <c r="AN184" t="s">
        <v>809</v>
      </c>
      <c r="AO184" t="s">
        <v>809</v>
      </c>
      <c r="AQ184" t="s">
        <v>112</v>
      </c>
      <c r="AZ184" s="38" t="s">
        <v>380</v>
      </c>
      <c r="BA184" t="s">
        <v>112</v>
      </c>
      <c r="BB184" s="26">
        <v>6400</v>
      </c>
      <c r="BC18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85" spans="1:55">
      <c r="A185" s="24" t="s">
        <v>76</v>
      </c>
      <c r="B185" s="17" t="s">
        <v>129</v>
      </c>
      <c r="C185" s="25" t="s">
        <v>130</v>
      </c>
      <c r="D185" s="54">
        <v>54</v>
      </c>
      <c r="E185" s="30">
        <v>26382</v>
      </c>
      <c r="F185" s="24" t="str">
        <f>TabelaClean14[[#This Row],[CidadeCPF]]</f>
        <v>Ponta Tempestade</v>
      </c>
      <c r="G185" s="17" t="str">
        <f>TabelaClean14[[#This Row],[RegiaoCPF]]</f>
        <v>Terras Da Tempestade</v>
      </c>
      <c r="H185" s="17" t="str">
        <f>_xlfn.XLOOKUP(TabelaClean14[[#This Row],[cpf]],TabelaDirty[cpfclean],TabelaDirty[cidade])</f>
        <v>Ponta Tempestade</v>
      </c>
      <c r="I185" s="17" t="str">
        <f>_xlfn.XLOOKUP(TabelaClean14[[#This Row],[cpf]],TabelaDirty[cpfclean],TabelaDirty[regiao])</f>
        <v>Terras da Tempestade</v>
      </c>
      <c r="J185" s="17" t="str">
        <f>PROPER(TabelaClean14[[#This Row],[Coluna1]])</f>
        <v>Terras Da Tempestade</v>
      </c>
      <c r="K185" s="17" t="e">
        <f>_xlfn.TEXTBEFORE(TabelaClean14[[#This Row],[CidadeCPF]]," | ")</f>
        <v>#N/A</v>
      </c>
      <c r="L185" s="24" t="e">
        <f>_xlfn.TEXTAFTER(TabelaClean14[[#This Row],[CidadeCPF]]," | ")</f>
        <v>#N/A</v>
      </c>
      <c r="M185" s="26">
        <v>22100</v>
      </c>
      <c r="N185" s="78">
        <v>37000</v>
      </c>
      <c r="O185" s="1" t="s">
        <v>50</v>
      </c>
      <c r="P18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5" s="84">
        <v>34</v>
      </c>
      <c r="R185" s="1" t="str" cm="1">
        <f t="array" ref="R185">_xlfn.IFS(TabelaClean14[[#This Row],[qtde_batalhas]]&lt;=10,"Baixo",TabelaClean14[[#This Row],[qtde_batalhas]]&gt;=26,"Alto",TabelaClean14[[#This Row],[qtde_batalhas]]&lt;26,"Médio")</f>
        <v>Alto</v>
      </c>
      <c r="S185" s="1" t="str">
        <f>IF(AND(TabelaClean14[[#This Row],[nivel_risco]]="Alto",TabelaClean14[[#This Row],[flag_inadimplente]]="Sim"),"Arriscado","Ok")</f>
        <v>Ok</v>
      </c>
      <c r="T185" s="26">
        <v>87000</v>
      </c>
      <c r="U185" s="81">
        <f>IF(AND(TabelaClean14[[#This Row],[analise_risco]]="Arriscado",TabelaClean14[[#This Row],[analise_credito]]="Reprovado"),0,IF(TabelaClean14[[#This Row],[status]]="Ativo",TabelaClean14[[#This Row],[valor_solicitado]]*1.08,0))</f>
        <v>93960</v>
      </c>
      <c r="W185" s="1"/>
      <c r="Y185" t="s">
        <v>80</v>
      </c>
      <c r="Z185" t="str">
        <f t="shared" si="2"/>
        <v>Vale</v>
      </c>
      <c r="AE185" t="s">
        <v>590</v>
      </c>
      <c r="AF185" t="str">
        <f>TEXT(AE185,"000\.000\.000\-00")</f>
        <v>000.000.158-00</v>
      </c>
      <c r="AH185" s="15" t="s">
        <v>112</v>
      </c>
      <c r="AJ185" s="22">
        <v>10500</v>
      </c>
      <c r="AK185">
        <v>10500</v>
      </c>
      <c r="AM185" s="20">
        <v>50500</v>
      </c>
      <c r="AN185">
        <v>50500</v>
      </c>
      <c r="AO185">
        <v>50500</v>
      </c>
      <c r="AQ185" t="s">
        <v>112</v>
      </c>
      <c r="AZ185" s="39" t="s">
        <v>197</v>
      </c>
      <c r="BA185" t="s">
        <v>112</v>
      </c>
      <c r="BB185" s="26">
        <v>22100</v>
      </c>
      <c r="BC185" s="81">
        <f>IF(AND(TabelaClean14[[#This Row],[analise_risco]]="Arriscado",TabelaClean14[[#This Row],[analise_credito]]="Reprovado"),0,IF(TabelaClean14[[#This Row],[status]]="Ativo",TabelaClean14[[#This Row],[valor_solicitado]]*1.08,0))</f>
        <v>93960</v>
      </c>
    </row>
    <row r="186" spans="1:55">
      <c r="A186" s="24" t="s">
        <v>81</v>
      </c>
      <c r="B186" s="17" t="s">
        <v>918</v>
      </c>
      <c r="C186" s="25" t="s">
        <v>628</v>
      </c>
      <c r="D186" s="54">
        <v>36</v>
      </c>
      <c r="E186" s="30">
        <v>32914</v>
      </c>
      <c r="F186" s="24" t="str">
        <f>TabelaClean14[[#This Row],[CidadeCPF]]</f>
        <v>Atalaia da Água Cinzenta</v>
      </c>
      <c r="G186" s="17" t="str">
        <f>TabelaClean14[[#This Row],[RegiaoCPF]]</f>
        <v>Gargalo</v>
      </c>
      <c r="H186" s="17" t="str">
        <f>_xlfn.XLOOKUP(TabelaClean14[[#This Row],[cpf]],TabelaDirty[cpfclean],TabelaDirty[cidade])</f>
        <v>Atalaia da Água Cinzenta</v>
      </c>
      <c r="I186" s="17" t="str">
        <f>_xlfn.XLOOKUP(TabelaClean14[[#This Row],[cpf]],TabelaDirty[cpfclean],TabelaDirty[regiao])</f>
        <v>Gargalo</v>
      </c>
      <c r="J186" s="17" t="str">
        <f>PROPER(TabelaClean14[[#This Row],[Coluna1]])</f>
        <v>Gargalo</v>
      </c>
      <c r="K186" s="17" t="e">
        <f>_xlfn.TEXTBEFORE(TabelaClean14[[#This Row],[CidadeCPF]]," | ")</f>
        <v>#N/A</v>
      </c>
      <c r="L186" s="24" t="e">
        <f>_xlfn.TEXTAFTER(TabelaClean14[[#This Row],[CidadeCPF]]," | ")</f>
        <v>#N/A</v>
      </c>
      <c r="M186" s="26">
        <v>27600</v>
      </c>
      <c r="N186" s="78">
        <v>37000</v>
      </c>
      <c r="O186" s="1" t="s">
        <v>50</v>
      </c>
      <c r="P18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6" s="84">
        <v>15</v>
      </c>
      <c r="R186" s="1" t="str" cm="1">
        <f t="array" ref="R186">_xlfn.IFS(TabelaClean14[[#This Row],[qtde_batalhas]]&lt;=10,"Baixo",TabelaClean14[[#This Row],[qtde_batalhas]]&gt;=26,"Alto",TabelaClean14[[#This Row],[qtde_batalhas]]&lt;26,"Médio")</f>
        <v>Médio</v>
      </c>
      <c r="S186" s="1" t="str">
        <f>IF(AND(TabelaClean14[[#This Row],[nivel_risco]]="Alto",TabelaClean14[[#This Row],[flag_inadimplente]]="Sim"),"Arriscado","Ok")</f>
        <v>Ok</v>
      </c>
      <c r="T186" s="26">
        <v>41500</v>
      </c>
      <c r="U18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86" s="1"/>
      <c r="Y186" t="s">
        <v>142</v>
      </c>
      <c r="Z186" t="str">
        <f t="shared" si="2"/>
        <v>Norte</v>
      </c>
      <c r="AE186" t="s">
        <v>137</v>
      </c>
      <c r="AF186" t="str">
        <f>TEXT(AE186,"000\.000\.000\-00")</f>
        <v>000.000.162-00</v>
      </c>
      <c r="AH186" s="15" t="s">
        <v>141</v>
      </c>
      <c r="AJ186" s="22">
        <v>20500</v>
      </c>
      <c r="AK186">
        <v>20500</v>
      </c>
      <c r="AM186" s="21">
        <v>47500</v>
      </c>
      <c r="AN186">
        <v>47500</v>
      </c>
      <c r="AO186">
        <v>47500</v>
      </c>
      <c r="AQ186" t="s">
        <v>242</v>
      </c>
      <c r="AZ186" s="38" t="s">
        <v>458</v>
      </c>
      <c r="BA186" t="s">
        <v>242</v>
      </c>
      <c r="BB186" s="26">
        <v>27600</v>
      </c>
      <c r="BC18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87" spans="1:55">
      <c r="A187" s="24" t="s">
        <v>76</v>
      </c>
      <c r="B187" s="17" t="s">
        <v>616</v>
      </c>
      <c r="C187" s="25" t="s">
        <v>617</v>
      </c>
      <c r="D187" s="54">
        <v>34</v>
      </c>
      <c r="E187" s="30">
        <v>33746</v>
      </c>
      <c r="F187" s="24" t="str">
        <f>TabelaClean14[[#This Row],[CidadeCPF]]</f>
        <v>Dorne</v>
      </c>
      <c r="G187" s="17" t="str">
        <f>TabelaClean14[[#This Row],[RegiaoCPF]]</f>
        <v>Dorne</v>
      </c>
      <c r="H187" s="17" t="str">
        <f>_xlfn.XLOOKUP(TabelaClean14[[#This Row],[cpf]],TabelaDirty[cpfclean],TabelaDirty[cidade])</f>
        <v>Dorne</v>
      </c>
      <c r="I187" s="17" t="str">
        <f>_xlfn.XLOOKUP(TabelaClean14[[#This Row],[cpf]],TabelaDirty[cpfclean],TabelaDirty[regiao])</f>
        <v>Dorne</v>
      </c>
      <c r="J187" s="17" t="str">
        <f>PROPER(TabelaClean14[[#This Row],[Coluna1]])</f>
        <v>Dorne</v>
      </c>
      <c r="K187" s="17" t="e">
        <f>_xlfn.TEXTBEFORE(TabelaClean14[[#This Row],[CidadeCPF]]," | ")</f>
        <v>#N/A</v>
      </c>
      <c r="L187" s="24" t="e">
        <f>_xlfn.TEXTAFTER(TabelaClean14[[#This Row],[CidadeCPF]]," | ")</f>
        <v>#N/A</v>
      </c>
      <c r="M187" s="26">
        <v>28900</v>
      </c>
      <c r="N187" s="78">
        <v>37000</v>
      </c>
      <c r="O187" s="1" t="s">
        <v>50</v>
      </c>
      <c r="P18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7" s="84">
        <v>21</v>
      </c>
      <c r="R187" s="1" t="str" cm="1">
        <f t="array" ref="R187">_xlfn.IFS(TabelaClean14[[#This Row],[qtde_batalhas]]&lt;=10,"Baixo",TabelaClean14[[#This Row],[qtde_batalhas]]&gt;=26,"Alto",TabelaClean14[[#This Row],[qtde_batalhas]]&lt;26,"Médio")</f>
        <v>Médio</v>
      </c>
      <c r="S187" s="1" t="str">
        <f>IF(AND(TabelaClean14[[#This Row],[nivel_risco]]="Alto",TabelaClean14[[#This Row],[flag_inadimplente]]="Sim"),"Arriscado","Ok")</f>
        <v>Ok</v>
      </c>
      <c r="T187" s="26">
        <v>97500</v>
      </c>
      <c r="U187" s="81">
        <f>IF(AND(TabelaClean14[[#This Row],[analise_risco]]="Arriscado",TabelaClean14[[#This Row],[analise_credito]]="Reprovado"),0,IF(TabelaClean14[[#This Row],[status]]="Ativo",TabelaClean14[[#This Row],[valor_solicitado]]*1.08,0))</f>
        <v>105300</v>
      </c>
      <c r="W187" s="1"/>
      <c r="Y187" t="s">
        <v>809</v>
      </c>
      <c r="Z187" t="str">
        <f t="shared" si="2"/>
        <v>Null</v>
      </c>
      <c r="AE187" t="s">
        <v>753</v>
      </c>
      <c r="AF187" t="str">
        <f>TEXT(AE187,"000\.000\.000\-00")</f>
        <v>000.000.164-00</v>
      </c>
      <c r="AH187" s="15" t="s">
        <v>103</v>
      </c>
      <c r="AJ187" s="22">
        <v>12400</v>
      </c>
      <c r="AK187">
        <v>12400</v>
      </c>
      <c r="AM187" s="20">
        <v>21500</v>
      </c>
      <c r="AN187">
        <v>21500</v>
      </c>
      <c r="AO187">
        <v>21500</v>
      </c>
      <c r="AQ187" t="s">
        <v>148</v>
      </c>
      <c r="AZ187" s="39" t="s">
        <v>919</v>
      </c>
      <c r="BA187" t="s">
        <v>148</v>
      </c>
      <c r="BB187" s="26">
        <v>28900</v>
      </c>
      <c r="BC187" s="81">
        <f>IF(AND(TabelaClean14[[#This Row],[analise_risco]]="Arriscado",TabelaClean14[[#This Row],[analise_credito]]="Reprovado"),0,IF(TabelaClean14[[#This Row],[status]]="Ativo",TabelaClean14[[#This Row],[valor_solicitado]]*1.08,0))</f>
        <v>105300</v>
      </c>
    </row>
    <row r="188" spans="1:55">
      <c r="A188" s="24" t="s">
        <v>81</v>
      </c>
      <c r="B188" s="17" t="s">
        <v>765</v>
      </c>
      <c r="C188" s="25" t="s">
        <v>920</v>
      </c>
      <c r="D188" s="54" t="s">
        <v>809</v>
      </c>
      <c r="E188" s="30">
        <v>32890</v>
      </c>
      <c r="F188" s="24" t="str">
        <f>TabelaClean14[[#This Row],[CidadeCPF]]</f>
        <v>Correrrio</v>
      </c>
      <c r="G188" s="17" t="str">
        <f>TabelaClean14[[#This Row],[RegiaoCPF]]</f>
        <v>Terras Fluviais</v>
      </c>
      <c r="H188" s="17" t="str">
        <f>_xlfn.XLOOKUP(TabelaClean14[[#This Row],[cpf]],TabelaDirty[cpfclean],TabelaDirty[cidade])</f>
        <v>Correrrio</v>
      </c>
      <c r="I188" s="17" t="str">
        <f>_xlfn.XLOOKUP(TabelaClean14[[#This Row],[cpf]],TabelaDirty[cpfclean],TabelaDirty[regiao])</f>
        <v>terras fluviais</v>
      </c>
      <c r="J188" s="17" t="str">
        <f>PROPER(TabelaClean14[[#This Row],[Coluna1]])</f>
        <v>Terras Fluviais</v>
      </c>
      <c r="K188" s="17" t="e">
        <f>_xlfn.TEXTBEFORE(TabelaClean14[[#This Row],[CidadeCPF]]," | ")</f>
        <v>#N/A</v>
      </c>
      <c r="L188" s="24" t="e">
        <f>_xlfn.TEXTAFTER(TabelaClean14[[#This Row],[CidadeCPF]]," | ")</f>
        <v>#N/A</v>
      </c>
      <c r="M188" s="26">
        <v>28100</v>
      </c>
      <c r="N188" s="78">
        <v>36500</v>
      </c>
      <c r="O188" s="1" t="s">
        <v>50</v>
      </c>
      <c r="P18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8" s="84">
        <v>13</v>
      </c>
      <c r="R188" s="1" t="str" cm="1">
        <f t="array" ref="R188">_xlfn.IFS(TabelaClean14[[#This Row],[qtde_batalhas]]&lt;=10,"Baixo",TabelaClean14[[#This Row],[qtde_batalhas]]&gt;=26,"Alto",TabelaClean14[[#This Row],[qtde_batalhas]]&lt;26,"Médio")</f>
        <v>Médio</v>
      </c>
      <c r="S188" s="1" t="str">
        <f>IF(AND(TabelaClean14[[#This Row],[nivel_risco]]="Alto",TabelaClean14[[#This Row],[flag_inadimplente]]="Sim"),"Arriscado","Ok")</f>
        <v>Ok</v>
      </c>
      <c r="T188" s="26">
        <v>5000</v>
      </c>
      <c r="U18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88" s="1"/>
      <c r="Y188" t="s">
        <v>809</v>
      </c>
      <c r="Z188" t="str">
        <f t="shared" si="2"/>
        <v>Null</v>
      </c>
      <c r="AE188" t="s">
        <v>377</v>
      </c>
      <c r="AF188" t="str">
        <f>TEXT(AE188,"000\.000\.000\-00")</f>
        <v>000.000.167-00</v>
      </c>
      <c r="AH188" s="15" t="s">
        <v>103</v>
      </c>
      <c r="AJ188" s="22">
        <v>28300</v>
      </c>
      <c r="AK188">
        <v>28300</v>
      </c>
      <c r="AM188" s="21">
        <v>56000</v>
      </c>
      <c r="AN188">
        <v>56000</v>
      </c>
      <c r="AO188">
        <v>56000</v>
      </c>
      <c r="AQ188" t="s">
        <v>223</v>
      </c>
      <c r="AZ188" s="38" t="s">
        <v>350</v>
      </c>
      <c r="BA188" t="s">
        <v>223</v>
      </c>
      <c r="BB188" s="26">
        <v>28100</v>
      </c>
      <c r="BC18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89" spans="1:55">
      <c r="A189" s="24" t="s">
        <v>76</v>
      </c>
      <c r="B189" s="17" t="s">
        <v>594</v>
      </c>
      <c r="C189" s="25" t="s">
        <v>595</v>
      </c>
      <c r="D189" s="54">
        <v>39</v>
      </c>
      <c r="E189" s="30">
        <v>31814</v>
      </c>
      <c r="F189" s="24" t="str">
        <f>TabelaClean14[[#This Row],[CidadeCPF]]</f>
        <v>Ilha dos Ursos</v>
      </c>
      <c r="G189" s="17" t="str">
        <f>TabelaClean14[[#This Row],[RegiaoCPF]]</f>
        <v>Norte</v>
      </c>
      <c r="H189" s="17" t="str">
        <f>_xlfn.XLOOKUP(TabelaClean14[[#This Row],[cpf]],TabelaDirty[cpfclean],TabelaDirty[cidade])</f>
        <v>Ilha dos Ursos</v>
      </c>
      <c r="I189" s="17" t="str">
        <f>_xlfn.XLOOKUP(TabelaClean14[[#This Row],[cpf]],TabelaDirty[cpfclean],TabelaDirty[regiao])</f>
        <v>Norte</v>
      </c>
      <c r="J189" s="17" t="str">
        <f>PROPER(TabelaClean14[[#This Row],[Coluna1]])</f>
        <v>Norte</v>
      </c>
      <c r="K189" s="17" t="e">
        <f>_xlfn.TEXTBEFORE(TabelaClean14[[#This Row],[CidadeCPF]]," | ")</f>
        <v>#N/A</v>
      </c>
      <c r="L189" s="24" t="e">
        <f>_xlfn.TEXTAFTER(TabelaClean14[[#This Row],[CidadeCPF]]," | ")</f>
        <v>#N/A</v>
      </c>
      <c r="M189" s="26">
        <v>9300</v>
      </c>
      <c r="N189" s="78">
        <v>36500</v>
      </c>
      <c r="O189" s="1" t="s">
        <v>50</v>
      </c>
      <c r="P18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89" s="84" t="s">
        <v>809</v>
      </c>
      <c r="R189" s="1" t="str" cm="1">
        <f t="array" ref="R189">_xlfn.IFS(TabelaClean14[[#This Row],[qtde_batalhas]]&lt;=10,"Baixo",TabelaClean14[[#This Row],[qtde_batalhas]]&gt;=26,"Alto",TabelaClean14[[#This Row],[qtde_batalhas]]&lt;26,"Médio")</f>
        <v>Alto</v>
      </c>
      <c r="S189" s="1" t="str">
        <f>IF(AND(TabelaClean14[[#This Row],[nivel_risco]]="Alto",TabelaClean14[[#This Row],[flag_inadimplente]]="Sim"),"Arriscado","Ok")</f>
        <v>Ok</v>
      </c>
      <c r="T189" s="26">
        <v>3000</v>
      </c>
      <c r="U189" s="81">
        <f>IF(AND(TabelaClean14[[#This Row],[analise_risco]]="Arriscado",TabelaClean14[[#This Row],[analise_credito]]="Reprovado"),0,IF(TabelaClean14[[#This Row],[status]]="Ativo",TabelaClean14[[#This Row],[valor_solicitado]]*1.08,0))</f>
        <v>3240</v>
      </c>
      <c r="W189" s="1"/>
      <c r="Y189" t="s">
        <v>809</v>
      </c>
      <c r="Z189" t="str">
        <f t="shared" si="2"/>
        <v>Null</v>
      </c>
      <c r="AE189" t="s">
        <v>525</v>
      </c>
      <c r="AF189" t="str">
        <f>TEXT(AE189,"000\.000\.000\-00")</f>
        <v>000.000.168-00</v>
      </c>
      <c r="AH189" s="15" t="s">
        <v>83</v>
      </c>
      <c r="AJ189" s="22">
        <v>17000</v>
      </c>
      <c r="AK189">
        <v>17000</v>
      </c>
      <c r="AM189" s="20">
        <v>64000</v>
      </c>
      <c r="AN189">
        <v>64000</v>
      </c>
      <c r="AO189">
        <v>64000</v>
      </c>
      <c r="AQ189" t="s">
        <v>302</v>
      </c>
      <c r="AZ189" s="39" t="s">
        <v>921</v>
      </c>
      <c r="BA189" t="s">
        <v>302</v>
      </c>
      <c r="BB189" s="26">
        <v>9300</v>
      </c>
      <c r="BC189" s="81">
        <f>IF(AND(TabelaClean14[[#This Row],[analise_risco]]="Arriscado",TabelaClean14[[#This Row],[analise_credito]]="Reprovado"),0,IF(TabelaClean14[[#This Row],[status]]="Ativo",TabelaClean14[[#This Row],[valor_solicitado]]*1.08,0))</f>
        <v>3240</v>
      </c>
    </row>
    <row r="190" spans="1:55">
      <c r="A190" s="24" t="s">
        <v>81</v>
      </c>
      <c r="B190" s="17" t="s">
        <v>449</v>
      </c>
      <c r="C190" s="25" t="s">
        <v>450</v>
      </c>
      <c r="D190" s="54">
        <v>63</v>
      </c>
      <c r="E190" s="30">
        <v>22924</v>
      </c>
      <c r="F190" s="24" t="str">
        <f>TabelaClean14[[#This Row],[CidadeCPF]]</f>
        <v>Braavos</v>
      </c>
      <c r="G190" s="17" t="str">
        <f>TabelaClean14[[#This Row],[RegiaoCPF]]</f>
        <v>Essos</v>
      </c>
      <c r="H190" s="17" t="str">
        <f>_xlfn.XLOOKUP(TabelaClean14[[#This Row],[cpf]],TabelaDirty[cpfclean],TabelaDirty[cidade])</f>
        <v>Braavos</v>
      </c>
      <c r="I190" s="17" t="str">
        <f>_xlfn.XLOOKUP(TabelaClean14[[#This Row],[cpf]],TabelaDirty[cpfclean],TabelaDirty[regiao])</f>
        <v>ESSOS</v>
      </c>
      <c r="J190" s="17" t="str">
        <f>PROPER(TabelaClean14[[#This Row],[Coluna1]])</f>
        <v>Essos</v>
      </c>
      <c r="K190" s="17" t="e">
        <f>_xlfn.TEXTBEFORE(TabelaClean14[[#This Row],[CidadeCPF]]," | ")</f>
        <v>#N/A</v>
      </c>
      <c r="L190" s="24" t="e">
        <f>_xlfn.TEXTAFTER(TabelaClean14[[#This Row],[CidadeCPF]]," | ")</f>
        <v>#N/A</v>
      </c>
      <c r="M190" s="26">
        <v>29000</v>
      </c>
      <c r="N190" s="78">
        <v>36500</v>
      </c>
      <c r="O190" s="1" t="s">
        <v>50</v>
      </c>
      <c r="P19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0" s="84">
        <v>38</v>
      </c>
      <c r="R190" s="1" t="str" cm="1">
        <f t="array" ref="R190">_xlfn.IFS(TabelaClean14[[#This Row],[qtde_batalhas]]&lt;=10,"Baixo",TabelaClean14[[#This Row],[qtde_batalhas]]&gt;=26,"Alto",TabelaClean14[[#This Row],[qtde_batalhas]]&lt;26,"Médio")</f>
        <v>Alto</v>
      </c>
      <c r="S190" s="1" t="str">
        <f>IF(AND(TabelaClean14[[#This Row],[nivel_risco]]="Alto",TabelaClean14[[#This Row],[flag_inadimplente]]="Sim"),"Arriscado","Ok")</f>
        <v>Ok</v>
      </c>
      <c r="T190" s="26">
        <v>47000</v>
      </c>
      <c r="U19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90" s="1"/>
      <c r="Y190" t="s">
        <v>809</v>
      </c>
      <c r="Z190" t="str">
        <f t="shared" si="2"/>
        <v>Null</v>
      </c>
      <c r="AE190" t="s">
        <v>453</v>
      </c>
      <c r="AF190" t="str">
        <f>TEXT(AE190,"000\.000\.000\-00")</f>
        <v>000.000.169-00</v>
      </c>
      <c r="AH190" s="15" t="s">
        <v>162</v>
      </c>
      <c r="AJ190" s="22">
        <v>6000</v>
      </c>
      <c r="AK190">
        <v>6000</v>
      </c>
      <c r="AM190" s="21">
        <v>55000</v>
      </c>
      <c r="AN190">
        <v>55000</v>
      </c>
      <c r="AO190">
        <v>55000</v>
      </c>
      <c r="AQ190" t="s">
        <v>79</v>
      </c>
      <c r="AZ190" s="38" t="s">
        <v>266</v>
      </c>
      <c r="BA190" t="s">
        <v>79</v>
      </c>
      <c r="BB190" s="26">
        <v>29000</v>
      </c>
      <c r="BC19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91" spans="1:55">
      <c r="A191" s="24" t="s">
        <v>76</v>
      </c>
      <c r="B191" s="17" t="s">
        <v>279</v>
      </c>
      <c r="C191" s="25" t="s">
        <v>280</v>
      </c>
      <c r="D191" s="54">
        <v>34</v>
      </c>
      <c r="E191" s="30">
        <v>33525</v>
      </c>
      <c r="F191" s="24" t="str">
        <f>TabelaClean14[[#This Row],[CidadeCPF]]</f>
        <v>Winterfell</v>
      </c>
      <c r="G191" s="17" t="str">
        <f>TabelaClean14[[#This Row],[RegiaoCPF]]</f>
        <v>Norte</v>
      </c>
      <c r="H191" s="17" t="str">
        <f>_xlfn.XLOOKUP(TabelaClean14[[#This Row],[cpf]],TabelaDirty[cpfclean],TabelaDirty[cidade])</f>
        <v>Winterfell</v>
      </c>
      <c r="I191" s="17" t="s">
        <v>142</v>
      </c>
      <c r="J191" s="17" t="str">
        <f>PROPER(TabelaClean14[[#This Row],[Coluna1]])</f>
        <v>Norte</v>
      </c>
      <c r="K191" s="17" t="e">
        <f>_xlfn.TEXTBEFORE(TabelaClean14[[#This Row],[CidadeCPF]]," | ")</f>
        <v>#N/A</v>
      </c>
      <c r="L191" s="24" t="e">
        <f>_xlfn.TEXTAFTER(TabelaClean14[[#This Row],[CidadeCPF]]," | ")</f>
        <v>#N/A</v>
      </c>
      <c r="M191" s="26">
        <v>28000</v>
      </c>
      <c r="N191" s="78">
        <v>36500</v>
      </c>
      <c r="O191" s="1" t="s">
        <v>50</v>
      </c>
      <c r="P19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1" s="84">
        <v>33</v>
      </c>
      <c r="R191" s="1" t="str" cm="1">
        <f t="array" ref="R191">_xlfn.IFS(TabelaClean14[[#This Row],[qtde_batalhas]]&lt;=10,"Baixo",TabelaClean14[[#This Row],[qtde_batalhas]]&gt;=26,"Alto",TabelaClean14[[#This Row],[qtde_batalhas]]&lt;26,"Médio")</f>
        <v>Alto</v>
      </c>
      <c r="S191" s="1" t="str">
        <f>IF(AND(TabelaClean14[[#This Row],[nivel_risco]]="Alto",TabelaClean14[[#This Row],[flag_inadimplente]]="Sim"),"Arriscado","Ok")</f>
        <v>Ok</v>
      </c>
      <c r="T191" s="26">
        <v>60000</v>
      </c>
      <c r="U191" s="81">
        <f>IF(AND(TabelaClean14[[#This Row],[analise_risco]]="Arriscado",TabelaClean14[[#This Row],[analise_credito]]="Reprovado"),0,IF(TabelaClean14[[#This Row],[status]]="Ativo",TabelaClean14[[#This Row],[valor_solicitado]]*1.08,0))</f>
        <v>64800.000000000007</v>
      </c>
      <c r="W191" s="1"/>
      <c r="Y191" t="s">
        <v>809</v>
      </c>
      <c r="Z191" t="str">
        <f t="shared" si="2"/>
        <v>Null</v>
      </c>
      <c r="AE191" t="s">
        <v>362</v>
      </c>
      <c r="AF191" t="str">
        <f>TEXT(AE191,"000\.000\.000\-00")</f>
        <v>000.000.170-00</v>
      </c>
      <c r="AH191" s="15" t="s">
        <v>162</v>
      </c>
      <c r="AJ191" s="22">
        <v>5000</v>
      </c>
      <c r="AK191">
        <v>5000</v>
      </c>
      <c r="AM191" s="20">
        <v>75500</v>
      </c>
      <c r="AN191">
        <v>75500</v>
      </c>
      <c r="AO191">
        <v>75500</v>
      </c>
      <c r="AQ191" t="s">
        <v>121</v>
      </c>
      <c r="AZ191" s="39" t="s">
        <v>922</v>
      </c>
      <c r="BA191" t="s">
        <v>121</v>
      </c>
      <c r="BB191" s="26">
        <v>28000</v>
      </c>
      <c r="BC191" s="81">
        <f>IF(AND(TabelaClean14[[#This Row],[analise_risco]]="Arriscado",TabelaClean14[[#This Row],[analise_credito]]="Reprovado"),0,IF(TabelaClean14[[#This Row],[status]]="Ativo",TabelaClean14[[#This Row],[valor_solicitado]]*1.08,0))</f>
        <v>64800.000000000007</v>
      </c>
    </row>
    <row r="192" spans="1:55">
      <c r="A192" s="24" t="s">
        <v>81</v>
      </c>
      <c r="B192" s="17" t="s">
        <v>449</v>
      </c>
      <c r="C192" s="25" t="s">
        <v>800</v>
      </c>
      <c r="D192" s="54">
        <f>_xlfn.XLOOKUP(TabelaClean14[[#This Row],[nome]],Base_Dirty!B:B,Base_Dirty!E:E)</f>
        <v>63</v>
      </c>
      <c r="E192" s="51">
        <f>_xlfn.XLOOKUP(TabelaClean14[[#This Row],[nome]],Base_Dirty!$B:$B,Base_Dirty!F:F)</f>
        <v>22924</v>
      </c>
      <c r="F192" s="50" t="s">
        <v>127</v>
      </c>
      <c r="G192" s="25" t="s">
        <v>122</v>
      </c>
      <c r="H192" s="24" t="s">
        <v>256</v>
      </c>
      <c r="I192" s="24">
        <v>29000</v>
      </c>
      <c r="J192" s="24">
        <v>36500</v>
      </c>
      <c r="K192" s="24" t="s">
        <v>50</v>
      </c>
      <c r="L192" s="24">
        <v>38</v>
      </c>
      <c r="M192" s="23">
        <f>_xlfn.XLOOKUP(TabelaClean14[[#This Row],[nome]],Base_Dirty!$B:$B,Base_Dirty!I:I)</f>
        <v>29000</v>
      </c>
      <c r="N192" s="78">
        <f>_xlfn.XLOOKUP(TabelaClean14[[#This Row],[nome]],Base_Dirty!$B:$B,Base_Dirty!J:J)</f>
        <v>36500</v>
      </c>
      <c r="O192" s="79" t="s">
        <v>50</v>
      </c>
      <c r="P192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2" s="84">
        <f>_xlfn.XLOOKUP(TabelaClean14[[#This Row],[nome]],Base_Dirty!$B:$B,Base_Dirty!L:L)</f>
        <v>38</v>
      </c>
      <c r="R192" s="76" t="str" cm="1">
        <f t="array" ref="R192">_xlfn.IFS(TabelaClean14[[#This Row],[qtde_batalhas]]&lt;=10,"Baixo",TabelaClean14[[#This Row],[qtde_batalhas]]&gt;=26,"Alto",TabelaClean14[[#This Row],[qtde_batalhas]]&lt;26,"Médio")</f>
        <v>Alto</v>
      </c>
      <c r="S192" s="76" t="str">
        <f>IF(AND(TabelaClean14[[#This Row],[nivel_risco]]="Alto",TabelaClean14[[#This Row],[flag_inadimplente]]="Sim"),"Arriscado","Ok")</f>
        <v>Ok</v>
      </c>
      <c r="T192" s="26">
        <f>_xlfn.XLOOKUP(TabelaClean14[[#This Row],[nome]],Base_Dirty!$B:$B,Base_Dirty!O:O)</f>
        <v>47000</v>
      </c>
      <c r="U19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92" s="1"/>
      <c r="Y192" t="s">
        <v>809</v>
      </c>
      <c r="Z192" t="str">
        <f t="shared" si="2"/>
        <v>Null</v>
      </c>
      <c r="AE192" t="s">
        <v>697</v>
      </c>
      <c r="AF192" t="str">
        <f>TEXT(AE192,"000\.000\.000\-00")</f>
        <v>000.000.172-00</v>
      </c>
      <c r="AH192" s="15" t="s">
        <v>324</v>
      </c>
      <c r="AI192" t="e" cm="1" vm="1">
        <f t="array" aca="1" ref="AI192" ca="1">_xlfn.TEXTSPLIT(AH192," | ")</f>
        <v>#VALUE!</v>
      </c>
      <c r="AJ192" s="22">
        <v>5300</v>
      </c>
      <c r="AK192">
        <v>5300</v>
      </c>
      <c r="AL192" t="s">
        <v>122</v>
      </c>
      <c r="AM192" s="21">
        <v>6500</v>
      </c>
      <c r="AN192">
        <v>6500</v>
      </c>
      <c r="AO192">
        <v>6500</v>
      </c>
      <c r="AQ192" t="s">
        <v>112</v>
      </c>
      <c r="AZ192" s="38" t="s">
        <v>252</v>
      </c>
      <c r="BA192" t="s">
        <v>112</v>
      </c>
      <c r="BB192" s="23">
        <f>_xlfn.XLOOKUP(TabelaClean14[[#This Row],[nome]],Base_Dirty!$B:$B,Base_Dirty!AX:AX)</f>
        <v>0</v>
      </c>
      <c r="BC19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93" spans="1:55">
      <c r="A193" s="24" t="s">
        <v>81</v>
      </c>
      <c r="B193" s="17" t="s">
        <v>449</v>
      </c>
      <c r="C193" t="str">
        <f>_xlfn.XLOOKUP(TabelaClean14[[#This Row],[nome]],Base_Dirty!$B:$B,Base_Dirty!D:D)</f>
        <v>000.000.073-00</v>
      </c>
      <c r="D193" s="54">
        <f>_xlfn.XLOOKUP(TabelaClean14[[#This Row],[nome]],Base_Dirty!B:B,Base_Dirty!E:E)</f>
        <v>63</v>
      </c>
      <c r="E193" s="30">
        <v>63</v>
      </c>
      <c r="F193" s="50" t="s">
        <v>127</v>
      </c>
      <c r="G193" s="25" t="s">
        <v>122</v>
      </c>
      <c r="H193" s="24" t="s">
        <v>256</v>
      </c>
      <c r="I193" s="24">
        <v>29000</v>
      </c>
      <c r="J193" s="24">
        <v>36500</v>
      </c>
      <c r="K193" s="24" t="s">
        <v>50</v>
      </c>
      <c r="L193" s="24">
        <v>38</v>
      </c>
      <c r="M193" s="23">
        <f>_xlfn.XLOOKUP(TabelaClean14[[#This Row],[nome]],Base_Dirty!$B:$B,Base_Dirty!I:I)</f>
        <v>29000</v>
      </c>
      <c r="N193" s="78">
        <f>_xlfn.XLOOKUP(TabelaClean14[[#This Row],[nome]],Base_Dirty!$B:$B,Base_Dirty!J:J)</f>
        <v>36500</v>
      </c>
      <c r="O193" s="79" t="s">
        <v>50</v>
      </c>
      <c r="P19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3" s="84">
        <f>_xlfn.XLOOKUP(TabelaClean14[[#This Row],[nome]],Base_Dirty!$B:$B,Base_Dirty!L:L)</f>
        <v>38</v>
      </c>
      <c r="R193" s="76" t="str" cm="1">
        <f t="array" ref="R193">_xlfn.IFS(TabelaClean14[[#This Row],[qtde_batalhas]]&lt;=10,"Baixo",TabelaClean14[[#This Row],[qtde_batalhas]]&gt;=26,"Alto",TabelaClean14[[#This Row],[qtde_batalhas]]&lt;26,"Médio")</f>
        <v>Alto</v>
      </c>
      <c r="S193" s="76" t="str">
        <f>IF(AND(TabelaClean14[[#This Row],[nivel_risco]]="Alto",TabelaClean14[[#This Row],[flag_inadimplente]]="Sim"),"Arriscado","Ok")</f>
        <v>Ok</v>
      </c>
      <c r="T193" s="26">
        <f>_xlfn.XLOOKUP(TabelaClean14[[#This Row],[nome]],Base_Dirty!$B:$B,Base_Dirty!O:O)</f>
        <v>47000</v>
      </c>
      <c r="U19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93" s="1"/>
      <c r="Y193" t="s">
        <v>809</v>
      </c>
      <c r="Z193" t="str">
        <f t="shared" si="2"/>
        <v>Null</v>
      </c>
      <c r="AE193" t="s">
        <v>448</v>
      </c>
      <c r="AF193" t="str">
        <f>TEXT(AE193,"000\.000\.000\-00")</f>
        <v>000.000.173-00</v>
      </c>
      <c r="AH193" s="15" t="s">
        <v>148</v>
      </c>
      <c r="AJ193" s="22">
        <v>11500</v>
      </c>
      <c r="AK193">
        <v>11500</v>
      </c>
      <c r="AM193" s="20">
        <v>44500</v>
      </c>
      <c r="AN193">
        <v>44500</v>
      </c>
      <c r="AO193">
        <v>44500</v>
      </c>
      <c r="AQ193" t="s">
        <v>242</v>
      </c>
      <c r="AZ193" s="39" t="s">
        <v>758</v>
      </c>
      <c r="BA193" t="s">
        <v>242</v>
      </c>
      <c r="BB193" s="23">
        <f>_xlfn.XLOOKUP(TabelaClean14[[#This Row],[nome]],Base_Dirty!$B:$B,Base_Dirty!AX:AX)</f>
        <v>0</v>
      </c>
      <c r="BC19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94" spans="1:55">
      <c r="A194" s="24" t="s">
        <v>81</v>
      </c>
      <c r="B194" s="17" t="s">
        <v>712</v>
      </c>
      <c r="C194" s="25" t="s">
        <v>858</v>
      </c>
      <c r="D194" s="54">
        <v>35</v>
      </c>
      <c r="E194" s="30">
        <v>33417</v>
      </c>
      <c r="F194" s="25" t="s">
        <v>172</v>
      </c>
      <c r="G194" s="25" t="s">
        <v>149</v>
      </c>
      <c r="H194" s="24">
        <v>12400</v>
      </c>
      <c r="I194" s="24">
        <v>36000</v>
      </c>
      <c r="J194" s="24" t="s">
        <v>50</v>
      </c>
      <c r="K194" s="24"/>
      <c r="L194" s="24"/>
      <c r="M194" s="26">
        <v>71500</v>
      </c>
      <c r="N194" s="78">
        <v>36000</v>
      </c>
      <c r="O194" s="1" t="s">
        <v>50</v>
      </c>
      <c r="P194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194" s="76" t="str" cm="1">
        <f t="array" ref="R194">_xlfn.IFS(TabelaClean14[[#This Row],[qtde_batalhas]]&lt;=10,"Baixo",TabelaClean14[[#This Row],[qtde_batalhas]]&gt;=26,"Alto",TabelaClean14[[#This Row],[qtde_batalhas]]&lt;26,"Médio")</f>
        <v>Baixo</v>
      </c>
      <c r="S194" s="76" t="str">
        <f>IF(AND(TabelaClean14[[#This Row],[nivel_risco]]="Alto",TabelaClean14[[#This Row],[flag_inadimplente]]="Sim"),"Arriscado","Ok")</f>
        <v>Ok</v>
      </c>
      <c r="T194" s="26">
        <v>71500</v>
      </c>
      <c r="U19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94" s="1"/>
      <c r="Y194" t="s">
        <v>809</v>
      </c>
      <c r="Z194" t="str">
        <f t="shared" si="2"/>
        <v>Null</v>
      </c>
      <c r="AE194" t="s">
        <v>491</v>
      </c>
      <c r="AF194" t="str">
        <f>TEXT(AE194,"000\.000\.000\-00")</f>
        <v>000.000.177-00</v>
      </c>
      <c r="AH194" s="15" t="s">
        <v>112</v>
      </c>
      <c r="AJ194" s="22">
        <v>13200</v>
      </c>
      <c r="AK194">
        <v>13200</v>
      </c>
      <c r="AM194" s="21" t="s">
        <v>104</v>
      </c>
      <c r="AN194" t="s">
        <v>809</v>
      </c>
      <c r="AO194" t="s">
        <v>809</v>
      </c>
      <c r="AQ194" t="s">
        <v>183</v>
      </c>
      <c r="AZ194" s="38" t="s">
        <v>923</v>
      </c>
      <c r="BA194" t="s">
        <v>183</v>
      </c>
      <c r="BB194" s="26">
        <v>71500</v>
      </c>
      <c r="BC19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95" spans="1:55">
      <c r="A195" s="24" t="s">
        <v>81</v>
      </c>
      <c r="B195" s="17" t="s">
        <v>699</v>
      </c>
      <c r="C195" s="25" t="s">
        <v>700</v>
      </c>
      <c r="D195" s="54">
        <v>74</v>
      </c>
      <c r="E195" s="30">
        <v>19047</v>
      </c>
      <c r="F195" s="24" t="str">
        <f>TabelaClean14[[#This Row],[CidadeCPF]]</f>
        <v>Lannisporto</v>
      </c>
      <c r="G195" s="17" t="str">
        <f>TabelaClean14[[#This Row],[RegiaoCPF]]</f>
        <v>Oeste</v>
      </c>
      <c r="H195" s="17" t="str">
        <f>_xlfn.XLOOKUP(TabelaClean14[[#This Row],[cpf]],TabelaDirty[cpfclean],TabelaDirty[cidade])</f>
        <v>Lannisporto</v>
      </c>
      <c r="I195" s="17" t="str">
        <f>_xlfn.XLOOKUP(TabelaClean14[[#This Row],[cpf]],TabelaDirty[cpfclean],TabelaDirty[regiao])</f>
        <v>Oeste</v>
      </c>
      <c r="J195" s="17" t="str">
        <f>PROPER(TabelaClean14[[#This Row],[Coluna1]])</f>
        <v>Oeste</v>
      </c>
      <c r="K195" s="17" t="e">
        <f>_xlfn.TEXTBEFORE(TabelaClean14[[#This Row],[CidadeCPF]]," | ")</f>
        <v>#N/A</v>
      </c>
      <c r="L195" s="24" t="e">
        <f>_xlfn.TEXTAFTER(TabelaClean14[[#This Row],[CidadeCPF]]," | ")</f>
        <v>#N/A</v>
      </c>
      <c r="M195" s="26">
        <v>24000</v>
      </c>
      <c r="N195" s="78">
        <v>35000</v>
      </c>
      <c r="O195" s="1" t="s">
        <v>50</v>
      </c>
      <c r="P19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5" s="84">
        <v>6</v>
      </c>
      <c r="R195" s="1" t="str" cm="1">
        <f t="array" ref="R195">_xlfn.IFS(TabelaClean14[[#This Row],[qtde_batalhas]]&lt;=10,"Baixo",TabelaClean14[[#This Row],[qtde_batalhas]]&gt;=26,"Alto",TabelaClean14[[#This Row],[qtde_batalhas]]&lt;26,"Médio")</f>
        <v>Baixo</v>
      </c>
      <c r="S195" s="1" t="str">
        <f>IF(AND(TabelaClean14[[#This Row],[nivel_risco]]="Alto",TabelaClean14[[#This Row],[flag_inadimplente]]="Sim"),"Arriscado","Ok")</f>
        <v>Ok</v>
      </c>
      <c r="T195" s="26">
        <v>29500</v>
      </c>
      <c r="U19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95" s="1"/>
      <c r="Y195" t="s">
        <v>809</v>
      </c>
      <c r="Z195" t="str">
        <f t="shared" si="2"/>
        <v>Null</v>
      </c>
      <c r="AE195" t="s">
        <v>498</v>
      </c>
      <c r="AF195" t="str">
        <f>TEXT(AE195,"000\.000\.000\-00")</f>
        <v>000.000.178-00</v>
      </c>
      <c r="AH195" s="15" t="s">
        <v>148</v>
      </c>
      <c r="AJ195" s="22">
        <v>22800</v>
      </c>
      <c r="AK195">
        <v>22800</v>
      </c>
      <c r="AM195" s="20"/>
      <c r="AN195" t="s">
        <v>809</v>
      </c>
      <c r="AO195" t="s">
        <v>809</v>
      </c>
      <c r="AQ195" t="s">
        <v>215</v>
      </c>
      <c r="AZ195" s="39" t="s">
        <v>286</v>
      </c>
      <c r="BA195" t="s">
        <v>215</v>
      </c>
      <c r="BB195" s="26">
        <v>24000</v>
      </c>
      <c r="BC19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196" spans="1:55">
      <c r="A196" s="24" t="s">
        <v>76</v>
      </c>
      <c r="B196" s="17" t="s">
        <v>762</v>
      </c>
      <c r="C196" s="25" t="s">
        <v>914</v>
      </c>
      <c r="D196" s="54">
        <v>58</v>
      </c>
      <c r="E196" s="30">
        <v>24840</v>
      </c>
      <c r="F196" s="24" t="str">
        <f>TabelaClean14[[#This Row],[CidadeCPF]]</f>
        <v>Atalaia da Água Cinzenta</v>
      </c>
      <c r="G196" s="17" t="str">
        <f>TabelaClean14[[#This Row],[RegiaoCPF]]</f>
        <v>Gargalo</v>
      </c>
      <c r="H196" s="17" t="str">
        <f>_xlfn.XLOOKUP(TabelaClean14[[#This Row],[cpf]],TabelaDirty[cpfclean],TabelaDirty[cidade])</f>
        <v>Atalaia da Água Cinzenta</v>
      </c>
      <c r="I196" s="17" t="str">
        <f>_xlfn.XLOOKUP(TabelaClean14[[#This Row],[cpf]],TabelaDirty[cpfclean],TabelaDirty[regiao])</f>
        <v>gargalo</v>
      </c>
      <c r="J196" s="17" t="str">
        <f>PROPER(TabelaClean14[[#This Row],[Coluna1]])</f>
        <v>Gargalo</v>
      </c>
      <c r="K196" s="17" t="e">
        <f>_xlfn.TEXTBEFORE(TabelaClean14[[#This Row],[CidadeCPF]]," | ")</f>
        <v>#N/A</v>
      </c>
      <c r="L196" s="24" t="e">
        <f>_xlfn.TEXTAFTER(TabelaClean14[[#This Row],[CidadeCPF]]," | ")</f>
        <v>#N/A</v>
      </c>
      <c r="M196" s="26">
        <v>2800</v>
      </c>
      <c r="N196" s="78">
        <v>35000</v>
      </c>
      <c r="O196" s="1" t="s">
        <v>50</v>
      </c>
      <c r="P19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6" s="84">
        <v>36</v>
      </c>
      <c r="R196" s="1" t="str" cm="1">
        <f t="array" ref="R196">_xlfn.IFS(TabelaClean14[[#This Row],[qtde_batalhas]]&lt;=10,"Baixo",TabelaClean14[[#This Row],[qtde_batalhas]]&gt;=26,"Alto",TabelaClean14[[#This Row],[qtde_batalhas]]&lt;26,"Médio")</f>
        <v>Alto</v>
      </c>
      <c r="S196" s="1" t="str">
        <f>IF(AND(TabelaClean14[[#This Row],[nivel_risco]]="Alto",TabelaClean14[[#This Row],[flag_inadimplente]]="Sim"),"Arriscado","Ok")</f>
        <v>Ok</v>
      </c>
      <c r="T196" s="26">
        <v>9000</v>
      </c>
      <c r="U196" s="81">
        <f>IF(AND(TabelaClean14[[#This Row],[analise_risco]]="Arriscado",TabelaClean14[[#This Row],[analise_credito]]="Reprovado"),0,IF(TabelaClean14[[#This Row],[status]]="Ativo",TabelaClean14[[#This Row],[valor_solicitado]]*1.08,0))</f>
        <v>9720</v>
      </c>
      <c r="W196" s="1"/>
      <c r="Y196" t="s">
        <v>142</v>
      </c>
      <c r="Z196" t="str">
        <f t="shared" ref="Z196:Z259" si="3">PROPER(Y196)</f>
        <v>Norte</v>
      </c>
      <c r="AE196" t="s">
        <v>412</v>
      </c>
      <c r="AF196" t="str">
        <f>TEXT(AE196,"000\.000\.000\-00")</f>
        <v>000.000.181-00</v>
      </c>
      <c r="AH196" s="15" t="s">
        <v>138</v>
      </c>
      <c r="AJ196" s="22">
        <v>21300</v>
      </c>
      <c r="AK196">
        <v>21300</v>
      </c>
      <c r="AM196" s="21">
        <v>60500</v>
      </c>
      <c r="AN196">
        <v>60500</v>
      </c>
      <c r="AO196">
        <v>60500</v>
      </c>
      <c r="AQ196" t="s">
        <v>223</v>
      </c>
      <c r="AZ196" s="38" t="s">
        <v>491</v>
      </c>
      <c r="BA196" t="s">
        <v>223</v>
      </c>
      <c r="BB196" s="26">
        <v>2800</v>
      </c>
      <c r="BC196" s="81">
        <f>IF(AND(TabelaClean14[[#This Row],[analise_risco]]="Arriscado",TabelaClean14[[#This Row],[analise_credito]]="Reprovado"),0,IF(TabelaClean14[[#This Row],[status]]="Ativo",TabelaClean14[[#This Row],[valor_solicitado]]*1.08,0))</f>
        <v>9720</v>
      </c>
    </row>
    <row r="197" spans="1:55">
      <c r="A197" s="24" t="s">
        <v>76</v>
      </c>
      <c r="B197" s="17" t="s">
        <v>658</v>
      </c>
      <c r="C197" s="25" t="s">
        <v>924</v>
      </c>
      <c r="D197" s="54">
        <v>20</v>
      </c>
      <c r="E197" s="30">
        <v>38678</v>
      </c>
      <c r="F197" s="24" t="str">
        <f>TabelaClean14[[#This Row],[CidadeCPF]]</f>
        <v>Braavos</v>
      </c>
      <c r="G197" s="17" t="str">
        <f>TabelaClean14[[#This Row],[RegiaoCPF]]</f>
        <v>Essos</v>
      </c>
      <c r="H197" s="17" t="str">
        <f>_xlfn.XLOOKUP(TabelaClean14[[#This Row],[cpf]],TabelaDirty[cpfclean],TabelaDirty[cidade])</f>
        <v>Braavos</v>
      </c>
      <c r="I197" s="17" t="str">
        <f>_xlfn.XLOOKUP(TabelaClean14[[#This Row],[cpf]],TabelaDirty[cpfclean],TabelaDirty[regiao])</f>
        <v>Essos</v>
      </c>
      <c r="J197" s="17" t="str">
        <f>PROPER(TabelaClean14[[#This Row],[Coluna1]])</f>
        <v>Essos</v>
      </c>
      <c r="K197" s="17" t="e">
        <f>_xlfn.TEXTBEFORE(TabelaClean14[[#This Row],[CidadeCPF]]," | ")</f>
        <v>#N/A</v>
      </c>
      <c r="L197" s="24" t="e">
        <f>_xlfn.TEXTAFTER(TabelaClean14[[#This Row],[CidadeCPF]]," | ")</f>
        <v>#N/A</v>
      </c>
      <c r="M197" s="26">
        <v>9300</v>
      </c>
      <c r="N197" s="78">
        <v>35000</v>
      </c>
      <c r="O197" s="1" t="s">
        <v>50</v>
      </c>
      <c r="P19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7" s="84">
        <v>5</v>
      </c>
      <c r="R197" s="1" t="str" cm="1">
        <f t="array" ref="R197">_xlfn.IFS(TabelaClean14[[#This Row],[qtde_batalhas]]&lt;=10,"Baixo",TabelaClean14[[#This Row],[qtde_batalhas]]&gt;=26,"Alto",TabelaClean14[[#This Row],[qtde_batalhas]]&lt;26,"Médio")</f>
        <v>Baixo</v>
      </c>
      <c r="S197" s="1" t="str">
        <f>IF(AND(TabelaClean14[[#This Row],[nivel_risco]]="Alto",TabelaClean14[[#This Row],[flag_inadimplente]]="Sim"),"Arriscado","Ok")</f>
        <v>Ok</v>
      </c>
      <c r="T197" s="26">
        <v>10500</v>
      </c>
      <c r="U197" s="81">
        <f>IF(AND(TabelaClean14[[#This Row],[analise_risco]]="Arriscado",TabelaClean14[[#This Row],[analise_credito]]="Reprovado"),0,IF(TabelaClean14[[#This Row],[status]]="Ativo",TabelaClean14[[#This Row],[valor_solicitado]]*1.08,0))</f>
        <v>11340</v>
      </c>
      <c r="W197" s="1"/>
      <c r="Y197" t="s">
        <v>122</v>
      </c>
      <c r="Z197" t="str">
        <f t="shared" si="3"/>
        <v>Essos</v>
      </c>
      <c r="AE197" t="s">
        <v>438</v>
      </c>
      <c r="AF197" t="str">
        <f>TEXT(AE197,"000\.000\.000\-00")</f>
        <v>000.000.182-00</v>
      </c>
      <c r="AH197" s="14" t="s">
        <v>691</v>
      </c>
      <c r="AI197" t="e" cm="1" vm="1">
        <f t="array" aca="1" ref="AI197" ca="1">_xlfn.TEXTSPLIT(AH197," | ")</f>
        <v>#VALUE!</v>
      </c>
      <c r="AJ197" s="22">
        <v>17400</v>
      </c>
      <c r="AK197">
        <v>17400</v>
      </c>
      <c r="AM197" s="20">
        <v>53000</v>
      </c>
      <c r="AN197">
        <v>53000</v>
      </c>
      <c r="AO197">
        <v>53000</v>
      </c>
      <c r="AQ197" t="s">
        <v>121</v>
      </c>
      <c r="AZ197" s="39" t="s">
        <v>925</v>
      </c>
      <c r="BA197" t="s">
        <v>121</v>
      </c>
      <c r="BB197" s="26">
        <v>9300</v>
      </c>
      <c r="BC197" s="81">
        <f>IF(AND(TabelaClean14[[#This Row],[analise_risco]]="Arriscado",TabelaClean14[[#This Row],[analise_credito]]="Reprovado"),0,IF(TabelaClean14[[#This Row],[status]]="Ativo",TabelaClean14[[#This Row],[valor_solicitado]]*1.08,0))</f>
        <v>11340</v>
      </c>
    </row>
    <row r="198" spans="1:55">
      <c r="A198" s="24" t="s">
        <v>76</v>
      </c>
      <c r="B198" s="17" t="s">
        <v>269</v>
      </c>
      <c r="C198" s="25" t="s">
        <v>926</v>
      </c>
      <c r="D198" s="54">
        <v>68</v>
      </c>
      <c r="E198" s="30" t="s">
        <v>809</v>
      </c>
      <c r="F198" s="24" t="str">
        <f>TabelaClean14[[#This Row],[CidadeCPF]]</f>
        <v>Pedra do Dragão</v>
      </c>
      <c r="G198" s="17" t="str">
        <f>TabelaClean14[[#This Row],[RegiaoCPF]]</f>
        <v>Terras Da Coroa</v>
      </c>
      <c r="H198" s="17" t="str">
        <f>_xlfn.XLOOKUP(TabelaClean14[[#This Row],[cpf]],TabelaDirty[cpfclean],TabelaDirty[cidade])</f>
        <v>Pedra do Dragão</v>
      </c>
      <c r="I198" s="17" t="str">
        <f>_xlfn.XLOOKUP(TabelaClean14[[#This Row],[cpf]],TabelaDirty[cpfclean],TabelaDirty[regiao])</f>
        <v>Terras da Coroa</v>
      </c>
      <c r="J198" s="17" t="str">
        <f>PROPER(TabelaClean14[[#This Row],[Coluna1]])</f>
        <v>Terras Da Coroa</v>
      </c>
      <c r="K198" s="17" t="e">
        <f>_xlfn.TEXTBEFORE(TabelaClean14[[#This Row],[CidadeCPF]]," | ")</f>
        <v>#N/A</v>
      </c>
      <c r="L198" s="24" t="e">
        <f>_xlfn.TEXTAFTER(TabelaClean14[[#This Row],[CidadeCPF]]," | ")</f>
        <v>#N/A</v>
      </c>
      <c r="M198" s="26">
        <v>19900</v>
      </c>
      <c r="N198" s="78">
        <v>35000</v>
      </c>
      <c r="O198" s="1" t="s">
        <v>50</v>
      </c>
      <c r="P19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8" s="84">
        <v>25</v>
      </c>
      <c r="R198" s="1" t="str" cm="1">
        <f t="array" ref="R198">_xlfn.IFS(TabelaClean14[[#This Row],[qtde_batalhas]]&lt;=10,"Baixo",TabelaClean14[[#This Row],[qtde_batalhas]]&gt;=26,"Alto",TabelaClean14[[#This Row],[qtde_batalhas]]&lt;26,"Médio")</f>
        <v>Médio</v>
      </c>
      <c r="S198" s="1" t="str">
        <f>IF(AND(TabelaClean14[[#This Row],[nivel_risco]]="Alto",TabelaClean14[[#This Row],[flag_inadimplente]]="Sim"),"Arriscado","Ok")</f>
        <v>Ok</v>
      </c>
      <c r="T198" s="26">
        <v>59500</v>
      </c>
      <c r="U198" s="81">
        <f>IF(AND(TabelaClean14[[#This Row],[analise_risco]]="Arriscado",TabelaClean14[[#This Row],[analise_credito]]="Reprovado"),0,IF(TabelaClean14[[#This Row],[status]]="Ativo",TabelaClean14[[#This Row],[valor_solicitado]]*1.08,0))</f>
        <v>64260.000000000007</v>
      </c>
      <c r="W198" s="1"/>
      <c r="Y198" t="s">
        <v>809</v>
      </c>
      <c r="Z198" t="str">
        <f t="shared" si="3"/>
        <v>Null</v>
      </c>
      <c r="AE198" t="s">
        <v>157</v>
      </c>
      <c r="AF198" t="str">
        <f>TEXT(AE198,"000\.000\.000\-00")</f>
        <v>000.000.184-00</v>
      </c>
      <c r="AH198" s="15" t="s">
        <v>154</v>
      </c>
      <c r="AJ198" s="22">
        <v>20800</v>
      </c>
      <c r="AK198">
        <v>20800</v>
      </c>
      <c r="AM198" s="21">
        <v>54000</v>
      </c>
      <c r="AN198">
        <v>54000</v>
      </c>
      <c r="AO198">
        <v>54000</v>
      </c>
      <c r="AQ198" t="s">
        <v>83</v>
      </c>
      <c r="AZ198" s="38" t="s">
        <v>927</v>
      </c>
      <c r="BA198" t="s">
        <v>83</v>
      </c>
      <c r="BB198" s="26">
        <v>19900</v>
      </c>
      <c r="BC198" s="81">
        <f>IF(AND(TabelaClean14[[#This Row],[analise_risco]]="Arriscado",TabelaClean14[[#This Row],[analise_credito]]="Reprovado"),0,IF(TabelaClean14[[#This Row],[status]]="Ativo",TabelaClean14[[#This Row],[valor_solicitado]]*1.08,0))</f>
        <v>64260.000000000007</v>
      </c>
    </row>
    <row r="199" spans="1:55">
      <c r="A199" s="24" t="s">
        <v>81</v>
      </c>
      <c r="B199" s="17" t="s">
        <v>461</v>
      </c>
      <c r="C199" s="25" t="s">
        <v>462</v>
      </c>
      <c r="D199" s="54">
        <v>33</v>
      </c>
      <c r="E199" s="30">
        <v>33955</v>
      </c>
      <c r="F199" s="24" t="str">
        <f>TabelaClean14[[#This Row],[CidadeCPF]]</f>
        <v>Winterfell</v>
      </c>
      <c r="G199" s="17" t="str">
        <f>TabelaClean14[[#This Row],[RegiaoCPF]]</f>
        <v>Norte</v>
      </c>
      <c r="H199" s="17" t="str">
        <f>_xlfn.XLOOKUP(TabelaClean14[[#This Row],[cpf]],TabelaDirty[cpfclean],TabelaDirty[cidade])</f>
        <v>Winterfell</v>
      </c>
      <c r="I199" s="17" t="str">
        <f>_xlfn.XLOOKUP(TabelaClean14[[#This Row],[cpf]],TabelaDirty[cpfclean],TabelaDirty[regiao])</f>
        <v>Norte</v>
      </c>
      <c r="J199" s="17" t="str">
        <f>PROPER(TabelaClean14[[#This Row],[Coluna1]])</f>
        <v>Norte</v>
      </c>
      <c r="K199" s="17" t="e">
        <f>_xlfn.TEXTBEFORE(TabelaClean14[[#This Row],[CidadeCPF]]," | ")</f>
        <v>#N/A</v>
      </c>
      <c r="L199" s="24" t="e">
        <f>_xlfn.TEXTAFTER(TabelaClean14[[#This Row],[CidadeCPF]]," | ")</f>
        <v>#N/A</v>
      </c>
      <c r="M199" s="26">
        <v>25700</v>
      </c>
      <c r="N199" s="78">
        <v>35000</v>
      </c>
      <c r="O199" s="1" t="s">
        <v>50</v>
      </c>
      <c r="P19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199" s="84">
        <v>40</v>
      </c>
      <c r="R199" s="1" t="str" cm="1">
        <f t="array" ref="R199">_xlfn.IFS(TabelaClean14[[#This Row],[qtde_batalhas]]&lt;=10,"Baixo",TabelaClean14[[#This Row],[qtde_batalhas]]&gt;=26,"Alto",TabelaClean14[[#This Row],[qtde_batalhas]]&lt;26,"Médio")</f>
        <v>Alto</v>
      </c>
      <c r="S199" s="1" t="str">
        <f>IF(AND(TabelaClean14[[#This Row],[nivel_risco]]="Alto",TabelaClean14[[#This Row],[flag_inadimplente]]="Sim"),"Arriscado","Ok")</f>
        <v>Ok</v>
      </c>
      <c r="T199" s="26">
        <v>1000</v>
      </c>
      <c r="U19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199" s="1"/>
      <c r="Y199" t="s">
        <v>149</v>
      </c>
      <c r="Z199" t="str">
        <f t="shared" si="3"/>
        <v>Campina</v>
      </c>
      <c r="AE199" t="s">
        <v>462</v>
      </c>
      <c r="AF199" t="str">
        <f>TEXT(AE199,"000\.000\.000\-00")</f>
        <v>000.000.186-00</v>
      </c>
      <c r="AH199" s="15" t="s">
        <v>121</v>
      </c>
      <c r="AJ199" s="22">
        <v>8900</v>
      </c>
      <c r="AK199">
        <v>8900</v>
      </c>
      <c r="AM199" s="20">
        <v>4000</v>
      </c>
      <c r="AN199">
        <v>4000</v>
      </c>
      <c r="AO199">
        <v>4000</v>
      </c>
      <c r="AQ199" t="s">
        <v>112</v>
      </c>
      <c r="AZ199" s="39" t="s">
        <v>928</v>
      </c>
      <c r="BA199" t="s">
        <v>112</v>
      </c>
      <c r="BB199" s="26">
        <v>25700</v>
      </c>
      <c r="BC19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00" spans="1:55">
      <c r="A200" s="29" t="s">
        <v>809</v>
      </c>
      <c r="B200" s="17" t="s">
        <v>211</v>
      </c>
      <c r="C200" s="25" t="s">
        <v>212</v>
      </c>
      <c r="D200" s="54">
        <v>54</v>
      </c>
      <c r="E200" s="30">
        <v>26213</v>
      </c>
      <c r="F200" s="24" t="str">
        <f>TabelaClean14[[#This Row],[CidadeCPF]]</f>
        <v>Vilavelha</v>
      </c>
      <c r="G200" s="17" t="str">
        <f>TabelaClean14[[#This Row],[RegiaoCPF]]</f>
        <v>Campina</v>
      </c>
      <c r="H200" s="17" t="str">
        <f>_xlfn.XLOOKUP(TabelaClean14[[#This Row],[cpf]],TabelaDirty[cpfclean],TabelaDirty[cidade])</f>
        <v>Vilavelha</v>
      </c>
      <c r="I200" s="17" t="str">
        <f>_xlfn.XLOOKUP(TabelaClean14[[#This Row],[cpf]],TabelaDirty[cpfclean],TabelaDirty[regiao])</f>
        <v>CAMPINA</v>
      </c>
      <c r="J200" s="17" t="str">
        <f>PROPER(TabelaClean14[[#This Row],[Coluna1]])</f>
        <v>Campina</v>
      </c>
      <c r="K200" s="17" t="e">
        <f>_xlfn.TEXTBEFORE(TabelaClean14[[#This Row],[CidadeCPF]]," | ")</f>
        <v>#N/A</v>
      </c>
      <c r="L200" s="24" t="e">
        <f>_xlfn.TEXTAFTER(TabelaClean14[[#This Row],[CidadeCPF]]," | ")</f>
        <v>#N/A</v>
      </c>
      <c r="M200" s="26">
        <v>29700</v>
      </c>
      <c r="N200" s="78">
        <v>34000</v>
      </c>
      <c r="O200" s="1" t="s">
        <v>50</v>
      </c>
      <c r="P20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0" s="84">
        <v>35</v>
      </c>
      <c r="R200" s="1" t="str" cm="1">
        <f t="array" ref="R200">_xlfn.IFS(TabelaClean14[[#This Row],[qtde_batalhas]]&lt;=10,"Baixo",TabelaClean14[[#This Row],[qtde_batalhas]]&gt;=26,"Alto",TabelaClean14[[#This Row],[qtde_batalhas]]&lt;26,"Médio")</f>
        <v>Alto</v>
      </c>
      <c r="S200" s="1" t="str">
        <f>IF(AND(TabelaClean14[[#This Row],[nivel_risco]]="Alto",TabelaClean14[[#This Row],[flag_inadimplente]]="Sim"),"Arriscado","Ok")</f>
        <v>Ok</v>
      </c>
      <c r="T200" s="26">
        <v>35000</v>
      </c>
      <c r="U20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00" s="1"/>
      <c r="Y200" t="s">
        <v>353</v>
      </c>
      <c r="Z200" t="str">
        <f t="shared" si="3"/>
        <v>Terras Fluviais</v>
      </c>
      <c r="AE200" t="s">
        <v>564</v>
      </c>
      <c r="AF200" t="str">
        <f>TEXT(AE200,"000\.000\.000\-00")</f>
        <v>000.000.187-00</v>
      </c>
      <c r="AH200" s="15" t="s">
        <v>555</v>
      </c>
      <c r="AJ200" s="22">
        <v>28100</v>
      </c>
      <c r="AK200">
        <v>28100</v>
      </c>
      <c r="AM200" s="21">
        <v>36500</v>
      </c>
      <c r="AN200">
        <v>36500</v>
      </c>
      <c r="AO200">
        <v>36500</v>
      </c>
      <c r="AQ200" t="s">
        <v>172</v>
      </c>
      <c r="AZ200" s="38" t="s">
        <v>666</v>
      </c>
      <c r="BA200" t="s">
        <v>172</v>
      </c>
      <c r="BB200" s="26">
        <v>29700</v>
      </c>
      <c r="BC20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01" spans="1:55">
      <c r="A201" s="24" t="s">
        <v>76</v>
      </c>
      <c r="B201" s="17" t="s">
        <v>156</v>
      </c>
      <c r="C201" s="25" t="s">
        <v>157</v>
      </c>
      <c r="D201" s="54" t="s">
        <v>809</v>
      </c>
      <c r="E201" s="30">
        <v>21378</v>
      </c>
      <c r="F201" s="24" t="str">
        <f>TabelaClean14[[#This Row],[CidadeCPF]]</f>
        <v>Meereen</v>
      </c>
      <c r="G201" s="17" t="str">
        <f>TabelaClean14[[#This Row],[RegiaoCPF]]</f>
        <v>Essos</v>
      </c>
      <c r="H201" s="17" t="str">
        <f>_xlfn.XLOOKUP(TabelaClean14[[#This Row],[cpf]],TabelaDirty[cpfclean],TabelaDirty[cidade])</f>
        <v>Meereen</v>
      </c>
      <c r="I201" s="17" t="s">
        <v>122</v>
      </c>
      <c r="J201" s="17" t="str">
        <f>PROPER(TabelaClean14[[#This Row],[Coluna1]])</f>
        <v>Essos</v>
      </c>
      <c r="K201" s="17" t="e">
        <f>_xlfn.TEXTBEFORE(TabelaClean14[[#This Row],[CidadeCPF]]," | ")</f>
        <v>#N/A</v>
      </c>
      <c r="L201" s="24" t="e">
        <f>_xlfn.TEXTAFTER(TabelaClean14[[#This Row],[CidadeCPF]]," | ")</f>
        <v>#N/A</v>
      </c>
      <c r="M201" s="26">
        <v>14300</v>
      </c>
      <c r="N201" s="78">
        <v>32500</v>
      </c>
      <c r="O201" s="1" t="s">
        <v>51</v>
      </c>
      <c r="P20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1" s="84">
        <v>15</v>
      </c>
      <c r="R201" s="1" t="str" cm="1">
        <f t="array" ref="R201">_xlfn.IFS(TabelaClean14[[#This Row],[qtde_batalhas]]&lt;=10,"Baixo",TabelaClean14[[#This Row],[qtde_batalhas]]&gt;=26,"Alto",TabelaClean14[[#This Row],[qtde_batalhas]]&lt;26,"Médio")</f>
        <v>Médio</v>
      </c>
      <c r="S201" s="1" t="str">
        <f>IF(AND(TabelaClean14[[#This Row],[nivel_risco]]="Alto",TabelaClean14[[#This Row],[flag_inadimplente]]="Sim"),"Arriscado","Ok")</f>
        <v>Ok</v>
      </c>
      <c r="T201" s="26">
        <v>8000</v>
      </c>
      <c r="U201" s="81">
        <f>IF(AND(TabelaClean14[[#This Row],[analise_risco]]="Arriscado",TabelaClean14[[#This Row],[analise_credito]]="Reprovado"),0,IF(TabelaClean14[[#This Row],[status]]="Ativo",TabelaClean14[[#This Row],[valor_solicitado]]*1.08,0))</f>
        <v>8640</v>
      </c>
      <c r="W201" s="1"/>
      <c r="Y201" t="s">
        <v>135</v>
      </c>
      <c r="Z201" t="str">
        <f t="shared" si="3"/>
        <v>Terras Da Tempestade</v>
      </c>
      <c r="AE201" t="s">
        <v>722</v>
      </c>
      <c r="AF201" t="str">
        <f>TEXT(AE201,"000\.000\.000\-00")</f>
        <v>000.000.189-00</v>
      </c>
      <c r="AH201" s="15" t="s">
        <v>112</v>
      </c>
      <c r="AJ201" s="22">
        <v>20200</v>
      </c>
      <c r="AK201">
        <v>20200</v>
      </c>
      <c r="AM201" s="20">
        <v>6500</v>
      </c>
      <c r="AN201">
        <v>6500</v>
      </c>
      <c r="AO201">
        <v>6500</v>
      </c>
      <c r="BB201" s="26">
        <v>14300</v>
      </c>
      <c r="BC201" s="81">
        <f>IF(AND(TabelaClean14[[#This Row],[analise_risco]]="Arriscado",TabelaClean14[[#This Row],[analise_credito]]="Reprovado"),0,IF(TabelaClean14[[#This Row],[status]]="Ativo",TabelaClean14[[#This Row],[valor_solicitado]]*1.08,0))</f>
        <v>8640</v>
      </c>
    </row>
    <row r="202" spans="1:55">
      <c r="A202" s="24" t="s">
        <v>81</v>
      </c>
      <c r="B202" s="17" t="s">
        <v>260</v>
      </c>
      <c r="C202" s="25" t="s">
        <v>261</v>
      </c>
      <c r="D202" s="54" t="s">
        <v>875</v>
      </c>
      <c r="E202" s="30">
        <v>29113</v>
      </c>
      <c r="F202" s="24" t="str">
        <f>TabelaClean14[[#This Row],[CidadeCPF]]</f>
        <v>Fosso Cailin</v>
      </c>
      <c r="G202" s="17" t="str">
        <f>TabelaClean14[[#This Row],[RegiaoCPF]]</f>
        <v>Norte</v>
      </c>
      <c r="H202" s="17" t="str">
        <f>_xlfn.XLOOKUP(TabelaClean14[[#This Row],[cpf]],TabelaDirty[cpfclean],TabelaDirty[cidade])</f>
        <v>Fosso Cailin</v>
      </c>
      <c r="I202" s="17" t="str">
        <f>_xlfn.XLOOKUP(TabelaClean14[[#This Row],[cpf]],TabelaDirty[cpfclean],TabelaDirty[regiao])</f>
        <v>Norte</v>
      </c>
      <c r="J202" s="17" t="str">
        <f>PROPER(TabelaClean14[[#This Row],[Coluna1]])</f>
        <v>Norte</v>
      </c>
      <c r="K202" s="17" t="e">
        <f>_xlfn.TEXTBEFORE(TabelaClean14[[#This Row],[CidadeCPF]]," | ")</f>
        <v>#N/A</v>
      </c>
      <c r="L202" s="24" t="e">
        <f>_xlfn.TEXTAFTER(TabelaClean14[[#This Row],[CidadeCPF]]," | ")</f>
        <v>#N/A</v>
      </c>
      <c r="M202" s="26">
        <v>15000</v>
      </c>
      <c r="N202" s="78">
        <v>32500</v>
      </c>
      <c r="O202" s="1" t="s">
        <v>50</v>
      </c>
      <c r="P20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2" s="84">
        <v>40</v>
      </c>
      <c r="R202" s="1" t="str" cm="1">
        <f t="array" ref="R202">_xlfn.IFS(TabelaClean14[[#This Row],[qtde_batalhas]]&lt;=10,"Baixo",TabelaClean14[[#This Row],[qtde_batalhas]]&gt;=26,"Alto",TabelaClean14[[#This Row],[qtde_batalhas]]&lt;26,"Médio")</f>
        <v>Alto</v>
      </c>
      <c r="S202" s="1" t="str">
        <f>IF(AND(TabelaClean14[[#This Row],[nivel_risco]]="Alto",TabelaClean14[[#This Row],[flag_inadimplente]]="Sim"),"Arriscado","Ok")</f>
        <v>Ok</v>
      </c>
      <c r="T202" s="26">
        <v>4500</v>
      </c>
      <c r="U20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02" s="1"/>
      <c r="Y202" t="s">
        <v>809</v>
      </c>
      <c r="Z202" t="str">
        <f t="shared" si="3"/>
        <v>Null</v>
      </c>
      <c r="AE202" t="s">
        <v>102</v>
      </c>
      <c r="AF202" t="str">
        <f>TEXT(AE202,"000\.000\.000\-00")</f>
        <v>000.000.191-00</v>
      </c>
      <c r="AH202" s="15" t="s">
        <v>141</v>
      </c>
      <c r="AJ202" s="22">
        <v>11600</v>
      </c>
      <c r="AK202">
        <v>11600</v>
      </c>
      <c r="AM202" s="21">
        <v>78500</v>
      </c>
      <c r="AN202">
        <v>78500</v>
      </c>
      <c r="AO202">
        <v>78500</v>
      </c>
      <c r="BB202" s="26">
        <v>15000</v>
      </c>
      <c r="BC20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03" spans="1:55">
      <c r="A203" t="s">
        <v>81</v>
      </c>
      <c r="B203" t="s">
        <v>260</v>
      </c>
      <c r="C203" t="s">
        <v>790</v>
      </c>
      <c r="D203" s="54">
        <v>46</v>
      </c>
      <c r="E203" s="51">
        <f>_xlfn.XLOOKUP(TabelaClean14[[#This Row],[nome]],Base_Dirty!$B:$B,Base_Dirty!F:F)</f>
        <v>29113</v>
      </c>
      <c r="F203" t="s">
        <v>162</v>
      </c>
      <c r="G203" s="17" t="s">
        <v>142</v>
      </c>
      <c r="H203" t="s">
        <v>142</v>
      </c>
      <c r="I203">
        <v>15000</v>
      </c>
      <c r="J203">
        <v>32500</v>
      </c>
      <c r="K203" t="s">
        <v>50</v>
      </c>
      <c r="L203">
        <v>40</v>
      </c>
      <c r="M203" s="23">
        <f>_xlfn.XLOOKUP(TabelaClean14[[#This Row],[nome]],Base_Dirty!$B:$B,Base_Dirty!I:I)</f>
        <v>15000</v>
      </c>
      <c r="N203" s="78">
        <f>_xlfn.XLOOKUP(TabelaClean14[[#This Row],[nome]],Base_Dirty!$B:$B,Base_Dirty!J:J)</f>
        <v>32500</v>
      </c>
      <c r="O203" s="79" t="s">
        <v>50</v>
      </c>
      <c r="P20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3" s="84">
        <f>_xlfn.XLOOKUP(TabelaClean14[[#This Row],[nome]],Base_Dirty!$B:$B,Base_Dirty!L:L)</f>
        <v>40</v>
      </c>
      <c r="R203"/>
      <c r="S203"/>
      <c r="T203" s="26">
        <f>_xlfn.XLOOKUP(TabelaClean14[[#This Row],[nome]],Base_Dirty!$B:$B,Base_Dirty!O:O)</f>
        <v>4500</v>
      </c>
      <c r="U203" s="17"/>
      <c r="W203" s="1"/>
      <c r="Y203" t="s">
        <v>809</v>
      </c>
      <c r="Z203" t="str">
        <f t="shared" si="3"/>
        <v>Null</v>
      </c>
      <c r="AE203" t="s">
        <v>252</v>
      </c>
      <c r="AF203" t="str">
        <f>TEXT(AE203,"000\.000\.000\-00")</f>
        <v>000.000.194-00</v>
      </c>
      <c r="AH203" s="15" t="s">
        <v>215</v>
      </c>
      <c r="AJ203" s="22">
        <v>7000</v>
      </c>
      <c r="AK203">
        <v>7000</v>
      </c>
      <c r="AM203" s="20">
        <v>1500</v>
      </c>
      <c r="AN203">
        <v>1500</v>
      </c>
      <c r="AO203">
        <v>1500</v>
      </c>
      <c r="BB203" s="23">
        <f>_xlfn.XLOOKUP(TabelaClean14[[#This Row],[nome]],Base_Dirty!$B:$B,Base_Dirty!AX:AX)</f>
        <v>0</v>
      </c>
      <c r="BC203" s="17"/>
    </row>
    <row r="204" spans="1:55">
      <c r="A204" s="24" t="s">
        <v>81</v>
      </c>
      <c r="B204" s="17" t="s">
        <v>260</v>
      </c>
      <c r="C204" t="str">
        <f>_xlfn.XLOOKUP(TabelaClean14[[#This Row],[nome]],Base_Dirty!$B:$B,Base_Dirty!D:D)</f>
        <v>000.000.014-00</v>
      </c>
      <c r="D204" s="54">
        <v>46</v>
      </c>
      <c r="F204" s="50" t="s">
        <v>162</v>
      </c>
      <c r="G204" s="17" t="s">
        <v>142</v>
      </c>
      <c r="H204" s="24" t="s">
        <v>142</v>
      </c>
      <c r="I204" s="24">
        <v>15000</v>
      </c>
      <c r="J204" s="24">
        <v>0</v>
      </c>
      <c r="K204" s="24" t="s">
        <v>50</v>
      </c>
      <c r="L204" s="24">
        <v>40</v>
      </c>
      <c r="M204" s="23">
        <f>_xlfn.XLOOKUP(TabelaClean14[[#This Row],[nome]],Base_Dirty!$B:$B,Base_Dirty!I:I)</f>
        <v>15000</v>
      </c>
      <c r="N204" s="78">
        <f>_xlfn.XLOOKUP(TabelaClean14[[#This Row],[nome]],Base_Dirty!$B:$B,Base_Dirty!J:J)</f>
        <v>32500</v>
      </c>
      <c r="O204" s="79" t="s">
        <v>50</v>
      </c>
      <c r="P204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4" s="84">
        <f>_xlfn.XLOOKUP(TabelaClean14[[#This Row],[nome]],Base_Dirty!$B:$B,Base_Dirty!L:L)</f>
        <v>40</v>
      </c>
      <c r="R204" s="76" t="str" cm="1">
        <f t="array" ref="R204">_xlfn.IFS(TabelaClean14[[#This Row],[qtde_batalhas]]&lt;=10,"Baixo",TabelaClean14[[#This Row],[qtde_batalhas]]&gt;=26,"Alto",TabelaClean14[[#This Row],[qtde_batalhas]]&lt;26,"Médio")</f>
        <v>Alto</v>
      </c>
      <c r="S204" s="76" t="str">
        <f>IF(AND(TabelaClean14[[#This Row],[nivel_risco]]="Alto",TabelaClean14[[#This Row],[flag_inadimplente]]="Sim"),"Arriscado","Ok")</f>
        <v>Ok</v>
      </c>
      <c r="T204" s="26">
        <f>_xlfn.XLOOKUP(TabelaClean14[[#This Row],[nome]],Base_Dirty!$B:$B,Base_Dirty!O:O)</f>
        <v>4500</v>
      </c>
      <c r="U20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04" s="1"/>
      <c r="Y204" t="s">
        <v>183</v>
      </c>
      <c r="Z204" t="str">
        <f t="shared" si="3"/>
        <v>Dorne</v>
      </c>
      <c r="AE204" t="s">
        <v>239</v>
      </c>
      <c r="AF204" t="str">
        <f>TEXT(AE204,"000\.000\.000\-00")</f>
        <v>000.000.195-00</v>
      </c>
      <c r="AH204" s="15" t="s">
        <v>162</v>
      </c>
      <c r="AM204" s="21">
        <v>0</v>
      </c>
      <c r="AN204">
        <v>0</v>
      </c>
      <c r="AO204">
        <v>0</v>
      </c>
      <c r="BB204" s="23">
        <f>_xlfn.XLOOKUP(TabelaClean14[[#This Row],[nome]],Base_Dirty!$B:$B,Base_Dirty!AX:AX)</f>
        <v>0</v>
      </c>
      <c r="BC20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05" spans="1:55">
      <c r="A205" s="24" t="s">
        <v>76</v>
      </c>
      <c r="B205" s="17" t="s">
        <v>929</v>
      </c>
      <c r="C205" s="25" t="s">
        <v>569</v>
      </c>
      <c r="D205" s="54">
        <v>24</v>
      </c>
      <c r="E205" s="30" t="s">
        <v>809</v>
      </c>
      <c r="F205" s="24" t="str">
        <f>TabelaClean14[[#This Row],[CidadeCPF]]</f>
        <v>Castelo Negro</v>
      </c>
      <c r="G205" s="17" t="str">
        <f>TabelaClean14[[#This Row],[RegiaoCPF]]</f>
        <v>Norte</v>
      </c>
      <c r="H205" s="17" t="str">
        <f>_xlfn.XLOOKUP(TabelaClean14[[#This Row],[cpf]],TabelaDirty[cpfclean],TabelaDirty[cidade])</f>
        <v>Castelo Negro</v>
      </c>
      <c r="I205" s="17" t="str">
        <f>_xlfn.XLOOKUP(TabelaClean14[[#This Row],[cpf]],TabelaDirty[cpfclean],TabelaDirty[regiao])</f>
        <v>Norte</v>
      </c>
      <c r="J205" s="17" t="str">
        <f>PROPER(TabelaClean14[[#This Row],[Coluna1]])</f>
        <v>Norte</v>
      </c>
      <c r="K205" s="17" t="e">
        <f>_xlfn.TEXTBEFORE(TabelaClean14[[#This Row],[CidadeCPF]]," | ")</f>
        <v>#N/A</v>
      </c>
      <c r="L205" s="24" t="e">
        <f>_xlfn.TEXTAFTER(TabelaClean14[[#This Row],[CidadeCPF]]," | ")</f>
        <v>#N/A</v>
      </c>
      <c r="M205" s="26">
        <v>29300</v>
      </c>
      <c r="N205" s="78">
        <v>32000</v>
      </c>
      <c r="O205" s="1" t="s">
        <v>51</v>
      </c>
      <c r="P20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5" s="84">
        <v>26</v>
      </c>
      <c r="R205" s="1" t="str" cm="1">
        <f t="array" ref="R205">_xlfn.IFS(TabelaClean14[[#This Row],[qtde_batalhas]]&lt;=10,"Baixo",TabelaClean14[[#This Row],[qtde_batalhas]]&gt;=26,"Alto",TabelaClean14[[#This Row],[qtde_batalhas]]&lt;26,"Médio")</f>
        <v>Alto</v>
      </c>
      <c r="S205" s="1" t="str">
        <f>IF(AND(TabelaClean14[[#This Row],[nivel_risco]]="Alto",TabelaClean14[[#This Row],[flag_inadimplente]]="Sim"),"Arriscado","Ok")</f>
        <v>Arriscado</v>
      </c>
      <c r="T205" s="26">
        <v>59000</v>
      </c>
      <c r="U205" s="81">
        <f>IF(AND(TabelaClean14[[#This Row],[analise_risco]]="Arriscado",TabelaClean14[[#This Row],[analise_credito]]="Reprovado"),0,IF(TabelaClean14[[#This Row],[status]]="Ativo",TabelaClean14[[#This Row],[valor_solicitado]]*1.08,0))</f>
        <v>63720.000000000007</v>
      </c>
      <c r="W205" s="1"/>
      <c r="Y205" t="s">
        <v>809</v>
      </c>
      <c r="Z205" t="str">
        <f t="shared" si="3"/>
        <v>Null</v>
      </c>
      <c r="AE205" t="s">
        <v>357</v>
      </c>
      <c r="AF205" t="str">
        <f>TEXT(AE205,"000\.000\.000\-00")</f>
        <v>000.000.196-00</v>
      </c>
      <c r="AH205" s="15" t="s">
        <v>148</v>
      </c>
      <c r="AJ205" s="22">
        <v>9400</v>
      </c>
      <c r="AK205">
        <v>9400</v>
      </c>
      <c r="AM205" s="20">
        <v>51500</v>
      </c>
      <c r="AN205">
        <v>51500</v>
      </c>
      <c r="AO205">
        <v>51500</v>
      </c>
      <c r="BB205" s="26">
        <v>29300</v>
      </c>
      <c r="BC205" s="81">
        <f>IF(AND(TabelaClean14[[#This Row],[analise_risco]]="Arriscado",TabelaClean14[[#This Row],[analise_credito]]="Reprovado"),0,IF(TabelaClean14[[#This Row],[status]]="Ativo",TabelaClean14[[#This Row],[valor_solicitado]]*1.08,0))</f>
        <v>63720.000000000007</v>
      </c>
    </row>
    <row r="206" spans="1:55">
      <c r="A206" s="24" t="s">
        <v>76</v>
      </c>
      <c r="B206" s="17" t="s">
        <v>473</v>
      </c>
      <c r="C206" s="25" t="s">
        <v>915</v>
      </c>
      <c r="D206" s="54">
        <v>43</v>
      </c>
      <c r="E206" s="30">
        <v>30355</v>
      </c>
      <c r="F206" s="24" t="str">
        <f>TabelaClean14[[#This Row],[CidadeCPF]]</f>
        <v>Ilha dos Ursos</v>
      </c>
      <c r="G206" s="17" t="str">
        <f>TabelaClean14[[#This Row],[RegiaoCPF]]</f>
        <v>Norte</v>
      </c>
      <c r="H206" s="17" t="str">
        <f>_xlfn.XLOOKUP(TabelaClean14[[#This Row],[cpf]],TabelaDirty[cpfclean],TabelaDirty[cidade])</f>
        <v>Ilha dos Ursos</v>
      </c>
      <c r="I206" s="17" t="str">
        <f>_xlfn.XLOOKUP(TabelaClean14[[#This Row],[cpf]],TabelaDirty[cpfclean],TabelaDirty[regiao])</f>
        <v>Norte</v>
      </c>
      <c r="J206" s="17" t="str">
        <f>PROPER(TabelaClean14[[#This Row],[Coluna1]])</f>
        <v>Norte</v>
      </c>
      <c r="K206" s="17" t="e">
        <f>_xlfn.TEXTBEFORE(TabelaClean14[[#This Row],[CidadeCPF]]," | ")</f>
        <v>#N/A</v>
      </c>
      <c r="L206" s="24" t="e">
        <f>_xlfn.TEXTAFTER(TabelaClean14[[#This Row],[CidadeCPF]]," | ")</f>
        <v>#N/A</v>
      </c>
      <c r="M206" s="26">
        <v>21700</v>
      </c>
      <c r="N206" s="78">
        <v>31000</v>
      </c>
      <c r="O206" s="1" t="s">
        <v>50</v>
      </c>
      <c r="P20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6" s="84">
        <v>27</v>
      </c>
      <c r="R206" s="1" t="str" cm="1">
        <f t="array" ref="R206">_xlfn.IFS(TabelaClean14[[#This Row],[qtde_batalhas]]&lt;=10,"Baixo",TabelaClean14[[#This Row],[qtde_batalhas]]&gt;=26,"Alto",TabelaClean14[[#This Row],[qtde_batalhas]]&lt;26,"Médio")</f>
        <v>Alto</v>
      </c>
      <c r="S206" s="1" t="str">
        <f>IF(AND(TabelaClean14[[#This Row],[nivel_risco]]="Alto",TabelaClean14[[#This Row],[flag_inadimplente]]="Sim"),"Arriscado","Ok")</f>
        <v>Ok</v>
      </c>
      <c r="T206" s="26">
        <v>45500</v>
      </c>
      <c r="U206" s="81">
        <f>IF(AND(TabelaClean14[[#This Row],[analise_risco]]="Arriscado",TabelaClean14[[#This Row],[analise_credito]]="Reprovado"),0,IF(TabelaClean14[[#This Row],[status]]="Ativo",TabelaClean14[[#This Row],[valor_solicitado]]*1.08,0))</f>
        <v>49140</v>
      </c>
      <c r="W206" s="1"/>
      <c r="Y206" t="s">
        <v>809</v>
      </c>
      <c r="Z206" t="str">
        <f t="shared" si="3"/>
        <v>Null</v>
      </c>
      <c r="AE206" t="s">
        <v>522</v>
      </c>
      <c r="AF206" t="str">
        <f>TEXT(AE206,"000\.000\.000\-00")</f>
        <v>000.000.197-00</v>
      </c>
      <c r="AH206" s="15" t="s">
        <v>526</v>
      </c>
      <c r="AJ206" s="22">
        <v>22900</v>
      </c>
      <c r="AK206">
        <v>22900</v>
      </c>
      <c r="AM206" s="21">
        <v>4500</v>
      </c>
      <c r="AN206">
        <v>4500</v>
      </c>
      <c r="AO206">
        <v>4500</v>
      </c>
      <c r="BB206" s="26">
        <v>21700</v>
      </c>
      <c r="BC206" s="81">
        <f>IF(AND(TabelaClean14[[#This Row],[analise_risco]]="Arriscado",TabelaClean14[[#This Row],[analise_credito]]="Reprovado"),0,IF(TabelaClean14[[#This Row],[status]]="Ativo",TabelaClean14[[#This Row],[valor_solicitado]]*1.08,0))</f>
        <v>49140</v>
      </c>
    </row>
    <row r="207" spans="1:55">
      <c r="A207" s="24" t="s">
        <v>81</v>
      </c>
      <c r="B207" s="17" t="s">
        <v>930</v>
      </c>
      <c r="C207" s="25" t="s">
        <v>111</v>
      </c>
      <c r="D207" s="54">
        <v>42</v>
      </c>
      <c r="E207" s="30">
        <v>30810</v>
      </c>
      <c r="F207" s="24" t="str">
        <f>TabelaClean14[[#This Row],[CidadeCPF]]</f>
        <v>Pyke</v>
      </c>
      <c r="G207" s="17" t="str">
        <f>TabelaClean14[[#This Row],[RegiaoCPF]]</f>
        <v>Ilhas De Ferro</v>
      </c>
      <c r="H207" s="17" t="str">
        <f>_xlfn.XLOOKUP(TabelaClean14[[#This Row],[cpf]],TabelaDirty[cpfclean],TabelaDirty[cidade])</f>
        <v>Pyke</v>
      </c>
      <c r="I207" s="17" t="str">
        <f>_xlfn.XLOOKUP(TabelaClean14[[#This Row],[cpf]],TabelaDirty[cpfclean],TabelaDirty[regiao])</f>
        <v>Ilhas De Ferro</v>
      </c>
      <c r="J207" s="17" t="str">
        <f>PROPER(TabelaClean14[[#This Row],[Coluna1]])</f>
        <v>Ilhas De Ferro</v>
      </c>
      <c r="K207" s="17" t="e">
        <f>_xlfn.TEXTBEFORE(TabelaClean14[[#This Row],[CidadeCPF]]," | ")</f>
        <v>#N/A</v>
      </c>
      <c r="L207" s="24" t="e">
        <f>_xlfn.TEXTAFTER(TabelaClean14[[#This Row],[CidadeCPF]]," | ")</f>
        <v>#N/A</v>
      </c>
      <c r="M207" s="26">
        <v>18200</v>
      </c>
      <c r="N207" s="78">
        <v>31000</v>
      </c>
      <c r="O207" s="1" t="s">
        <v>50</v>
      </c>
      <c r="P20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7" s="84">
        <v>19</v>
      </c>
      <c r="R207" s="1" t="str" cm="1">
        <f t="array" ref="R207">_xlfn.IFS(TabelaClean14[[#This Row],[qtde_batalhas]]&lt;=10,"Baixo",TabelaClean14[[#This Row],[qtde_batalhas]]&gt;=26,"Alto",TabelaClean14[[#This Row],[qtde_batalhas]]&lt;26,"Médio")</f>
        <v>Médio</v>
      </c>
      <c r="S207" s="1" t="str">
        <f>IF(AND(TabelaClean14[[#This Row],[nivel_risco]]="Alto",TabelaClean14[[#This Row],[flag_inadimplente]]="Sim"),"Arriscado","Ok")</f>
        <v>Ok</v>
      </c>
      <c r="T207" s="26">
        <v>63500</v>
      </c>
      <c r="U20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07" s="1"/>
      <c r="Y207" t="s">
        <v>809</v>
      </c>
      <c r="Z207" t="str">
        <f t="shared" si="3"/>
        <v>Null</v>
      </c>
      <c r="AE207" t="s">
        <v>751</v>
      </c>
      <c r="AF207" t="str">
        <f>TEXT(AE207,"000\.000\.000\-00")</f>
        <v>000.000.199-00</v>
      </c>
      <c r="AH207" s="15" t="s">
        <v>127</v>
      </c>
      <c r="AJ207" s="22">
        <v>21300</v>
      </c>
      <c r="AK207">
        <v>21300</v>
      </c>
      <c r="AM207" s="20">
        <v>48000</v>
      </c>
      <c r="AN207">
        <v>48000</v>
      </c>
      <c r="AO207">
        <v>48000</v>
      </c>
      <c r="BB207" s="26">
        <v>18200</v>
      </c>
      <c r="BC20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08" spans="1:55">
      <c r="A208" s="24" t="s">
        <v>76</v>
      </c>
      <c r="B208" s="17" t="s">
        <v>708</v>
      </c>
      <c r="C208" s="25" t="s">
        <v>709</v>
      </c>
      <c r="D208" s="54">
        <v>25</v>
      </c>
      <c r="E208" s="30">
        <v>36792</v>
      </c>
      <c r="F208" s="24" t="str">
        <f>TabelaClean14[[#This Row],[CidadeCPF]]</f>
        <v>Ninho da Águia</v>
      </c>
      <c r="G208" s="17" t="str">
        <f>TabelaClean14[[#This Row],[RegiaoCPF]]</f>
        <v>Vale</v>
      </c>
      <c r="H208" s="17" t="str">
        <f>_xlfn.XLOOKUP(TabelaClean14[[#This Row],[cpf]],TabelaDirty[cpfclean],TabelaDirty[cidade])</f>
        <v>Ninho da Águia</v>
      </c>
      <c r="I208" s="17" t="str">
        <f>_xlfn.XLOOKUP(TabelaClean14[[#This Row],[cpf]],TabelaDirty[cpfclean],TabelaDirty[regiao])</f>
        <v>Vale</v>
      </c>
      <c r="J208" s="17" t="str">
        <f>PROPER(TabelaClean14[[#This Row],[Coluna1]])</f>
        <v>Vale</v>
      </c>
      <c r="K208" s="17" t="e">
        <f>_xlfn.TEXTBEFORE(TabelaClean14[[#This Row],[CidadeCPF]]," | ")</f>
        <v>#N/A</v>
      </c>
      <c r="L208" s="24" t="e">
        <f>_xlfn.TEXTAFTER(TabelaClean14[[#This Row],[CidadeCPF]]," | ")</f>
        <v>#N/A</v>
      </c>
      <c r="M208" s="26">
        <v>22100</v>
      </c>
      <c r="N208" s="78">
        <v>30500</v>
      </c>
      <c r="O208" s="1" t="s">
        <v>50</v>
      </c>
      <c r="P20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8" s="84">
        <v>28</v>
      </c>
      <c r="R208" s="1" t="str" cm="1">
        <f t="array" ref="R208">_xlfn.IFS(TabelaClean14[[#This Row],[qtde_batalhas]]&lt;=10,"Baixo",TabelaClean14[[#This Row],[qtde_batalhas]]&gt;=26,"Alto",TabelaClean14[[#This Row],[qtde_batalhas]]&lt;26,"Médio")</f>
        <v>Alto</v>
      </c>
      <c r="S208" s="1" t="str">
        <f>IF(AND(TabelaClean14[[#This Row],[nivel_risco]]="Alto",TabelaClean14[[#This Row],[flag_inadimplente]]="Sim"),"Arriscado","Ok")</f>
        <v>Ok</v>
      </c>
      <c r="T208" s="26">
        <v>48000</v>
      </c>
      <c r="U208" s="81">
        <f>IF(AND(TabelaClean14[[#This Row],[analise_risco]]="Arriscado",TabelaClean14[[#This Row],[analise_credito]]="Reprovado"),0,IF(TabelaClean14[[#This Row],[status]]="Ativo",TabelaClean14[[#This Row],[valor_solicitado]]*1.08,0))</f>
        <v>51840</v>
      </c>
      <c r="W208" s="1"/>
      <c r="Y208" t="s">
        <v>809</v>
      </c>
      <c r="Z208" t="str">
        <f t="shared" si="3"/>
        <v>Null</v>
      </c>
      <c r="AE208" t="s">
        <v>320</v>
      </c>
      <c r="AF208" t="str">
        <f>TEXT(AE208,"000\.000\.000\-00")</f>
        <v>000.000.200-00</v>
      </c>
      <c r="AH208" s="15" t="s">
        <v>242</v>
      </c>
      <c r="AJ208" s="22" t="s">
        <v>207</v>
      </c>
      <c r="AK208">
        <v>29900</v>
      </c>
      <c r="AM208" s="21">
        <v>0</v>
      </c>
      <c r="AN208">
        <v>0</v>
      </c>
      <c r="AO208">
        <v>0</v>
      </c>
      <c r="BB208" s="26">
        <v>22100</v>
      </c>
      <c r="BC208" s="81">
        <f>IF(AND(TabelaClean14[[#This Row],[analise_risco]]="Arriscado",TabelaClean14[[#This Row],[analise_credito]]="Reprovado"),0,IF(TabelaClean14[[#This Row],[status]]="Ativo",TabelaClean14[[#This Row],[valor_solicitado]]*1.08,0))</f>
        <v>51840</v>
      </c>
    </row>
    <row r="209" spans="1:55">
      <c r="A209" s="24" t="s">
        <v>76</v>
      </c>
      <c r="B209" s="17" t="s">
        <v>723</v>
      </c>
      <c r="C209" s="25" t="s">
        <v>724</v>
      </c>
      <c r="D209" s="54">
        <v>19</v>
      </c>
      <c r="E209" s="30">
        <v>39003</v>
      </c>
      <c r="F209" s="24" t="str">
        <f>TabelaClean14[[#This Row],[CidadeCPF]]</f>
        <v>Ilha dos Ursos</v>
      </c>
      <c r="G209" s="17" t="str">
        <f>TabelaClean14[[#This Row],[RegiaoCPF]]</f>
        <v>Norte</v>
      </c>
      <c r="H209" s="17" t="str">
        <f>_xlfn.XLOOKUP(TabelaClean14[[#This Row],[cpf]],TabelaDirty[cpfclean],TabelaDirty[cidade])</f>
        <v>Ilha dos Ursos</v>
      </c>
      <c r="I209" s="17" t="str">
        <f>_xlfn.XLOOKUP(TabelaClean14[[#This Row],[cpf]],TabelaDirty[cpfclean],TabelaDirty[regiao])</f>
        <v>Norte</v>
      </c>
      <c r="J209" s="17" t="str">
        <f>PROPER(TabelaClean14[[#This Row],[Coluna1]])</f>
        <v>Norte</v>
      </c>
      <c r="K209" s="17" t="e">
        <f>_xlfn.TEXTBEFORE(TabelaClean14[[#This Row],[CidadeCPF]]," | ")</f>
        <v>#N/A</v>
      </c>
      <c r="L209" s="24" t="e">
        <f>_xlfn.TEXTAFTER(TabelaClean14[[#This Row],[CidadeCPF]]," | ")</f>
        <v>#N/A</v>
      </c>
      <c r="M209" s="26">
        <v>4000</v>
      </c>
      <c r="N209" s="78">
        <v>29500</v>
      </c>
      <c r="O209" s="1" t="s">
        <v>51</v>
      </c>
      <c r="P20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09" s="84">
        <v>13</v>
      </c>
      <c r="R209" s="1" t="str" cm="1">
        <f t="array" ref="R209">_xlfn.IFS(TabelaClean14[[#This Row],[qtde_batalhas]]&lt;=10,"Baixo",TabelaClean14[[#This Row],[qtde_batalhas]]&gt;=26,"Alto",TabelaClean14[[#This Row],[qtde_batalhas]]&lt;26,"Médio")</f>
        <v>Médio</v>
      </c>
      <c r="S209" s="1" t="str">
        <f>IF(AND(TabelaClean14[[#This Row],[nivel_risco]]="Alto",TabelaClean14[[#This Row],[flag_inadimplente]]="Sim"),"Arriscado","Ok")</f>
        <v>Ok</v>
      </c>
      <c r="T209" s="26">
        <v>5000</v>
      </c>
      <c r="U209" s="81">
        <f>IF(AND(TabelaClean14[[#This Row],[analise_risco]]="Arriscado",TabelaClean14[[#This Row],[analise_credito]]="Reprovado"),0,IF(TabelaClean14[[#This Row],[status]]="Ativo",TabelaClean14[[#This Row],[valor_solicitado]]*1.08,0))</f>
        <v>5400</v>
      </c>
      <c r="W209" s="1"/>
      <c r="Y209" t="s">
        <v>809</v>
      </c>
      <c r="Z209" t="str">
        <f t="shared" si="3"/>
        <v>Null</v>
      </c>
      <c r="AE209" t="s">
        <v>489</v>
      </c>
      <c r="AF209" t="str">
        <f>TEXT(AE209,"000\.000\.000\-00")</f>
        <v>000.000.201-00</v>
      </c>
      <c r="AH209" s="15" t="s">
        <v>172</v>
      </c>
      <c r="AJ209" s="22">
        <v>9600</v>
      </c>
      <c r="AK209">
        <v>9600</v>
      </c>
      <c r="AM209" s="20">
        <v>43000</v>
      </c>
      <c r="AN209">
        <v>43000</v>
      </c>
      <c r="AO209">
        <v>43000</v>
      </c>
      <c r="BB209" s="26">
        <v>4000</v>
      </c>
      <c r="BC209" s="81">
        <f>IF(AND(TabelaClean14[[#This Row],[analise_risco]]="Arriscado",TabelaClean14[[#This Row],[analise_credito]]="Reprovado"),0,IF(TabelaClean14[[#This Row],[status]]="Ativo",TabelaClean14[[#This Row],[valor_solicitado]]*1.08,0))</f>
        <v>5400</v>
      </c>
    </row>
    <row r="210" spans="1:55">
      <c r="A210" s="24" t="s">
        <v>81</v>
      </c>
      <c r="B210" s="17" t="s">
        <v>931</v>
      </c>
      <c r="C210" s="25" t="s">
        <v>380</v>
      </c>
      <c r="D210" s="54">
        <v>63</v>
      </c>
      <c r="E210" s="30">
        <v>22994</v>
      </c>
      <c r="F210" s="24" t="str">
        <f>TabelaClean14[[#This Row],[CidadeCPF]]</f>
        <v>Pyke</v>
      </c>
      <c r="G210" s="17" t="str">
        <f>TabelaClean14[[#This Row],[RegiaoCPF]]</f>
        <v>Ilhas De Ferro</v>
      </c>
      <c r="H210" s="17" t="str">
        <f>_xlfn.XLOOKUP(TabelaClean14[[#This Row],[cpf]],TabelaDirty[cpfclean],TabelaDirty[cidade])</f>
        <v>Pyke</v>
      </c>
      <c r="I210" s="17" t="str">
        <f>_xlfn.XLOOKUP(TabelaClean14[[#This Row],[cpf]],TabelaDirty[cpfclean],TabelaDirty[regiao])</f>
        <v>ilhas de ferro</v>
      </c>
      <c r="J210" s="17" t="str">
        <f>PROPER(TabelaClean14[[#This Row],[Coluna1]])</f>
        <v>Ilhas De Ferro</v>
      </c>
      <c r="K210" s="17" t="e">
        <f>_xlfn.TEXTBEFORE(TabelaClean14[[#This Row],[CidadeCPF]]," | ")</f>
        <v>#N/A</v>
      </c>
      <c r="L210" s="24" t="e">
        <f>_xlfn.TEXTAFTER(TabelaClean14[[#This Row],[CidadeCPF]]," | ")</f>
        <v>#N/A</v>
      </c>
      <c r="M210" s="26">
        <v>20000</v>
      </c>
      <c r="N210" s="78">
        <v>29500</v>
      </c>
      <c r="O210" s="1" t="s">
        <v>50</v>
      </c>
      <c r="P21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0" s="84">
        <v>42</v>
      </c>
      <c r="R210" s="1" t="str" cm="1">
        <f t="array" ref="R210">_xlfn.IFS(TabelaClean14[[#This Row],[qtde_batalhas]]&lt;=10,"Baixo",TabelaClean14[[#This Row],[qtde_batalhas]]&gt;=26,"Alto",TabelaClean14[[#This Row],[qtde_batalhas]]&lt;26,"Médio")</f>
        <v>Alto</v>
      </c>
      <c r="S210" s="1" t="str">
        <f>IF(AND(TabelaClean14[[#This Row],[nivel_risco]]="Alto",TabelaClean14[[#This Row],[flag_inadimplente]]="Sim"),"Arriscado","Ok")</f>
        <v>Ok</v>
      </c>
      <c r="T210" s="26">
        <v>5000</v>
      </c>
      <c r="U21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10" s="1"/>
      <c r="Y210" t="s">
        <v>809</v>
      </c>
      <c r="Z210" t="str">
        <f t="shared" si="3"/>
        <v>Null</v>
      </c>
      <c r="AE210" t="s">
        <v>690</v>
      </c>
      <c r="AF210" t="str">
        <f>TEXT(AE210,"000\.000\.000\-00")</f>
        <v>000.000.202-00</v>
      </c>
      <c r="AH210" s="15" t="s">
        <v>242</v>
      </c>
      <c r="AJ210" s="22">
        <v>29100</v>
      </c>
      <c r="AK210">
        <v>29100</v>
      </c>
      <c r="AM210" s="21" t="s">
        <v>143</v>
      </c>
      <c r="AN210" t="s">
        <v>809</v>
      </c>
      <c r="AO210" t="s">
        <v>809</v>
      </c>
      <c r="BB210" s="26">
        <v>20000</v>
      </c>
      <c r="BC21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11" spans="1:55">
      <c r="A211" s="24" t="s">
        <v>76</v>
      </c>
      <c r="B211" s="17" t="s">
        <v>374</v>
      </c>
      <c r="C211" s="25" t="s">
        <v>375</v>
      </c>
      <c r="D211" s="54">
        <v>65</v>
      </c>
      <c r="E211" s="30">
        <v>22505</v>
      </c>
      <c r="F211" s="24" t="str">
        <f>TabelaClean14[[#This Row],[CidadeCPF]]</f>
        <v>Ilha dos Ursos</v>
      </c>
      <c r="G211" s="17" t="str">
        <f>TabelaClean14[[#This Row],[RegiaoCPF]]</f>
        <v>Norte</v>
      </c>
      <c r="H211" s="17" t="str">
        <f>_xlfn.XLOOKUP(TabelaClean14[[#This Row],[cpf]],TabelaDirty[cpfclean],TabelaDirty[cidade])</f>
        <v>Ilha dos Ursos</v>
      </c>
      <c r="I211" s="17" t="str">
        <f>_xlfn.XLOOKUP(TabelaClean14[[#This Row],[cpf]],TabelaDirty[cpfclean],TabelaDirty[regiao])</f>
        <v>Norte</v>
      </c>
      <c r="J211" s="17" t="str">
        <f>PROPER(TabelaClean14[[#This Row],[Coluna1]])</f>
        <v>Norte</v>
      </c>
      <c r="K211" s="17" t="e">
        <f>_xlfn.TEXTBEFORE(TabelaClean14[[#This Row],[CidadeCPF]]," | ")</f>
        <v>#N/A</v>
      </c>
      <c r="L211" s="24" t="e">
        <f>_xlfn.TEXTAFTER(TabelaClean14[[#This Row],[CidadeCPF]]," | ")</f>
        <v>#N/A</v>
      </c>
      <c r="M211" s="26">
        <v>29000</v>
      </c>
      <c r="N211" s="78">
        <v>28500</v>
      </c>
      <c r="O211" s="1" t="s">
        <v>50</v>
      </c>
      <c r="P21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1" s="84">
        <v>28</v>
      </c>
      <c r="R211" s="1" t="str" cm="1">
        <f t="array" ref="R211">_xlfn.IFS(TabelaClean14[[#This Row],[qtde_batalhas]]&lt;=10,"Baixo",TabelaClean14[[#This Row],[qtde_batalhas]]&gt;=26,"Alto",TabelaClean14[[#This Row],[qtde_batalhas]]&lt;26,"Médio")</f>
        <v>Alto</v>
      </c>
      <c r="S211" s="1" t="str">
        <f>IF(AND(TabelaClean14[[#This Row],[nivel_risco]]="Alto",TabelaClean14[[#This Row],[flag_inadimplente]]="Sim"),"Arriscado","Ok")</f>
        <v>Ok</v>
      </c>
      <c r="T211" s="26">
        <v>57500</v>
      </c>
      <c r="U211" s="81">
        <f>IF(AND(TabelaClean14[[#This Row],[analise_risco]]="Arriscado",TabelaClean14[[#This Row],[analise_credito]]="Reprovado"),0,IF(TabelaClean14[[#This Row],[status]]="Ativo",TabelaClean14[[#This Row],[valor_solicitado]]*1.08,0))</f>
        <v>62100.000000000007</v>
      </c>
      <c r="W211" s="1"/>
      <c r="Y211" t="s">
        <v>809</v>
      </c>
      <c r="Z211" t="str">
        <f t="shared" si="3"/>
        <v>Null</v>
      </c>
      <c r="AE211" t="s">
        <v>716</v>
      </c>
      <c r="AF211" t="str">
        <f>TEXT(AE211,"000\.000\.000\-00")</f>
        <v>000.000.204-00</v>
      </c>
      <c r="AH211" s="15" t="s">
        <v>210</v>
      </c>
      <c r="AJ211" s="22" t="s">
        <v>198</v>
      </c>
      <c r="AK211">
        <v>23400</v>
      </c>
      <c r="AM211" s="20">
        <v>28000</v>
      </c>
      <c r="AN211">
        <v>28000</v>
      </c>
      <c r="AO211">
        <v>28000</v>
      </c>
      <c r="BB211" s="26">
        <v>29000</v>
      </c>
      <c r="BC211" s="81">
        <f>IF(AND(TabelaClean14[[#This Row],[analise_risco]]="Arriscado",TabelaClean14[[#This Row],[analise_credito]]="Reprovado"),0,IF(TabelaClean14[[#This Row],[status]]="Ativo",TabelaClean14[[#This Row],[valor_solicitado]]*1.08,0))</f>
        <v>62100.000000000007</v>
      </c>
    </row>
    <row r="212" spans="1:55">
      <c r="A212" s="24" t="s">
        <v>76</v>
      </c>
      <c r="B212" s="17" t="s">
        <v>932</v>
      </c>
      <c r="C212" s="25" t="s">
        <v>576</v>
      </c>
      <c r="D212" s="54">
        <v>23</v>
      </c>
      <c r="E212" s="30">
        <v>37785</v>
      </c>
      <c r="F212" s="24" t="str">
        <f>TabelaClean14[[#This Row],[CidadeCPF]]</f>
        <v>Porto Real</v>
      </c>
      <c r="G212" s="17" t="str">
        <f>TabelaClean14[[#This Row],[RegiaoCPF]]</f>
        <v>Terras Da Coroa</v>
      </c>
      <c r="H212" s="17" t="str">
        <f>_xlfn.XLOOKUP(TabelaClean14[[#This Row],[cpf]],TabelaDirty[cpfclean],TabelaDirty[cidade])</f>
        <v>Porto Real</v>
      </c>
      <c r="I212" s="17" t="str">
        <f>_xlfn.XLOOKUP(TabelaClean14[[#This Row],[cpf]],TabelaDirty[cpfclean],TabelaDirty[regiao])</f>
        <v>Terras Da Coroa</v>
      </c>
      <c r="J212" s="17" t="str">
        <f>PROPER(TabelaClean14[[#This Row],[Coluna1]])</f>
        <v>Terras Da Coroa</v>
      </c>
      <c r="K212" s="17" t="e">
        <f>_xlfn.TEXTBEFORE(TabelaClean14[[#This Row],[CidadeCPF]]," | ")</f>
        <v>#N/A</v>
      </c>
      <c r="L212" s="24" t="e">
        <f>_xlfn.TEXTAFTER(TabelaClean14[[#This Row],[CidadeCPF]]," | ")</f>
        <v>#N/A</v>
      </c>
      <c r="M212" s="26">
        <v>17900</v>
      </c>
      <c r="N212" s="78">
        <v>28000</v>
      </c>
      <c r="O212" s="1" t="s">
        <v>50</v>
      </c>
      <c r="P21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2" s="84">
        <v>41</v>
      </c>
      <c r="R212" s="1" t="str" cm="1">
        <f t="array" ref="R212">_xlfn.IFS(TabelaClean14[[#This Row],[qtde_batalhas]]&lt;=10,"Baixo",TabelaClean14[[#This Row],[qtde_batalhas]]&gt;=26,"Alto",TabelaClean14[[#This Row],[qtde_batalhas]]&lt;26,"Médio")</f>
        <v>Alto</v>
      </c>
      <c r="S212" s="1" t="str">
        <f>IF(AND(TabelaClean14[[#This Row],[nivel_risco]]="Alto",TabelaClean14[[#This Row],[flag_inadimplente]]="Sim"),"Arriscado","Ok")</f>
        <v>Ok</v>
      </c>
      <c r="T212" s="26">
        <v>52500</v>
      </c>
      <c r="U212" s="81">
        <f>IF(AND(TabelaClean14[[#This Row],[analise_risco]]="Arriscado",TabelaClean14[[#This Row],[analise_credito]]="Reprovado"),0,IF(TabelaClean14[[#This Row],[status]]="Ativo",TabelaClean14[[#This Row],[valor_solicitado]]*1.08,0))</f>
        <v>56700.000000000007</v>
      </c>
      <c r="W212" s="1"/>
      <c r="Y212" t="s">
        <v>809</v>
      </c>
      <c r="Z212" t="str">
        <f t="shared" si="3"/>
        <v>Null</v>
      </c>
      <c r="AE212" t="s">
        <v>195</v>
      </c>
      <c r="AF212" t="str">
        <f>TEXT(AE212,"000\.000\.000\-00")</f>
        <v>000.000.205-00</v>
      </c>
      <c r="AH212" s="15" t="s">
        <v>112</v>
      </c>
      <c r="AJ212" s="22">
        <v>26300</v>
      </c>
      <c r="AK212">
        <v>26300</v>
      </c>
      <c r="AM212" s="21">
        <v>40000</v>
      </c>
      <c r="AN212">
        <v>40000</v>
      </c>
      <c r="AO212">
        <v>40000</v>
      </c>
      <c r="BB212" s="26">
        <v>17900</v>
      </c>
      <c r="BC212" s="81">
        <f>IF(AND(TabelaClean14[[#This Row],[analise_risco]]="Arriscado",TabelaClean14[[#This Row],[analise_credito]]="Reprovado"),0,IF(TabelaClean14[[#This Row],[status]]="Ativo",TabelaClean14[[#This Row],[valor_solicitado]]*1.08,0))</f>
        <v>56700.000000000007</v>
      </c>
    </row>
    <row r="213" spans="1:55">
      <c r="A213" s="24" t="s">
        <v>76</v>
      </c>
      <c r="B213" s="17" t="s">
        <v>196</v>
      </c>
      <c r="C213" s="25" t="s">
        <v>197</v>
      </c>
      <c r="D213" s="54">
        <v>65</v>
      </c>
      <c r="E213" s="30">
        <v>22236</v>
      </c>
      <c r="F213" s="24" t="str">
        <f>TabelaClean14[[#This Row],[CidadeCPF]]</f>
        <v>Pyke</v>
      </c>
      <c r="G213" s="17" t="str">
        <f>TabelaClean14[[#This Row],[RegiaoCPF]]</f>
        <v>Ilhas De Ferro</v>
      </c>
      <c r="H213" s="17" t="str">
        <f>_xlfn.XLOOKUP(TabelaClean14[[#This Row],[cpf]],TabelaDirty[cpfclean],TabelaDirty[cidade])</f>
        <v>Pyke</v>
      </c>
      <c r="I213" s="17" t="str">
        <f>_xlfn.XLOOKUP(TabelaClean14[[#This Row],[cpf]],TabelaDirty[cpfclean],TabelaDirty[regiao])</f>
        <v>Ilhas De Ferro</v>
      </c>
      <c r="J213" s="17" t="str">
        <f>PROPER(TabelaClean14[[#This Row],[Coluna1]])</f>
        <v>Ilhas De Ferro</v>
      </c>
      <c r="K213" s="17" t="e">
        <f>_xlfn.TEXTBEFORE(TabelaClean14[[#This Row],[CidadeCPF]]," | ")</f>
        <v>#N/A</v>
      </c>
      <c r="L213" s="24" t="e">
        <f>_xlfn.TEXTAFTER(TabelaClean14[[#This Row],[CidadeCPF]]," | ")</f>
        <v>#N/A</v>
      </c>
      <c r="M213" s="26">
        <v>23400</v>
      </c>
      <c r="N213" s="78">
        <v>28000</v>
      </c>
      <c r="O213" s="1" t="s">
        <v>50</v>
      </c>
      <c r="P21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3" s="84">
        <v>34</v>
      </c>
      <c r="R213" s="1" t="str" cm="1">
        <f t="array" ref="R213">_xlfn.IFS(TabelaClean14[[#This Row],[qtde_batalhas]]&lt;=10,"Baixo",TabelaClean14[[#This Row],[qtde_batalhas]]&gt;=26,"Alto",TabelaClean14[[#This Row],[qtde_batalhas]]&lt;26,"Médio")</f>
        <v>Alto</v>
      </c>
      <c r="S213" s="1" t="str">
        <f>IF(AND(TabelaClean14[[#This Row],[nivel_risco]]="Alto",TabelaClean14[[#This Row],[flag_inadimplente]]="Sim"),"Arriscado","Ok")</f>
        <v>Ok</v>
      </c>
      <c r="T213" s="26">
        <v>74000</v>
      </c>
      <c r="U213" s="81">
        <f>IF(AND(TabelaClean14[[#This Row],[analise_risco]]="Arriscado",TabelaClean14[[#This Row],[analise_credito]]="Reprovado"),0,IF(TabelaClean14[[#This Row],[status]]="Ativo",TabelaClean14[[#This Row],[valor_solicitado]]*1.08,0))</f>
        <v>79920</v>
      </c>
      <c r="W213" s="1"/>
      <c r="Y213" t="s">
        <v>809</v>
      </c>
      <c r="Z213" t="str">
        <f t="shared" si="3"/>
        <v>Null</v>
      </c>
      <c r="AE213" t="s">
        <v>673</v>
      </c>
      <c r="AF213" t="str">
        <f>TEXT(AE213,"000\.000\.000\-00")</f>
        <v>000.000.208-00</v>
      </c>
      <c r="AH213" s="15" t="s">
        <v>89</v>
      </c>
      <c r="AJ213" s="22">
        <v>2000</v>
      </c>
      <c r="AK213">
        <v>2000</v>
      </c>
      <c r="AM213" s="20">
        <v>5500</v>
      </c>
      <c r="AN213">
        <v>5500</v>
      </c>
      <c r="AO213">
        <v>5500</v>
      </c>
      <c r="BB213" s="26">
        <v>23400</v>
      </c>
      <c r="BC213" s="81">
        <f>IF(AND(TabelaClean14[[#This Row],[analise_risco]]="Arriscado",TabelaClean14[[#This Row],[analise_credito]]="Reprovado"),0,IF(TabelaClean14[[#This Row],[status]]="Ativo",TabelaClean14[[#This Row],[valor_solicitado]]*1.08,0))</f>
        <v>79920</v>
      </c>
    </row>
    <row r="214" spans="1:55">
      <c r="A214" s="24" t="s">
        <v>76</v>
      </c>
      <c r="B214" s="17" t="s">
        <v>351</v>
      </c>
      <c r="C214" s="25" t="s">
        <v>352</v>
      </c>
      <c r="D214" s="54">
        <v>69</v>
      </c>
      <c r="E214" s="30">
        <v>20725</v>
      </c>
      <c r="F214" s="24" t="str">
        <f>TabelaClean14[[#This Row],[CidadeCPF]]</f>
        <v>Correrrio</v>
      </c>
      <c r="G214" s="17" t="str">
        <f>TabelaClean14[[#This Row],[RegiaoCPF]]</f>
        <v>Terras Fluviais</v>
      </c>
      <c r="H214" s="17" t="str">
        <f>_xlfn.XLOOKUP(TabelaClean14[[#This Row],[cpf]],TabelaDirty[cpfclean],TabelaDirty[cidade])</f>
        <v>Correrrio</v>
      </c>
      <c r="I214" s="17" t="str">
        <f>_xlfn.XLOOKUP(TabelaClean14[[#This Row],[cpf]],TabelaDirty[cpfclean],TabelaDirty[regiao])</f>
        <v>terras fluviais</v>
      </c>
      <c r="J214" s="17" t="str">
        <f>PROPER(TabelaClean14[[#This Row],[Coluna1]])</f>
        <v>Terras Fluviais</v>
      </c>
      <c r="K214" s="17" t="e">
        <f>_xlfn.TEXTBEFORE(TabelaClean14[[#This Row],[CidadeCPF]]," | ")</f>
        <v>#N/A</v>
      </c>
      <c r="L214" s="24" t="e">
        <f>_xlfn.TEXTAFTER(TabelaClean14[[#This Row],[CidadeCPF]]," | ")</f>
        <v>#N/A</v>
      </c>
      <c r="M214" s="26">
        <v>8100</v>
      </c>
      <c r="N214" s="78">
        <v>27500</v>
      </c>
      <c r="O214" s="1" t="s">
        <v>50</v>
      </c>
      <c r="P21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4" s="84">
        <v>42</v>
      </c>
      <c r="R214" s="1" t="str" cm="1">
        <f t="array" ref="R214">_xlfn.IFS(TabelaClean14[[#This Row],[qtde_batalhas]]&lt;=10,"Baixo",TabelaClean14[[#This Row],[qtde_batalhas]]&gt;=26,"Alto",TabelaClean14[[#This Row],[qtde_batalhas]]&lt;26,"Médio")</f>
        <v>Alto</v>
      </c>
      <c r="S214" s="1" t="str">
        <f>IF(AND(TabelaClean14[[#This Row],[nivel_risco]]="Alto",TabelaClean14[[#This Row],[flag_inadimplente]]="Sim"),"Arriscado","Ok")</f>
        <v>Ok</v>
      </c>
      <c r="T214" s="26">
        <v>72500</v>
      </c>
      <c r="U214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  <c r="W214" s="1"/>
      <c r="Y214" t="s">
        <v>135</v>
      </c>
      <c r="Z214" t="str">
        <f t="shared" si="3"/>
        <v>Terras Da Tempestade</v>
      </c>
      <c r="AE214" t="s">
        <v>95</v>
      </c>
      <c r="AF214" t="str">
        <f>TEXT(AE214,"000\.000\.000\-00")</f>
        <v>000.000.210-00</v>
      </c>
      <c r="AH214" s="15" t="s">
        <v>172</v>
      </c>
      <c r="AJ214" s="22">
        <v>12900</v>
      </c>
      <c r="AK214">
        <v>12900</v>
      </c>
      <c r="AM214" s="21">
        <v>26500</v>
      </c>
      <c r="AN214">
        <v>26500</v>
      </c>
      <c r="AO214">
        <v>26500</v>
      </c>
      <c r="BB214" s="26">
        <v>8100</v>
      </c>
      <c r="BC214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</row>
    <row r="215" spans="1:55">
      <c r="A215" s="24" t="s">
        <v>76</v>
      </c>
      <c r="B215" s="17" t="s">
        <v>754</v>
      </c>
      <c r="C215" s="25" t="s">
        <v>817</v>
      </c>
      <c r="D215" s="54">
        <v>27</v>
      </c>
      <c r="E215" s="30">
        <v>36152</v>
      </c>
      <c r="F215" s="24" t="str">
        <f>TabelaClean14[[#This Row],[CidadeCPF]]</f>
        <v>Jardim de Cima</v>
      </c>
      <c r="G215" s="17" t="str">
        <f>TabelaClean14[[#This Row],[RegiaoCPF]]</f>
        <v>Campina</v>
      </c>
      <c r="H215" s="17" t="str">
        <f>_xlfn.XLOOKUP(TabelaClean14[[#This Row],[cpf]],TabelaDirty[cpfclean],TabelaDirty[cidade])</f>
        <v>Jardim de Cima</v>
      </c>
      <c r="I215" s="17" t="str">
        <f>_xlfn.XLOOKUP(TabelaClean14[[#This Row],[cpf]],TabelaDirty[cpfclean],TabelaDirty[regiao])</f>
        <v>CAMPINA</v>
      </c>
      <c r="J215" s="17" t="str">
        <f>PROPER(TabelaClean14[[#This Row],[Coluna1]])</f>
        <v>Campina</v>
      </c>
      <c r="K215" s="17" t="e">
        <f>_xlfn.TEXTBEFORE(TabelaClean14[[#This Row],[CidadeCPF]]," | ")</f>
        <v>#N/A</v>
      </c>
      <c r="L215" s="24" t="e">
        <f>_xlfn.TEXTAFTER(TabelaClean14[[#This Row],[CidadeCPF]]," | ")</f>
        <v>#N/A</v>
      </c>
      <c r="M215" s="26">
        <v>30000</v>
      </c>
      <c r="N215" s="78">
        <v>27000</v>
      </c>
      <c r="O215" s="1" t="s">
        <v>51</v>
      </c>
      <c r="P21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5" s="84">
        <v>28</v>
      </c>
      <c r="R215" s="1" t="str" cm="1">
        <f t="array" ref="R215">_xlfn.IFS(TabelaClean14[[#This Row],[qtde_batalhas]]&lt;=10,"Baixo",TabelaClean14[[#This Row],[qtde_batalhas]]&gt;=26,"Alto",TabelaClean14[[#This Row],[qtde_batalhas]]&lt;26,"Médio")</f>
        <v>Alto</v>
      </c>
      <c r="S215" s="1" t="str">
        <f>IF(AND(TabelaClean14[[#This Row],[nivel_risco]]="Alto",TabelaClean14[[#This Row],[flag_inadimplente]]="Sim"),"Arriscado","Ok")</f>
        <v>Arriscado</v>
      </c>
      <c r="T215" s="26">
        <v>28500</v>
      </c>
      <c r="U215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  <c r="W215" s="1"/>
      <c r="Y215" t="s">
        <v>142</v>
      </c>
      <c r="Z215" t="str">
        <f t="shared" si="3"/>
        <v>Norte</v>
      </c>
      <c r="AE215" t="s">
        <v>480</v>
      </c>
      <c r="AF215" t="str">
        <f>TEXT(AE215,"000\.000\.000\-00")</f>
        <v>000.000.211-00</v>
      </c>
      <c r="AH215" s="15" t="s">
        <v>79</v>
      </c>
      <c r="AJ215" s="22">
        <v>29300</v>
      </c>
      <c r="AK215">
        <v>29300</v>
      </c>
      <c r="AM215" s="20">
        <v>32000</v>
      </c>
      <c r="AN215">
        <v>32000</v>
      </c>
      <c r="AO215">
        <v>32000</v>
      </c>
      <c r="BB215" s="26">
        <v>30000</v>
      </c>
      <c r="BC215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</row>
    <row r="216" spans="1:55">
      <c r="A216" s="24" t="s">
        <v>76</v>
      </c>
      <c r="B216" s="17" t="s">
        <v>434</v>
      </c>
      <c r="C216" s="25" t="s">
        <v>435</v>
      </c>
      <c r="D216" s="54">
        <v>72</v>
      </c>
      <c r="E216" s="30">
        <v>19839</v>
      </c>
      <c r="F216" s="24" t="str">
        <f>TabelaClean14[[#This Row],[CidadeCPF]]</f>
        <v>Ninho da Águia</v>
      </c>
      <c r="G216" s="17" t="str">
        <f>TabelaClean14[[#This Row],[RegiaoCPF]]</f>
        <v>Vale</v>
      </c>
      <c r="H216" s="17" t="str">
        <f>_xlfn.XLOOKUP(TabelaClean14[[#This Row],[cpf]],TabelaDirty[cpfclean],TabelaDirty[cidade])</f>
        <v>Ninho da Águia</v>
      </c>
      <c r="I216" s="17" t="str">
        <f>_xlfn.XLOOKUP(TabelaClean14[[#This Row],[cpf]],TabelaDirty[cpfclean],TabelaDirty[regiao])</f>
        <v>VALE</v>
      </c>
      <c r="J216" s="17" t="str">
        <f>PROPER(TabelaClean14[[#This Row],[Coluna1]])</f>
        <v>Vale</v>
      </c>
      <c r="K216" s="17" t="e">
        <f>_xlfn.TEXTBEFORE(TabelaClean14[[#This Row],[CidadeCPF]]," | ")</f>
        <v>#N/A</v>
      </c>
      <c r="L216" s="24" t="e">
        <f>_xlfn.TEXTAFTER(TabelaClean14[[#This Row],[CidadeCPF]]," | ")</f>
        <v>#N/A</v>
      </c>
      <c r="M216" s="26">
        <v>3900</v>
      </c>
      <c r="N216" s="78">
        <v>27000</v>
      </c>
      <c r="O216" s="1" t="s">
        <v>50</v>
      </c>
      <c r="P21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6" s="84">
        <v>33</v>
      </c>
      <c r="R216" s="1" t="str" cm="1">
        <f t="array" ref="R216">_xlfn.IFS(TabelaClean14[[#This Row],[qtde_batalhas]]&lt;=10,"Baixo",TabelaClean14[[#This Row],[qtde_batalhas]]&gt;=26,"Alto",TabelaClean14[[#This Row],[qtde_batalhas]]&lt;26,"Médio")</f>
        <v>Alto</v>
      </c>
      <c r="S216" s="1" t="str">
        <f>IF(AND(TabelaClean14[[#This Row],[nivel_risco]]="Alto",TabelaClean14[[#This Row],[flag_inadimplente]]="Sim"),"Arriscado","Ok")</f>
        <v>Ok</v>
      </c>
      <c r="T216" s="26">
        <v>2000</v>
      </c>
      <c r="U216" s="81">
        <f>IF(AND(TabelaClean14[[#This Row],[analise_risco]]="Arriscado",TabelaClean14[[#This Row],[analise_credito]]="Reprovado"),0,IF(TabelaClean14[[#This Row],[status]]="Ativo",TabelaClean14[[#This Row],[valor_solicitado]]*1.08,0))</f>
        <v>2160</v>
      </c>
      <c r="W216" s="1"/>
      <c r="Y216" t="s">
        <v>183</v>
      </c>
      <c r="Z216" t="str">
        <f t="shared" si="3"/>
        <v>Dorne</v>
      </c>
      <c r="AE216" t="s">
        <v>740</v>
      </c>
      <c r="AF216" t="str">
        <f>TEXT(AE216,"000\.000\.000\-00")</f>
        <v>000.000.213-00</v>
      </c>
      <c r="AH216" s="15" t="s">
        <v>148</v>
      </c>
      <c r="AJ216" s="22">
        <v>21000</v>
      </c>
      <c r="AK216">
        <v>21000</v>
      </c>
      <c r="AM216" s="21">
        <v>0</v>
      </c>
      <c r="AN216">
        <v>0</v>
      </c>
      <c r="AO216">
        <v>0</v>
      </c>
      <c r="BB216" s="26">
        <v>3900</v>
      </c>
      <c r="BC216" s="81">
        <f>IF(AND(TabelaClean14[[#This Row],[analise_risco]]="Arriscado",TabelaClean14[[#This Row],[analise_credito]]="Reprovado"),0,IF(TabelaClean14[[#This Row],[status]]="Ativo",TabelaClean14[[#This Row],[valor_solicitado]]*1.08,0))</f>
        <v>2160</v>
      </c>
    </row>
    <row r="217" spans="1:55">
      <c r="A217" s="24" t="s">
        <v>76</v>
      </c>
      <c r="B217" s="17" t="s">
        <v>457</v>
      </c>
      <c r="C217" s="25" t="s">
        <v>458</v>
      </c>
      <c r="D217" s="54">
        <v>48</v>
      </c>
      <c r="E217" s="30">
        <v>28673</v>
      </c>
      <c r="F217" s="24" t="str">
        <f>TabelaClean14[[#This Row],[CidadeCPF]]</f>
        <v>Atalaia da Água Cinzenta</v>
      </c>
      <c r="G217" s="17" t="str">
        <f>TabelaClean14[[#This Row],[RegiaoCPF]]</f>
        <v>Gargalo</v>
      </c>
      <c r="H217" s="17" t="str">
        <f>_xlfn.XLOOKUP(TabelaClean14[[#This Row],[cpf]],TabelaDirty[cpfclean],TabelaDirty[cidade])</f>
        <v>Atalaia da Água Cinzenta</v>
      </c>
      <c r="I217" s="17" t="str">
        <f>_xlfn.XLOOKUP(TabelaClean14[[#This Row],[cpf]],TabelaDirty[cpfclean],TabelaDirty[regiao])</f>
        <v>Gargalo</v>
      </c>
      <c r="J217" s="17" t="str">
        <f>PROPER(TabelaClean14[[#This Row],[Coluna1]])</f>
        <v>Gargalo</v>
      </c>
      <c r="K217" s="17" t="e">
        <f>_xlfn.TEXTBEFORE(TabelaClean14[[#This Row],[CidadeCPF]]," | ")</f>
        <v>#N/A</v>
      </c>
      <c r="L217" s="24" t="e">
        <f>_xlfn.TEXTAFTER(TabelaClean14[[#This Row],[CidadeCPF]]," | ")</f>
        <v>#N/A</v>
      </c>
      <c r="M217" s="26">
        <v>2300</v>
      </c>
      <c r="N217" s="78">
        <v>26500</v>
      </c>
      <c r="O217" s="1" t="s">
        <v>50</v>
      </c>
      <c r="P21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7" s="84">
        <v>44</v>
      </c>
      <c r="R217" s="1" t="str" cm="1">
        <f t="array" ref="R217">_xlfn.IFS(TabelaClean14[[#This Row],[qtde_batalhas]]&lt;=10,"Baixo",TabelaClean14[[#This Row],[qtde_batalhas]]&gt;=26,"Alto",TabelaClean14[[#This Row],[qtde_batalhas]]&lt;26,"Médio")</f>
        <v>Alto</v>
      </c>
      <c r="S217" s="1" t="str">
        <f>IF(AND(TabelaClean14[[#This Row],[nivel_risco]]="Alto",TabelaClean14[[#This Row],[flag_inadimplente]]="Sim"),"Arriscado","Ok")</f>
        <v>Ok</v>
      </c>
      <c r="T217" s="26">
        <v>81000</v>
      </c>
      <c r="U217" s="81">
        <f>IF(AND(TabelaClean14[[#This Row],[analise_risco]]="Arriscado",TabelaClean14[[#This Row],[analise_credito]]="Reprovado"),0,IF(TabelaClean14[[#This Row],[status]]="Ativo",TabelaClean14[[#This Row],[valor_solicitado]]*1.08,0))</f>
        <v>87480</v>
      </c>
      <c r="W217" s="1"/>
      <c r="Y217" t="s">
        <v>809</v>
      </c>
      <c r="Z217" t="str">
        <f t="shared" si="3"/>
        <v>Null</v>
      </c>
      <c r="AE217" t="s">
        <v>222</v>
      </c>
      <c r="AF217" t="str">
        <f>TEXT(AE217,"000\.000\.000\-00")</f>
        <v>000.000.215-00</v>
      </c>
      <c r="AH217" s="15" t="s">
        <v>138</v>
      </c>
      <c r="AJ217" s="22">
        <v>28000</v>
      </c>
      <c r="AK217">
        <v>28000</v>
      </c>
      <c r="AM217" s="20">
        <v>36500</v>
      </c>
      <c r="AN217">
        <v>36500</v>
      </c>
      <c r="AO217">
        <v>36500</v>
      </c>
      <c r="BB217" s="26">
        <v>2300</v>
      </c>
      <c r="BC217" s="81">
        <f>IF(AND(TabelaClean14[[#This Row],[analise_risco]]="Arriscado",TabelaClean14[[#This Row],[analise_credito]]="Reprovado"),0,IF(TabelaClean14[[#This Row],[status]]="Ativo",TabelaClean14[[#This Row],[valor_solicitado]]*1.08,0))</f>
        <v>87480</v>
      </c>
    </row>
    <row r="218" spans="1:55">
      <c r="A218" s="24" t="s">
        <v>81</v>
      </c>
      <c r="B218" s="17" t="s">
        <v>659</v>
      </c>
      <c r="C218" s="25" t="s">
        <v>660</v>
      </c>
      <c r="D218" s="54">
        <v>20</v>
      </c>
      <c r="E218" s="30">
        <v>38704</v>
      </c>
      <c r="F218" s="24" t="str">
        <f>TabelaClean14[[#This Row],[CidadeCPF]]</f>
        <v>Solar do Entardecer</v>
      </c>
      <c r="G218" s="17" t="str">
        <f>TabelaClean14[[#This Row],[RegiaoCPF]]</f>
        <v>Terras Da Tempestade</v>
      </c>
      <c r="H218" s="17" t="str">
        <f>_xlfn.XLOOKUP(TabelaClean14[[#This Row],[cpf]],TabelaDirty[cpfclean],TabelaDirty[cidade])</f>
        <v>Solar do Entardecer</v>
      </c>
      <c r="I218" s="17" t="str">
        <f>_xlfn.XLOOKUP(TabelaClean14[[#This Row],[cpf]],TabelaDirty[cpfclean],TabelaDirty[regiao])</f>
        <v>TERRAS DA TEMPESTADE</v>
      </c>
      <c r="J218" s="17" t="str">
        <f>PROPER(TabelaClean14[[#This Row],[Coluna1]])</f>
        <v>Terras Da Tempestade</v>
      </c>
      <c r="K218" s="17" t="e">
        <f>_xlfn.TEXTBEFORE(TabelaClean14[[#This Row],[CidadeCPF]]," | ")</f>
        <v>#N/A</v>
      </c>
      <c r="L218" s="24" t="e">
        <f>_xlfn.TEXTAFTER(TabelaClean14[[#This Row],[CidadeCPF]]," | ")</f>
        <v>#N/A</v>
      </c>
      <c r="M218" s="26">
        <v>12900</v>
      </c>
      <c r="N218" s="78">
        <v>26500</v>
      </c>
      <c r="O218" s="1" t="s">
        <v>50</v>
      </c>
      <c r="P21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8" s="84">
        <v>13</v>
      </c>
      <c r="R218" s="1" t="str" cm="1">
        <f t="array" ref="R218">_xlfn.IFS(TabelaClean14[[#This Row],[qtde_batalhas]]&lt;=10,"Baixo",TabelaClean14[[#This Row],[qtde_batalhas]]&gt;=26,"Alto",TabelaClean14[[#This Row],[qtde_batalhas]]&lt;26,"Médio")</f>
        <v>Médio</v>
      </c>
      <c r="S218" s="1" t="str">
        <f>IF(AND(TabelaClean14[[#This Row],[nivel_risco]]="Alto",TabelaClean14[[#This Row],[flag_inadimplente]]="Sim"),"Arriscado","Ok")</f>
        <v>Ok</v>
      </c>
      <c r="T218" s="26">
        <v>2000</v>
      </c>
      <c r="U21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18" s="1"/>
      <c r="Y218" t="s">
        <v>809</v>
      </c>
      <c r="Z218" t="str">
        <f t="shared" si="3"/>
        <v>Null</v>
      </c>
      <c r="AE218" t="s">
        <v>342</v>
      </c>
      <c r="AF218" t="str">
        <f>TEXT(AE218,"000\.000\.000\-00")</f>
        <v>000.000.216-00</v>
      </c>
      <c r="AH218" s="15" t="s">
        <v>343</v>
      </c>
      <c r="AI218" t="e" cm="1" vm="1">
        <f t="array" aca="1" ref="AI218" ca="1">_xlfn.TEXTSPLIT(AH218," | ")</f>
        <v>#VALUE!</v>
      </c>
      <c r="AJ218" s="22">
        <v>20700</v>
      </c>
      <c r="AK218">
        <v>20700</v>
      </c>
      <c r="AL218" t="s">
        <v>149</v>
      </c>
      <c r="AM218" s="21">
        <v>64500</v>
      </c>
      <c r="AN218">
        <v>64500</v>
      </c>
      <c r="AO218">
        <v>64500</v>
      </c>
      <c r="BB218" s="26">
        <v>12900</v>
      </c>
      <c r="BC21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19" spans="1:55">
      <c r="A219" s="24" t="s">
        <v>76</v>
      </c>
      <c r="B219" s="17" t="s">
        <v>933</v>
      </c>
      <c r="C219" s="25" t="s">
        <v>919</v>
      </c>
      <c r="D219" s="54">
        <v>44</v>
      </c>
      <c r="E219" s="30">
        <v>30167</v>
      </c>
      <c r="F219" s="24" t="str">
        <f>TabelaClean14[[#This Row],[CidadeCPF]]</f>
        <v>Vilavelha</v>
      </c>
      <c r="G219" s="17" t="str">
        <f>TabelaClean14[[#This Row],[RegiaoCPF]]</f>
        <v>Campina</v>
      </c>
      <c r="H219" s="17" t="str">
        <f>_xlfn.XLOOKUP(TabelaClean14[[#This Row],[cpf]],TabelaDirty[cpfclean],TabelaDirty[cidade])</f>
        <v>Vilavelha</v>
      </c>
      <c r="I219" s="17" t="s">
        <v>149</v>
      </c>
      <c r="J219" s="17" t="str">
        <f>PROPER(TabelaClean14[[#This Row],[Coluna1]])</f>
        <v>Campina</v>
      </c>
      <c r="K219" s="17" t="e">
        <f>_xlfn.TEXTBEFORE(TabelaClean14[[#This Row],[CidadeCPF]]," | ")</f>
        <v>#N/A</v>
      </c>
      <c r="L219" s="24" t="e">
        <f>_xlfn.TEXTAFTER(TabelaClean14[[#This Row],[CidadeCPF]]," | ")</f>
        <v>#N/A</v>
      </c>
      <c r="M219" s="26">
        <v>5500</v>
      </c>
      <c r="N219" s="78">
        <v>26000</v>
      </c>
      <c r="O219" s="1" t="s">
        <v>50</v>
      </c>
      <c r="P21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19" s="84">
        <v>30</v>
      </c>
      <c r="R219" s="1" t="str" cm="1">
        <f t="array" ref="R219">_xlfn.IFS(TabelaClean14[[#This Row],[qtde_batalhas]]&lt;=10,"Baixo",TabelaClean14[[#This Row],[qtde_batalhas]]&gt;=26,"Alto",TabelaClean14[[#This Row],[qtde_batalhas]]&lt;26,"Médio")</f>
        <v>Alto</v>
      </c>
      <c r="S219" s="1" t="str">
        <f>IF(AND(TabelaClean14[[#This Row],[nivel_risco]]="Alto",TabelaClean14[[#This Row],[flag_inadimplente]]="Sim"),"Arriscado","Ok")</f>
        <v>Ok</v>
      </c>
      <c r="T219" s="26">
        <v>64000</v>
      </c>
      <c r="U219" s="81">
        <f>IF(AND(TabelaClean14[[#This Row],[analise_risco]]="Arriscado",TabelaClean14[[#This Row],[analise_credito]]="Reprovado"),0,IF(TabelaClean14[[#This Row],[status]]="Ativo",TabelaClean14[[#This Row],[valor_solicitado]]*1.08,0))</f>
        <v>69120</v>
      </c>
      <c r="W219" s="1"/>
      <c r="Y219" t="s">
        <v>809</v>
      </c>
      <c r="Z219" t="str">
        <f t="shared" si="3"/>
        <v>Null</v>
      </c>
      <c r="AE219" t="s">
        <v>346</v>
      </c>
      <c r="AF219" t="str">
        <f>TEXT(AE219,"000\.000\.000\-00")</f>
        <v>000.000.217-00</v>
      </c>
      <c r="AH219" s="15" t="s">
        <v>112</v>
      </c>
      <c r="AJ219" s="22">
        <v>3400</v>
      </c>
      <c r="AK219">
        <v>3400</v>
      </c>
      <c r="AM219" s="20">
        <v>78000</v>
      </c>
      <c r="AN219">
        <v>78000</v>
      </c>
      <c r="AO219">
        <v>78000</v>
      </c>
      <c r="BB219" s="26">
        <v>5500</v>
      </c>
      <c r="BC219" s="81">
        <f>IF(AND(TabelaClean14[[#This Row],[analise_risco]]="Arriscado",TabelaClean14[[#This Row],[analise_credito]]="Reprovado"),0,IF(TabelaClean14[[#This Row],[status]]="Ativo",TabelaClean14[[#This Row],[valor_solicitado]]*1.08,0))</f>
        <v>69120</v>
      </c>
    </row>
    <row r="220" spans="1:55">
      <c r="A220" s="24" t="s">
        <v>76</v>
      </c>
      <c r="B220" s="17" t="s">
        <v>349</v>
      </c>
      <c r="C220" s="25" t="s">
        <v>350</v>
      </c>
      <c r="D220" s="54">
        <v>29</v>
      </c>
      <c r="E220" s="30">
        <v>35600</v>
      </c>
      <c r="F220" s="24" t="str">
        <f>TabelaClean14[[#This Row],[CidadeCPF]]</f>
        <v>Porto Real</v>
      </c>
      <c r="G220" s="17" t="str">
        <f>TabelaClean14[[#This Row],[RegiaoCPF]]</f>
        <v>Terras Da Coroa</v>
      </c>
      <c r="H220" s="17" t="str">
        <f>_xlfn.XLOOKUP(TabelaClean14[[#This Row],[cpf]],TabelaDirty[cpfclean],TabelaDirty[cidade])</f>
        <v>Porto Real</v>
      </c>
      <c r="I220" s="17" t="str">
        <f>_xlfn.XLOOKUP(TabelaClean14[[#This Row],[cpf]],TabelaDirty[cpfclean],TabelaDirty[regiao])</f>
        <v>terras da coroa</v>
      </c>
      <c r="J220" s="17" t="str">
        <f>PROPER(TabelaClean14[[#This Row],[Coluna1]])</f>
        <v>Terras Da Coroa</v>
      </c>
      <c r="K220" s="17" t="e">
        <f>_xlfn.TEXTBEFORE(TabelaClean14[[#This Row],[CidadeCPF]]," | ")</f>
        <v>#N/A</v>
      </c>
      <c r="L220" s="24" t="e">
        <f>_xlfn.TEXTAFTER(TabelaClean14[[#This Row],[CidadeCPF]]," | ")</f>
        <v>#N/A</v>
      </c>
      <c r="M220" s="26">
        <v>10000</v>
      </c>
      <c r="N220" s="78">
        <v>25500</v>
      </c>
      <c r="O220" s="1" t="s">
        <v>50</v>
      </c>
      <c r="P22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0" s="84">
        <v>15</v>
      </c>
      <c r="R220" s="1" t="str" cm="1">
        <f t="array" ref="R220">_xlfn.IFS(TabelaClean14[[#This Row],[qtde_batalhas]]&lt;=10,"Baixo",TabelaClean14[[#This Row],[qtde_batalhas]]&gt;=26,"Alto",TabelaClean14[[#This Row],[qtde_batalhas]]&lt;26,"Médio")</f>
        <v>Médio</v>
      </c>
      <c r="S220" s="1" t="str">
        <f>IF(AND(TabelaClean14[[#This Row],[nivel_risco]]="Alto",TabelaClean14[[#This Row],[flag_inadimplente]]="Sim"),"Arriscado","Ok")</f>
        <v>Ok</v>
      </c>
      <c r="T220" s="26">
        <v>66000</v>
      </c>
      <c r="U220" s="81">
        <f>IF(AND(TabelaClean14[[#This Row],[analise_risco]]="Arriscado",TabelaClean14[[#This Row],[analise_credito]]="Reprovado"),0,IF(TabelaClean14[[#This Row],[status]]="Ativo",TabelaClean14[[#This Row],[valor_solicitado]]*1.08,0))</f>
        <v>71280</v>
      </c>
      <c r="W220" s="1"/>
      <c r="Y220" t="s">
        <v>149</v>
      </c>
      <c r="Z220" t="str">
        <f t="shared" si="3"/>
        <v>Campina</v>
      </c>
      <c r="AE220" t="s">
        <v>315</v>
      </c>
      <c r="AF220" t="str">
        <f>TEXT(AE220,"000\.000\.000\-00")</f>
        <v>000.000.218-00</v>
      </c>
      <c r="AH220" s="15" t="s">
        <v>210</v>
      </c>
      <c r="AJ220" s="22">
        <v>28900</v>
      </c>
      <c r="AK220">
        <v>28900</v>
      </c>
      <c r="AM220" s="21">
        <v>22000</v>
      </c>
      <c r="AN220">
        <v>22000</v>
      </c>
      <c r="AO220">
        <v>22000</v>
      </c>
      <c r="BB220" s="26">
        <v>10000</v>
      </c>
      <c r="BC220" s="81">
        <f>IF(AND(TabelaClean14[[#This Row],[analise_risco]]="Arriscado",TabelaClean14[[#This Row],[analise_credito]]="Reprovado"),0,IF(TabelaClean14[[#This Row],[status]]="Ativo",TabelaClean14[[#This Row],[valor_solicitado]]*1.08,0))</f>
        <v>71280</v>
      </c>
    </row>
    <row r="221" spans="1:55">
      <c r="A221" s="24" t="s">
        <v>81</v>
      </c>
      <c r="B221" s="17" t="s">
        <v>934</v>
      </c>
      <c r="C221" s="25" t="s">
        <v>935</v>
      </c>
      <c r="D221" s="54">
        <v>50</v>
      </c>
      <c r="E221" s="30">
        <v>27833</v>
      </c>
      <c r="F221" s="17" t="str">
        <f>TabelaClean14[[#This Row],[CidadeClean]]</f>
        <v>Correrrio</v>
      </c>
      <c r="G221" s="17" t="str">
        <f>TabelaClean14[[#This Row],[RegiaoClean]]</f>
        <v>Terras Fluviais</v>
      </c>
      <c r="H221" s="17" t="str">
        <f>_xlfn.XLOOKUP(TabelaClean14[[#This Row],[cpf]],TabelaDirty[cpfclean],TabelaDirty[cidade])</f>
        <v>Correrrio | Terras Fluviais</v>
      </c>
      <c r="I221" s="17">
        <f>_xlfn.XLOOKUP(TabelaClean14[[#This Row],[cpf]],TabelaDirty[cpfclean],TabelaDirty[regiao])</f>
        <v>0</v>
      </c>
      <c r="J221" s="17" t="s">
        <v>139</v>
      </c>
      <c r="K221" s="17" t="str">
        <f>_xlfn.TEXTBEFORE(TabelaClean14[[#This Row],[CidadeCPF]]," | ")</f>
        <v>Correrrio</v>
      </c>
      <c r="L221" s="24" t="str">
        <f>_xlfn.TEXTAFTER(TabelaClean14[[#This Row],[CidadeCPF]]," | ")</f>
        <v>Terras Fluviais</v>
      </c>
      <c r="M221" s="26">
        <v>16200</v>
      </c>
      <c r="N221" s="78">
        <v>25000</v>
      </c>
      <c r="O221" s="1" t="s">
        <v>50</v>
      </c>
      <c r="P22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1" s="84">
        <v>26</v>
      </c>
      <c r="R221" s="1" t="str" cm="1">
        <f t="array" ref="R221">_xlfn.IFS(TabelaClean14[[#This Row],[qtde_batalhas]]&lt;=10,"Baixo",TabelaClean14[[#This Row],[qtde_batalhas]]&gt;=26,"Alto",TabelaClean14[[#This Row],[qtde_batalhas]]&lt;26,"Médio")</f>
        <v>Alto</v>
      </c>
      <c r="S221" s="1" t="str">
        <f>IF(AND(TabelaClean14[[#This Row],[nivel_risco]]="Alto",TabelaClean14[[#This Row],[flag_inadimplente]]="Sim"),"Arriscado","Ok")</f>
        <v>Ok</v>
      </c>
      <c r="T221" s="26">
        <v>65000</v>
      </c>
      <c r="U2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21" s="1"/>
      <c r="Y221" t="s">
        <v>809</v>
      </c>
      <c r="Z221" t="str">
        <f t="shared" si="3"/>
        <v>Null</v>
      </c>
      <c r="AE221" t="s">
        <v>593</v>
      </c>
      <c r="AF221" t="str">
        <f>TEXT(AE221,"000\.000\.000\-00")</f>
        <v>000.000.220-00</v>
      </c>
      <c r="AH221" s="15" t="s">
        <v>183</v>
      </c>
      <c r="AJ221" s="22">
        <v>9600</v>
      </c>
      <c r="AK221">
        <v>9600</v>
      </c>
      <c r="AM221" s="20">
        <v>66000</v>
      </c>
      <c r="AN221">
        <v>66000</v>
      </c>
      <c r="AO221">
        <v>66000</v>
      </c>
      <c r="BB221" s="26">
        <v>16200</v>
      </c>
      <c r="BC2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22" spans="1:55">
      <c r="A222" s="24" t="s">
        <v>81</v>
      </c>
      <c r="B222" s="17" t="s">
        <v>629</v>
      </c>
      <c r="C222" s="25" t="s">
        <v>921</v>
      </c>
      <c r="D222" s="54">
        <v>45</v>
      </c>
      <c r="E222" s="30">
        <v>29506</v>
      </c>
      <c r="F222" s="24" t="str">
        <f>TabelaClean14[[#This Row],[CidadeCPF]]</f>
        <v>Solar do Entardecer</v>
      </c>
      <c r="G222" s="17" t="str">
        <f>TabelaClean14[[#This Row],[RegiaoCPF]]</f>
        <v>Terras Da Tempestade</v>
      </c>
      <c r="H222" s="17" t="str">
        <f>_xlfn.XLOOKUP(TabelaClean14[[#This Row],[cpf]],TabelaDirty[cpfclean],TabelaDirty[cidade])</f>
        <v>Solar do Entardecer</v>
      </c>
      <c r="I222" s="17" t="str">
        <f>_xlfn.XLOOKUP(TabelaClean14[[#This Row],[cpf]],TabelaDirty[cpfclean],TabelaDirty[regiao])</f>
        <v>Terras da Tempestade</v>
      </c>
      <c r="J222" s="17" t="str">
        <f>PROPER(TabelaClean14[[#This Row],[Coluna1]])</f>
        <v>Terras Da Tempestade</v>
      </c>
      <c r="K222" s="17" t="e">
        <f>_xlfn.TEXTBEFORE(TabelaClean14[[#This Row],[CidadeCPF]]," | ")</f>
        <v>#N/A</v>
      </c>
      <c r="L222" s="24" t="e">
        <f>_xlfn.TEXTAFTER(TabelaClean14[[#This Row],[CidadeCPF]]," | ")</f>
        <v>#N/A</v>
      </c>
      <c r="M222" s="26">
        <v>5100</v>
      </c>
      <c r="N222" s="78">
        <v>25000</v>
      </c>
      <c r="O222" s="1" t="s">
        <v>50</v>
      </c>
      <c r="P22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2" s="84">
        <v>29</v>
      </c>
      <c r="R222" s="1" t="str" cm="1">
        <f t="array" ref="R222">_xlfn.IFS(TabelaClean14[[#This Row],[qtde_batalhas]]&lt;=10,"Baixo",TabelaClean14[[#This Row],[qtde_batalhas]]&gt;=26,"Alto",TabelaClean14[[#This Row],[qtde_batalhas]]&lt;26,"Médio")</f>
        <v>Alto</v>
      </c>
      <c r="S222" s="1" t="str">
        <f>IF(AND(TabelaClean14[[#This Row],[nivel_risco]]="Alto",TabelaClean14[[#This Row],[flag_inadimplente]]="Sim"),"Arriscado","Ok")</f>
        <v>Ok</v>
      </c>
      <c r="T222" s="26">
        <v>88000</v>
      </c>
      <c r="U22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22" s="1"/>
      <c r="Y222" t="s">
        <v>809</v>
      </c>
      <c r="Z222" t="str">
        <f t="shared" si="3"/>
        <v>Null</v>
      </c>
      <c r="AE222" t="s">
        <v>433</v>
      </c>
      <c r="AF222" t="str">
        <f>TEXT(AE222,"000\.000\.000\-00")</f>
        <v>000.000.221-00</v>
      </c>
      <c r="AH222" s="15" t="s">
        <v>83</v>
      </c>
      <c r="AJ222" s="22">
        <v>25900</v>
      </c>
      <c r="AK222">
        <v>25900</v>
      </c>
      <c r="AM222" s="21">
        <v>0</v>
      </c>
      <c r="AN222">
        <v>0</v>
      </c>
      <c r="AO222">
        <v>0</v>
      </c>
      <c r="BB222" s="26">
        <v>5100</v>
      </c>
      <c r="BC22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23" spans="1:55">
      <c r="A223" s="24" t="s">
        <v>76</v>
      </c>
      <c r="B223" s="17" t="s">
        <v>265</v>
      </c>
      <c r="C223" s="25" t="s">
        <v>266</v>
      </c>
      <c r="D223" s="54">
        <v>24</v>
      </c>
      <c r="E223" s="30">
        <v>37172</v>
      </c>
      <c r="F223" s="24" t="str">
        <f>TabelaClean14[[#This Row],[CidadeCPF]]</f>
        <v>Ninho da Águia</v>
      </c>
      <c r="G223" s="17" t="str">
        <f>TabelaClean14[[#This Row],[RegiaoCPF]]</f>
        <v>Vale</v>
      </c>
      <c r="H223" s="17" t="str">
        <f>_xlfn.XLOOKUP(TabelaClean14[[#This Row],[cpf]],TabelaDirty[cpfclean],TabelaDirty[cidade])</f>
        <v>Ninho da Águia</v>
      </c>
      <c r="I223" s="17" t="str">
        <f>_xlfn.XLOOKUP(TabelaClean14[[#This Row],[cpf]],TabelaDirty[cpfclean],TabelaDirty[regiao])</f>
        <v>Vale</v>
      </c>
      <c r="J223" s="17" t="str">
        <f>PROPER(TabelaClean14[[#This Row],[Coluna1]])</f>
        <v>Vale</v>
      </c>
      <c r="K223" s="17" t="e">
        <f>_xlfn.TEXTBEFORE(TabelaClean14[[#This Row],[CidadeCPF]]," | ")</f>
        <v>#N/A</v>
      </c>
      <c r="L223" s="24" t="e">
        <f>_xlfn.TEXTAFTER(TabelaClean14[[#This Row],[CidadeCPF]]," | ")</f>
        <v>#N/A</v>
      </c>
      <c r="M223" s="26">
        <v>21600</v>
      </c>
      <c r="N223" s="78">
        <v>25000</v>
      </c>
      <c r="O223" s="1" t="s">
        <v>50</v>
      </c>
      <c r="P22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3" s="84">
        <v>33</v>
      </c>
      <c r="R223" s="1" t="str" cm="1">
        <f t="array" ref="R223">_xlfn.IFS(TabelaClean14[[#This Row],[qtde_batalhas]]&lt;=10,"Baixo",TabelaClean14[[#This Row],[qtde_batalhas]]&gt;=26,"Alto",TabelaClean14[[#This Row],[qtde_batalhas]]&lt;26,"Médio")</f>
        <v>Alto</v>
      </c>
      <c r="S223" s="1" t="str">
        <f>IF(AND(TabelaClean14[[#This Row],[nivel_risco]]="Alto",TabelaClean14[[#This Row],[flag_inadimplente]]="Sim"),"Arriscado","Ok")</f>
        <v>Ok</v>
      </c>
      <c r="T223" s="26">
        <v>17500</v>
      </c>
      <c r="U223" s="81">
        <f>IF(AND(TabelaClean14[[#This Row],[analise_risco]]="Arriscado",TabelaClean14[[#This Row],[analise_credito]]="Reprovado"),0,IF(TabelaClean14[[#This Row],[status]]="Ativo",TabelaClean14[[#This Row],[valor_solicitado]]*1.08,0))</f>
        <v>18900</v>
      </c>
      <c r="W223" s="1"/>
      <c r="Y223" t="s">
        <v>809</v>
      </c>
      <c r="Z223" t="str">
        <f t="shared" si="3"/>
        <v>Null</v>
      </c>
      <c r="AE223" t="s">
        <v>209</v>
      </c>
      <c r="AF223" t="str">
        <f>TEXT(AE223,"000\.000\.000\-00")</f>
        <v>000.000.222-00</v>
      </c>
      <c r="AH223" s="15" t="s">
        <v>127</v>
      </c>
      <c r="AJ223" s="22">
        <v>28500</v>
      </c>
      <c r="AK223">
        <v>28500</v>
      </c>
      <c r="AM223" s="20">
        <v>48500</v>
      </c>
      <c r="AN223">
        <v>48500</v>
      </c>
      <c r="AO223">
        <v>48500</v>
      </c>
      <c r="BB223" s="26">
        <v>21600</v>
      </c>
      <c r="BC223" s="81">
        <f>IF(AND(TabelaClean14[[#This Row],[analise_risco]]="Arriscado",TabelaClean14[[#This Row],[analise_credito]]="Reprovado"),0,IF(TabelaClean14[[#This Row],[status]]="Ativo",TabelaClean14[[#This Row],[valor_solicitado]]*1.08,0))</f>
        <v>18900</v>
      </c>
    </row>
    <row r="224" spans="1:55">
      <c r="A224" s="24" t="s">
        <v>76</v>
      </c>
      <c r="B224" s="17" t="s">
        <v>541</v>
      </c>
      <c r="C224" s="25" t="s">
        <v>922</v>
      </c>
      <c r="D224" s="54">
        <v>38</v>
      </c>
      <c r="E224" s="30">
        <v>32066</v>
      </c>
      <c r="F224" s="24" t="str">
        <f>TabelaClean14[[#This Row],[CidadeCPF]]</f>
        <v>Meereen</v>
      </c>
      <c r="G224" s="17" t="str">
        <f>TabelaClean14[[#This Row],[RegiaoCPF]]</f>
        <v>Essos</v>
      </c>
      <c r="H224" s="17" t="str">
        <f>_xlfn.XLOOKUP(TabelaClean14[[#This Row],[cpf]],TabelaDirty[cpfclean],TabelaDirty[cidade])</f>
        <v>Meereen</v>
      </c>
      <c r="I224" s="17" t="str">
        <f>_xlfn.XLOOKUP(TabelaClean14[[#This Row],[cpf]],TabelaDirty[cpfclean],TabelaDirty[regiao])</f>
        <v>Essos</v>
      </c>
      <c r="J224" s="17" t="str">
        <f>PROPER(TabelaClean14[[#This Row],[Coluna1]])</f>
        <v>Essos</v>
      </c>
      <c r="K224" s="17" t="e">
        <f>_xlfn.TEXTBEFORE(TabelaClean14[[#This Row],[CidadeCPF]]," | ")</f>
        <v>#N/A</v>
      </c>
      <c r="L224" s="24" t="e">
        <f>_xlfn.TEXTAFTER(TabelaClean14[[#This Row],[CidadeCPF]]," | ")</f>
        <v>#N/A</v>
      </c>
      <c r="M224" s="26">
        <v>9700</v>
      </c>
      <c r="N224" s="78">
        <v>25000</v>
      </c>
      <c r="O224" s="1" t="s">
        <v>50</v>
      </c>
      <c r="P22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4" s="84">
        <v>0</v>
      </c>
      <c r="R224" s="1" t="str" cm="1">
        <f t="array" ref="R224">_xlfn.IFS(TabelaClean14[[#This Row],[qtde_batalhas]]&lt;=10,"Baixo",TabelaClean14[[#This Row],[qtde_batalhas]]&gt;=26,"Alto",TabelaClean14[[#This Row],[qtde_batalhas]]&lt;26,"Médio")</f>
        <v>Baixo</v>
      </c>
      <c r="S224" s="1" t="str">
        <f>IF(AND(TabelaClean14[[#This Row],[nivel_risco]]="Alto",TabelaClean14[[#This Row],[flag_inadimplente]]="Sim"),"Arriscado","Ok")</f>
        <v>Ok</v>
      </c>
      <c r="T224" s="26">
        <v>55500</v>
      </c>
      <c r="U224" s="81">
        <f>IF(AND(TabelaClean14[[#This Row],[analise_risco]]="Arriscado",TabelaClean14[[#This Row],[analise_credito]]="Reprovado"),0,IF(TabelaClean14[[#This Row],[status]]="Ativo",TabelaClean14[[#This Row],[valor_solicitado]]*1.08,0))</f>
        <v>59940.000000000007</v>
      </c>
      <c r="W224" s="1"/>
      <c r="Y224" t="s">
        <v>809</v>
      </c>
      <c r="Z224" t="str">
        <f t="shared" si="3"/>
        <v>Null</v>
      </c>
      <c r="AE224" t="s">
        <v>531</v>
      </c>
      <c r="AF224" t="str">
        <f>TEXT(AE224,"000\.000\.000\-00")</f>
        <v>000.000.224-00</v>
      </c>
      <c r="AH224" s="15" t="s">
        <v>121</v>
      </c>
      <c r="AJ224" s="22">
        <v>2600</v>
      </c>
      <c r="AK224">
        <v>2600</v>
      </c>
      <c r="AM224" s="21">
        <v>62000</v>
      </c>
      <c r="AN224">
        <v>62000</v>
      </c>
      <c r="AO224">
        <v>62000</v>
      </c>
      <c r="BB224" s="26">
        <v>9700</v>
      </c>
      <c r="BC224" s="81">
        <f>IF(AND(TabelaClean14[[#This Row],[analise_risco]]="Arriscado",TabelaClean14[[#This Row],[analise_credito]]="Reprovado"),0,IF(TabelaClean14[[#This Row],[status]]="Ativo",TabelaClean14[[#This Row],[valor_solicitado]]*1.08,0))</f>
        <v>59940.000000000007</v>
      </c>
    </row>
    <row r="225" spans="1:55">
      <c r="A225" s="24" t="s">
        <v>81</v>
      </c>
      <c r="B225" s="17" t="s">
        <v>251</v>
      </c>
      <c r="C225" s="25" t="s">
        <v>252</v>
      </c>
      <c r="D225" s="54">
        <v>38</v>
      </c>
      <c r="E225" s="30">
        <v>32102</v>
      </c>
      <c r="F225" s="24" t="str">
        <f>TabelaClean14[[#This Row],[CidadeCPF]]</f>
        <v>Pyke</v>
      </c>
      <c r="G225" s="17" t="str">
        <f>TabelaClean14[[#This Row],[RegiaoCPF]]</f>
        <v>Ilhas De Ferro</v>
      </c>
      <c r="H225" s="17" t="str">
        <f>_xlfn.XLOOKUP(TabelaClean14[[#This Row],[cpf]],TabelaDirty[cpfclean],TabelaDirty[cidade])</f>
        <v>Pyke</v>
      </c>
      <c r="I225" s="17" t="str">
        <f>_xlfn.XLOOKUP(TabelaClean14[[#This Row],[cpf]],TabelaDirty[cpfclean],TabelaDirty[regiao])</f>
        <v>ilhas de ferro</v>
      </c>
      <c r="J225" s="17" t="str">
        <f>PROPER(TabelaClean14[[#This Row],[Coluna1]])</f>
        <v>Ilhas De Ferro</v>
      </c>
      <c r="K225" s="17" t="e">
        <f>_xlfn.TEXTBEFORE(TabelaClean14[[#This Row],[CidadeCPF]]," | ")</f>
        <v>#N/A</v>
      </c>
      <c r="L225" s="24" t="e">
        <f>_xlfn.TEXTAFTER(TabelaClean14[[#This Row],[CidadeCPF]]," | ")</f>
        <v>#N/A</v>
      </c>
      <c r="M225" s="26">
        <v>13500</v>
      </c>
      <c r="N225" s="78">
        <v>24000</v>
      </c>
      <c r="O225" s="1" t="s">
        <v>50</v>
      </c>
      <c r="P22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5" s="84">
        <v>2</v>
      </c>
      <c r="R225" s="1" t="str" cm="1">
        <f t="array" ref="R225">_xlfn.IFS(TabelaClean14[[#This Row],[qtde_batalhas]]&lt;=10,"Baixo",TabelaClean14[[#This Row],[qtde_batalhas]]&gt;=26,"Alto",TabelaClean14[[#This Row],[qtde_batalhas]]&lt;26,"Médio")</f>
        <v>Baixo</v>
      </c>
      <c r="S225" s="1" t="str">
        <f>IF(AND(TabelaClean14[[#This Row],[nivel_risco]]="Alto",TabelaClean14[[#This Row],[flag_inadimplente]]="Sim"),"Arriscado","Ok")</f>
        <v>Ok</v>
      </c>
      <c r="T225" s="26">
        <v>17500</v>
      </c>
      <c r="U22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25" s="1"/>
      <c r="Y225" t="s">
        <v>809</v>
      </c>
      <c r="Z225" t="str">
        <f t="shared" si="3"/>
        <v>Null</v>
      </c>
      <c r="AE225" t="s">
        <v>423</v>
      </c>
      <c r="AF225" t="str">
        <f>TEXT(AE225,"000\.000\.000\-00")</f>
        <v>000.000.225-00</v>
      </c>
      <c r="AH225" s="15" t="s">
        <v>302</v>
      </c>
      <c r="AJ225" s="22">
        <v>6400</v>
      </c>
      <c r="AK225">
        <v>6400</v>
      </c>
      <c r="AM225" s="20">
        <v>41000</v>
      </c>
      <c r="AN225">
        <v>41000</v>
      </c>
      <c r="AO225">
        <v>41000</v>
      </c>
      <c r="BB225" s="26">
        <v>13500</v>
      </c>
      <c r="BC22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26" spans="1:55">
      <c r="A226" s="24" t="s">
        <v>76</v>
      </c>
      <c r="B226" s="17" t="s">
        <v>225</v>
      </c>
      <c r="C226" s="25" t="s">
        <v>819</v>
      </c>
      <c r="D226" s="54">
        <v>39</v>
      </c>
      <c r="E226" s="30">
        <v>31766</v>
      </c>
      <c r="F226" s="24" t="str">
        <f>TabelaClean14[[#This Row],[CidadeCPF]]</f>
        <v>Vilavelha</v>
      </c>
      <c r="G226" s="17" t="str">
        <f>TabelaClean14[[#This Row],[RegiaoCPF]]</f>
        <v>Campina</v>
      </c>
      <c r="H226" s="17" t="str">
        <f>_xlfn.XLOOKUP(TabelaClean14[[#This Row],[cpf]],TabelaDirty[cpfclean],TabelaDirty[cidade])</f>
        <v>Vilavelha</v>
      </c>
      <c r="I226" s="17" t="str">
        <f>_xlfn.XLOOKUP(TabelaClean14[[#This Row],[cpf]],TabelaDirty[cpfclean],TabelaDirty[regiao])</f>
        <v>campina</v>
      </c>
      <c r="J226" s="17" t="str">
        <f>PROPER(TabelaClean14[[#This Row],[Coluna1]])</f>
        <v>Campina</v>
      </c>
      <c r="K226" s="17" t="e">
        <f>_xlfn.TEXTBEFORE(TabelaClean14[[#This Row],[CidadeCPF]]," | ")</f>
        <v>#N/A</v>
      </c>
      <c r="L226" s="24" t="e">
        <f>_xlfn.TEXTAFTER(TabelaClean14[[#This Row],[CidadeCPF]]," | ")</f>
        <v>#N/A</v>
      </c>
      <c r="M226" s="26">
        <v>24700</v>
      </c>
      <c r="N226" s="78">
        <v>23500</v>
      </c>
      <c r="O226" s="1" t="s">
        <v>51</v>
      </c>
      <c r="P22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6" s="84">
        <v>43</v>
      </c>
      <c r="R226" s="1" t="str" cm="1">
        <f t="array" ref="R226">_xlfn.IFS(TabelaClean14[[#This Row],[qtde_batalhas]]&lt;=10,"Baixo",TabelaClean14[[#This Row],[qtde_batalhas]]&gt;=26,"Alto",TabelaClean14[[#This Row],[qtde_batalhas]]&lt;26,"Médio")</f>
        <v>Alto</v>
      </c>
      <c r="S226" s="1" t="str">
        <f>IF(AND(TabelaClean14[[#This Row],[nivel_risco]]="Alto",TabelaClean14[[#This Row],[flag_inadimplente]]="Sim"),"Arriscado","Ok")</f>
        <v>Arriscado</v>
      </c>
      <c r="T226" s="26">
        <v>57000</v>
      </c>
      <c r="U226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  <c r="W226" s="1"/>
      <c r="Y226" t="s">
        <v>809</v>
      </c>
      <c r="Z226" t="str">
        <f t="shared" si="3"/>
        <v>Null</v>
      </c>
      <c r="AE226" t="s">
        <v>175</v>
      </c>
      <c r="AF226" t="str">
        <f>TEXT(AE226,"000\.000\.000\-00")</f>
        <v>000.000.226-00</v>
      </c>
      <c r="AH226" s="15" t="s">
        <v>121</v>
      </c>
      <c r="AJ226" s="22">
        <v>12700</v>
      </c>
      <c r="AK226">
        <v>12700</v>
      </c>
      <c r="AM226" s="21">
        <v>0</v>
      </c>
      <c r="AN226">
        <v>0</v>
      </c>
      <c r="AO226">
        <v>0</v>
      </c>
      <c r="BB226" s="26">
        <v>24700</v>
      </c>
      <c r="BC226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</row>
    <row r="227" spans="1:55">
      <c r="A227" s="24" t="s">
        <v>81</v>
      </c>
      <c r="B227" s="17" t="s">
        <v>484</v>
      </c>
      <c r="C227" s="25" t="s">
        <v>485</v>
      </c>
      <c r="D227" s="54">
        <v>21</v>
      </c>
      <c r="E227" s="30">
        <v>38328</v>
      </c>
      <c r="F227" s="24" t="str">
        <f>TabelaClean14[[#This Row],[CidadeCPF]]</f>
        <v>Pyke</v>
      </c>
      <c r="G227" s="17" t="str">
        <f>TabelaClean14[[#This Row],[RegiaoCPF]]</f>
        <v>Ilhas De Ferro</v>
      </c>
      <c r="H227" s="17" t="str">
        <f>_xlfn.XLOOKUP(TabelaClean14[[#This Row],[cpf]],TabelaDirty[cpfclean],TabelaDirty[cidade])</f>
        <v>Pyke</v>
      </c>
      <c r="I227" s="17" t="str">
        <f>_xlfn.XLOOKUP(TabelaClean14[[#This Row],[cpf]],TabelaDirty[cpfclean],TabelaDirty[regiao])</f>
        <v>ILHAS DE FERRO</v>
      </c>
      <c r="J227" s="17" t="str">
        <f>PROPER(TabelaClean14[[#This Row],[Coluna1]])</f>
        <v>Ilhas De Ferro</v>
      </c>
      <c r="K227" s="17" t="e">
        <f>_xlfn.TEXTBEFORE(TabelaClean14[[#This Row],[CidadeCPF]]," | ")</f>
        <v>#N/A</v>
      </c>
      <c r="L227" s="24" t="e">
        <f>_xlfn.TEXTAFTER(TabelaClean14[[#This Row],[CidadeCPF]]," | ")</f>
        <v>#N/A</v>
      </c>
      <c r="M227" s="26">
        <v>4400</v>
      </c>
      <c r="N227" s="78">
        <v>23500</v>
      </c>
      <c r="O227" s="1" t="s">
        <v>51</v>
      </c>
      <c r="P22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7" s="84">
        <v>31</v>
      </c>
      <c r="R227" s="1" t="str" cm="1">
        <f t="array" ref="R227">_xlfn.IFS(TabelaClean14[[#This Row],[qtde_batalhas]]&lt;=10,"Baixo",TabelaClean14[[#This Row],[qtde_batalhas]]&gt;=26,"Alto",TabelaClean14[[#This Row],[qtde_batalhas]]&lt;26,"Médio")</f>
        <v>Alto</v>
      </c>
      <c r="S227" s="1" t="str">
        <f>IF(AND(TabelaClean14[[#This Row],[nivel_risco]]="Alto",TabelaClean14[[#This Row],[flag_inadimplente]]="Sim"),"Arriscado","Ok")</f>
        <v>Arriscado</v>
      </c>
      <c r="T227" s="26">
        <v>91000</v>
      </c>
      <c r="U22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27" s="1"/>
      <c r="Y227" t="s">
        <v>809</v>
      </c>
      <c r="Z227" t="str">
        <f t="shared" si="3"/>
        <v>Null</v>
      </c>
      <c r="AE227" t="s">
        <v>586</v>
      </c>
      <c r="AF227" t="str">
        <f>TEXT(AE227,"000\.000\.000\-00")</f>
        <v>000.000.227-00</v>
      </c>
      <c r="AH227" s="15" t="s">
        <v>210</v>
      </c>
      <c r="AJ227" s="22">
        <v>17300</v>
      </c>
      <c r="AK227">
        <v>17300</v>
      </c>
      <c r="AM227" s="20">
        <v>15000</v>
      </c>
      <c r="AN227">
        <v>15000</v>
      </c>
      <c r="AO227">
        <v>15000</v>
      </c>
      <c r="BB227" s="26">
        <v>4400</v>
      </c>
      <c r="BC22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28" spans="1:55">
      <c r="A228" s="24" t="s">
        <v>76</v>
      </c>
      <c r="B228" s="17" t="s">
        <v>936</v>
      </c>
      <c r="C228" s="25" t="s">
        <v>937</v>
      </c>
      <c r="D228" s="54">
        <v>36</v>
      </c>
      <c r="E228" s="30">
        <v>32908</v>
      </c>
      <c r="F228" s="25" t="s">
        <v>121</v>
      </c>
      <c r="G228" s="25" t="s">
        <v>122</v>
      </c>
      <c r="H228" s="24">
        <v>16600</v>
      </c>
      <c r="I228" s="24">
        <v>23500</v>
      </c>
      <c r="J228" s="24" t="s">
        <v>50</v>
      </c>
      <c r="K228" s="24"/>
      <c r="L228" s="24"/>
      <c r="M228" s="26">
        <v>21500</v>
      </c>
      <c r="N228" s="78">
        <v>23500</v>
      </c>
      <c r="O228" s="1" t="s">
        <v>50</v>
      </c>
      <c r="P228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228" s="76" t="str" cm="1">
        <f t="array" ref="R228">_xlfn.IFS(TabelaClean14[[#This Row],[qtde_batalhas]]&lt;=10,"Baixo",TabelaClean14[[#This Row],[qtde_batalhas]]&gt;=26,"Alto",TabelaClean14[[#This Row],[qtde_batalhas]]&lt;26,"Médio")</f>
        <v>Baixo</v>
      </c>
      <c r="S228" s="76" t="str">
        <f>IF(AND(TabelaClean14[[#This Row],[nivel_risco]]="Alto",TabelaClean14[[#This Row],[flag_inadimplente]]="Sim"),"Arriscado","Ok")</f>
        <v>Ok</v>
      </c>
      <c r="T228" s="26">
        <v>21500</v>
      </c>
      <c r="U228" s="81">
        <f>IF(AND(TabelaClean14[[#This Row],[analise_risco]]="Arriscado",TabelaClean14[[#This Row],[analise_credito]]="Reprovado"),0,IF(TabelaClean14[[#This Row],[status]]="Ativo",TabelaClean14[[#This Row],[valor_solicitado]]*1.08,0))</f>
        <v>23220</v>
      </c>
      <c r="W228" s="1"/>
      <c r="Y228" t="s">
        <v>809</v>
      </c>
      <c r="Z228" t="str">
        <f t="shared" si="3"/>
        <v>Null</v>
      </c>
      <c r="AE228" t="s">
        <v>375</v>
      </c>
      <c r="AF228" t="str">
        <f>TEXT(AE228,"000\.000\.000\-00")</f>
        <v>000.000.228-00</v>
      </c>
      <c r="AH228" s="15" t="s">
        <v>172</v>
      </c>
      <c r="AJ228" s="22">
        <v>23600</v>
      </c>
      <c r="AK228">
        <v>23600</v>
      </c>
      <c r="AM228" s="21">
        <v>75500</v>
      </c>
      <c r="AN228">
        <v>75500</v>
      </c>
      <c r="AO228">
        <v>75500</v>
      </c>
      <c r="BB228" s="26">
        <v>21500</v>
      </c>
      <c r="BC228" s="81">
        <f>IF(AND(TabelaClean14[[#This Row],[analise_risco]]="Arriscado",TabelaClean14[[#This Row],[analise_credito]]="Reprovado"),0,IF(TabelaClean14[[#This Row],[status]]="Ativo",TabelaClean14[[#This Row],[valor_solicitado]]*1.08,0))</f>
        <v>23220</v>
      </c>
    </row>
    <row r="229" spans="1:55">
      <c r="A229" s="24" t="s">
        <v>76</v>
      </c>
      <c r="B229" s="17" t="s">
        <v>311</v>
      </c>
      <c r="C229" s="25" t="s">
        <v>312</v>
      </c>
      <c r="D229" s="54">
        <v>37</v>
      </c>
      <c r="E229" s="30">
        <v>32412</v>
      </c>
      <c r="F229" s="24" t="str">
        <f>TabelaClean14[[#This Row],[CidadeCPF]]</f>
        <v>Fosso Cailin</v>
      </c>
      <c r="G229" s="17" t="str">
        <f>TabelaClean14[[#This Row],[RegiaoCPF]]</f>
        <v>Norte</v>
      </c>
      <c r="H229" s="17" t="str">
        <f>_xlfn.XLOOKUP(TabelaClean14[[#This Row],[cpf]],TabelaDirty[cpfclean],TabelaDirty[cidade])</f>
        <v>Fosso Cailin</v>
      </c>
      <c r="I229" s="17" t="str">
        <f>_xlfn.XLOOKUP(TabelaClean14[[#This Row],[cpf]],TabelaDirty[cpfclean],TabelaDirty[regiao])</f>
        <v>norte</v>
      </c>
      <c r="J229" s="17" t="str">
        <f>PROPER(TabelaClean14[[#This Row],[Coluna1]])</f>
        <v>Norte</v>
      </c>
      <c r="K229" s="17" t="e">
        <f>_xlfn.TEXTBEFORE(TabelaClean14[[#This Row],[CidadeCPF]]," | ")</f>
        <v>#N/A</v>
      </c>
      <c r="L229" s="24" t="e">
        <f>_xlfn.TEXTAFTER(TabelaClean14[[#This Row],[CidadeCPF]]," | ")</f>
        <v>#N/A</v>
      </c>
      <c r="M229" s="26">
        <v>24700</v>
      </c>
      <c r="N229" s="78">
        <v>23000</v>
      </c>
      <c r="O229" s="1" t="s">
        <v>51</v>
      </c>
      <c r="P22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29" s="84">
        <v>10</v>
      </c>
      <c r="R229" s="1" t="str" cm="1">
        <f t="array" ref="R229">_xlfn.IFS(TabelaClean14[[#This Row],[qtde_batalhas]]&lt;=10,"Baixo",TabelaClean14[[#This Row],[qtde_batalhas]]&gt;=26,"Alto",TabelaClean14[[#This Row],[qtde_batalhas]]&lt;26,"Médio")</f>
        <v>Baixo</v>
      </c>
      <c r="S229" s="1" t="str">
        <f>IF(AND(TabelaClean14[[#This Row],[nivel_risco]]="Alto",TabelaClean14[[#This Row],[flag_inadimplente]]="Sim"),"Arriscado","Ok")</f>
        <v>Ok</v>
      </c>
      <c r="T229" s="26">
        <v>37500</v>
      </c>
      <c r="U229" s="81">
        <f>IF(AND(TabelaClean14[[#This Row],[analise_risco]]="Arriscado",TabelaClean14[[#This Row],[analise_credito]]="Reprovado"),0,IF(TabelaClean14[[#This Row],[status]]="Ativo",TabelaClean14[[#This Row],[valor_solicitado]]*1.08,0))</f>
        <v>40500</v>
      </c>
      <c r="W229" s="1"/>
      <c r="Y229" t="s">
        <v>809</v>
      </c>
      <c r="Z229" t="str">
        <f t="shared" si="3"/>
        <v>Null</v>
      </c>
      <c r="AE229" t="s">
        <v>677</v>
      </c>
      <c r="AF229" t="str">
        <f>TEXT(AE229,"000\.000\.000\-00")</f>
        <v>000.000.229-00</v>
      </c>
      <c r="AH229" s="15" t="s">
        <v>141</v>
      </c>
      <c r="AJ229" s="22">
        <v>3500</v>
      </c>
      <c r="AK229">
        <v>3500</v>
      </c>
      <c r="AM229" s="20">
        <v>50000</v>
      </c>
      <c r="AN229">
        <v>50000</v>
      </c>
      <c r="AO229">
        <v>50000</v>
      </c>
      <c r="BB229" s="26">
        <v>24700</v>
      </c>
      <c r="BC229" s="81">
        <f>IF(AND(TabelaClean14[[#This Row],[analise_risco]]="Arriscado",TabelaClean14[[#This Row],[analise_credito]]="Reprovado"),0,IF(TabelaClean14[[#This Row],[status]]="Ativo",TabelaClean14[[#This Row],[valor_solicitado]]*1.08,0))</f>
        <v>40500</v>
      </c>
    </row>
    <row r="230" spans="1:55">
      <c r="A230" s="24" t="s">
        <v>76</v>
      </c>
      <c r="B230" s="17" t="s">
        <v>938</v>
      </c>
      <c r="C230" s="25" t="s">
        <v>939</v>
      </c>
      <c r="D230" s="54">
        <v>28</v>
      </c>
      <c r="E230" s="30">
        <v>35948</v>
      </c>
      <c r="F230" s="25" t="s">
        <v>169</v>
      </c>
      <c r="G230" s="25" t="s">
        <v>139</v>
      </c>
      <c r="H230" s="24">
        <v>14600</v>
      </c>
      <c r="I230" s="24">
        <v>23000</v>
      </c>
      <c r="J230" s="24"/>
      <c r="K230" s="24">
        <v>1</v>
      </c>
      <c r="L230" s="24"/>
      <c r="M230" s="26">
        <v>99000</v>
      </c>
      <c r="N230" s="78">
        <v>23000</v>
      </c>
      <c r="P23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230" s="84">
        <v>1</v>
      </c>
      <c r="R230" s="76" t="str" cm="1">
        <f t="array" ref="R230">_xlfn.IFS(TabelaClean14[[#This Row],[qtde_batalhas]]&lt;=10,"Baixo",TabelaClean14[[#This Row],[qtde_batalhas]]&gt;=26,"Alto",TabelaClean14[[#This Row],[qtde_batalhas]]&lt;26,"Médio")</f>
        <v>Baixo</v>
      </c>
      <c r="S230" s="76" t="str">
        <f>IF(AND(TabelaClean14[[#This Row],[nivel_risco]]="Alto",TabelaClean14[[#This Row],[flag_inadimplente]]="Sim"),"Arriscado","Ok")</f>
        <v>Ok</v>
      </c>
      <c r="T230" s="26">
        <v>99000</v>
      </c>
      <c r="U230" s="81">
        <f>IF(AND(TabelaClean14[[#This Row],[analise_risco]]="Arriscado",TabelaClean14[[#This Row],[analise_credito]]="Reprovado"),0,IF(TabelaClean14[[#This Row],[status]]="Ativo",TabelaClean14[[#This Row],[valor_solicitado]]*1.08,0))</f>
        <v>106920</v>
      </c>
      <c r="W230" s="1"/>
      <c r="Y230" t="s">
        <v>809</v>
      </c>
      <c r="Z230" t="str">
        <f t="shared" si="3"/>
        <v>Null</v>
      </c>
      <c r="AE230" t="s">
        <v>153</v>
      </c>
      <c r="AF230" t="str">
        <f>TEXT(AE230,"000\.000\.000\-00")</f>
        <v>000.000.231-00</v>
      </c>
      <c r="AH230" s="15" t="s">
        <v>223</v>
      </c>
      <c r="AJ230" s="22">
        <v>18500</v>
      </c>
      <c r="AK230">
        <v>18500</v>
      </c>
      <c r="AM230" s="21">
        <v>69500</v>
      </c>
      <c r="AN230">
        <v>69500</v>
      </c>
      <c r="AO230">
        <v>69500</v>
      </c>
      <c r="BB230" s="26">
        <v>99000</v>
      </c>
      <c r="BC230" s="81">
        <f>IF(AND(TabelaClean14[[#This Row],[analise_risco]]="Arriscado",TabelaClean14[[#This Row],[analise_credito]]="Reprovado"),0,IF(TabelaClean14[[#This Row],[status]]="Ativo",TabelaClean14[[#This Row],[valor_solicitado]]*1.08,0))</f>
        <v>106920</v>
      </c>
    </row>
    <row r="231" spans="1:55">
      <c r="A231" s="24" t="s">
        <v>76</v>
      </c>
      <c r="B231" s="17" t="s">
        <v>248</v>
      </c>
      <c r="C231" s="25" t="s">
        <v>249</v>
      </c>
      <c r="D231" s="54">
        <v>33</v>
      </c>
      <c r="E231" s="30">
        <v>33881</v>
      </c>
      <c r="F231" s="24" t="str">
        <f>TabelaClean14[[#This Row],[CidadeCPF]]</f>
        <v>Castelo Negro</v>
      </c>
      <c r="G231" s="17" t="str">
        <f>TabelaClean14[[#This Row],[RegiaoCPF]]</f>
        <v>Norte</v>
      </c>
      <c r="H231" s="17" t="str">
        <f>_xlfn.XLOOKUP(TabelaClean14[[#This Row],[cpf]],TabelaDirty[cpfclean],TabelaDirty[cidade])</f>
        <v>Castelo Negro</v>
      </c>
      <c r="I231" s="17" t="str">
        <f>_xlfn.XLOOKUP(TabelaClean14[[#This Row],[cpf]],TabelaDirty[cpfclean],TabelaDirty[regiao])</f>
        <v>NORTE</v>
      </c>
      <c r="J231" s="17" t="str">
        <f>PROPER(TabelaClean14[[#This Row],[Coluna1]])</f>
        <v>Norte</v>
      </c>
      <c r="K231" s="17" t="e">
        <f>_xlfn.TEXTBEFORE(TabelaClean14[[#This Row],[CidadeCPF]]," | ")</f>
        <v>#N/A</v>
      </c>
      <c r="L231" s="24" t="e">
        <f>_xlfn.TEXTAFTER(TabelaClean14[[#This Row],[CidadeCPF]]," | ")</f>
        <v>#N/A</v>
      </c>
      <c r="M231" s="26">
        <v>29700</v>
      </c>
      <c r="N231" s="78">
        <v>22000</v>
      </c>
      <c r="O231" s="1" t="s">
        <v>51</v>
      </c>
      <c r="P23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1" s="84">
        <v>38</v>
      </c>
      <c r="R231" s="1" t="str" cm="1">
        <f t="array" ref="R231">_xlfn.IFS(TabelaClean14[[#This Row],[qtde_batalhas]]&lt;=10,"Baixo",TabelaClean14[[#This Row],[qtde_batalhas]]&gt;=26,"Alto",TabelaClean14[[#This Row],[qtde_batalhas]]&lt;26,"Médio")</f>
        <v>Alto</v>
      </c>
      <c r="S231" s="1" t="str">
        <f>IF(AND(TabelaClean14[[#This Row],[nivel_risco]]="Alto",TabelaClean14[[#This Row],[flag_inadimplente]]="Sim"),"Arriscado","Ok")</f>
        <v>Arriscado</v>
      </c>
      <c r="T231" s="26">
        <v>81000</v>
      </c>
      <c r="U231" s="81">
        <f>IF(AND(TabelaClean14[[#This Row],[analise_risco]]="Arriscado",TabelaClean14[[#This Row],[analise_credito]]="Reprovado"),0,IF(TabelaClean14[[#This Row],[status]]="Ativo",TabelaClean14[[#This Row],[valor_solicitado]]*1.08,0))</f>
        <v>87480</v>
      </c>
      <c r="W231" s="1"/>
      <c r="Y231" t="s">
        <v>149</v>
      </c>
      <c r="Z231" t="str">
        <f t="shared" si="3"/>
        <v>Campina</v>
      </c>
      <c r="AE231" t="s">
        <v>682</v>
      </c>
      <c r="AF231" t="str">
        <f>TEXT(AE231,"000\.000\.000\-00")</f>
        <v>000.000.232-00</v>
      </c>
      <c r="AH231" s="15" t="s">
        <v>141</v>
      </c>
      <c r="AJ231" s="22">
        <v>18000</v>
      </c>
      <c r="AK231">
        <v>18000</v>
      </c>
      <c r="AM231" s="20">
        <v>50500</v>
      </c>
      <c r="AN231">
        <v>50500</v>
      </c>
      <c r="AO231">
        <v>50500</v>
      </c>
      <c r="BB231" s="26">
        <v>29700</v>
      </c>
      <c r="BC231" s="81">
        <f>IF(AND(TabelaClean14[[#This Row],[analise_risco]]="Arriscado",TabelaClean14[[#This Row],[analise_credito]]="Reprovado"),0,IF(TabelaClean14[[#This Row],[status]]="Ativo",TabelaClean14[[#This Row],[valor_solicitado]]*1.08,0))</f>
        <v>87480</v>
      </c>
    </row>
    <row r="232" spans="1:55">
      <c r="A232" s="24" t="s">
        <v>76</v>
      </c>
      <c r="B232" s="17" t="s">
        <v>527</v>
      </c>
      <c r="C232" s="25" t="s">
        <v>940</v>
      </c>
      <c r="D232" s="54">
        <v>18</v>
      </c>
      <c r="E232" s="30">
        <v>39342</v>
      </c>
      <c r="F232" s="24" t="str">
        <f>TabelaClean14[[#This Row],[CidadeCPF]]</f>
        <v>Vilavelha</v>
      </c>
      <c r="G232" s="17" t="str">
        <f>TabelaClean14[[#This Row],[RegiaoCPF]]</f>
        <v>Campina</v>
      </c>
      <c r="H232" s="17" t="str">
        <f>_xlfn.XLOOKUP(TabelaClean14[[#This Row],[cpf]],TabelaDirty[cpfclean],TabelaDirty[cidade])</f>
        <v>Vilavelha</v>
      </c>
      <c r="I232" s="17" t="str">
        <f>_xlfn.XLOOKUP(TabelaClean14[[#This Row],[cpf]],TabelaDirty[cpfclean],TabelaDirty[regiao])</f>
        <v>Campina</v>
      </c>
      <c r="J232" s="17" t="str">
        <f>PROPER(TabelaClean14[[#This Row],[Coluna1]])</f>
        <v>Campina</v>
      </c>
      <c r="K232" s="17" t="e">
        <f>_xlfn.TEXTBEFORE(TabelaClean14[[#This Row],[CidadeCPF]]," | ")</f>
        <v>#N/A</v>
      </c>
      <c r="L232" s="24" t="e">
        <f>_xlfn.TEXTAFTER(TabelaClean14[[#This Row],[CidadeCPF]]," | ")</f>
        <v>#N/A</v>
      </c>
      <c r="M232" s="26">
        <v>28900</v>
      </c>
      <c r="N232" s="78">
        <v>22000</v>
      </c>
      <c r="O232" s="1" t="s">
        <v>51</v>
      </c>
      <c r="P23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2" s="84">
        <v>23</v>
      </c>
      <c r="R232" s="1" t="str" cm="1">
        <f t="array" ref="R232">_xlfn.IFS(TabelaClean14[[#This Row],[qtde_batalhas]]&lt;=10,"Baixo",TabelaClean14[[#This Row],[qtde_batalhas]]&gt;=26,"Alto",TabelaClean14[[#This Row],[qtde_batalhas]]&lt;26,"Médio")</f>
        <v>Médio</v>
      </c>
      <c r="S232" s="1" t="str">
        <f>IF(AND(TabelaClean14[[#This Row],[nivel_risco]]="Alto",TabelaClean14[[#This Row],[flag_inadimplente]]="Sim"),"Arriscado","Ok")</f>
        <v>Ok</v>
      </c>
      <c r="T232" s="26">
        <v>90000</v>
      </c>
      <c r="U232" s="81">
        <f>IF(AND(TabelaClean14[[#This Row],[analise_risco]]="Arriscado",TabelaClean14[[#This Row],[analise_credito]]="Reprovado"),0,IF(TabelaClean14[[#This Row],[status]]="Ativo",TabelaClean14[[#This Row],[valor_solicitado]]*1.08,0))</f>
        <v>97200</v>
      </c>
      <c r="W232" s="1"/>
      <c r="Y232" t="s">
        <v>809</v>
      </c>
      <c r="Z232" t="str">
        <f t="shared" si="3"/>
        <v>Null</v>
      </c>
      <c r="AE232" t="s">
        <v>373</v>
      </c>
      <c r="AF232" t="str">
        <f>TEXT(AE232,"000\.000\.000\-00")</f>
        <v>000.000.234-00</v>
      </c>
      <c r="AH232" s="15" t="s">
        <v>89</v>
      </c>
      <c r="AJ232" s="22">
        <v>6100</v>
      </c>
      <c r="AK232">
        <v>6100</v>
      </c>
      <c r="AM232" s="21"/>
      <c r="AN232" t="s">
        <v>809</v>
      </c>
      <c r="AO232" t="s">
        <v>809</v>
      </c>
      <c r="BB232" s="26">
        <v>28900</v>
      </c>
      <c r="BC232" s="81">
        <f>IF(AND(TabelaClean14[[#This Row],[analise_risco]]="Arriscado",TabelaClean14[[#This Row],[analise_credito]]="Reprovado"),0,IF(TabelaClean14[[#This Row],[status]]="Ativo",TabelaClean14[[#This Row],[valor_solicitado]]*1.08,0))</f>
        <v>97200</v>
      </c>
    </row>
    <row r="233" spans="1:55">
      <c r="A233" s="24" t="s">
        <v>76</v>
      </c>
      <c r="B233" s="17" t="s">
        <v>291</v>
      </c>
      <c r="C233" s="25" t="s">
        <v>792</v>
      </c>
      <c r="D233" s="54">
        <f>_xlfn.XLOOKUP(TabelaClean14[[#This Row],[nome]],Base_Dirty!B:B,Base_Dirty!E:E)</f>
        <v>27</v>
      </c>
      <c r="E233" s="51">
        <f>_xlfn.XLOOKUP(TabelaClean14[[#This Row],[nome]],Base_Dirty!$B:$B,Base_Dirty!F:F)</f>
        <v>36308</v>
      </c>
      <c r="F233" s="17" t="s">
        <v>138</v>
      </c>
      <c r="G233" s="17" t="s">
        <v>139</v>
      </c>
      <c r="H233" s="24" t="s">
        <v>139</v>
      </c>
      <c r="I233" s="24">
        <v>5300</v>
      </c>
      <c r="J233" s="24" t="s">
        <v>293</v>
      </c>
      <c r="K233" s="24" t="s">
        <v>244</v>
      </c>
      <c r="L233" s="24">
        <v>11</v>
      </c>
      <c r="M233" s="23">
        <f>_xlfn.XLOOKUP(TabelaClean14[[#This Row],[nome]],Base_Dirty!$B:$B,Base_Dirty!I:I)</f>
        <v>5300</v>
      </c>
      <c r="N233" s="78">
        <v>22000</v>
      </c>
      <c r="O233" s="79" t="s">
        <v>50</v>
      </c>
      <c r="P23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3" s="84">
        <f>_xlfn.XLOOKUP(TabelaClean14[[#This Row],[nome]],Base_Dirty!$B:$B,Base_Dirty!L:L)</f>
        <v>11</v>
      </c>
      <c r="R233" s="76" t="str" cm="1">
        <f t="array" ref="R233">_xlfn.IFS(TabelaClean14[[#This Row],[qtde_batalhas]]&lt;=10,"Baixo",TabelaClean14[[#This Row],[qtde_batalhas]]&gt;=26,"Alto",TabelaClean14[[#This Row],[qtde_batalhas]]&lt;26,"Médio")</f>
        <v>Médio</v>
      </c>
      <c r="S233" s="76" t="str">
        <f>IF(AND(TabelaClean14[[#This Row],[nivel_risco]]="Alto",TabelaClean14[[#This Row],[flag_inadimplente]]="Sim"),"Arriscado","Ok")</f>
        <v>Ok</v>
      </c>
      <c r="T233" s="26">
        <f>_xlfn.XLOOKUP(TabelaClean14[[#This Row],[nome]],Base_Dirty!$B:$B,Base_Dirty!O:O)</f>
        <v>28500</v>
      </c>
      <c r="U233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  <c r="W233" s="1"/>
      <c r="Y233" t="s">
        <v>809</v>
      </c>
      <c r="Z233" t="str">
        <f t="shared" si="3"/>
        <v>Null</v>
      </c>
      <c r="AE233" t="s">
        <v>578</v>
      </c>
      <c r="AF233" t="str">
        <f>TEXT(AE233,"000\.000\.000\-00")</f>
        <v>000.000.235-00</v>
      </c>
      <c r="AH233" s="15" t="s">
        <v>183</v>
      </c>
      <c r="AJ233" s="22">
        <v>5500</v>
      </c>
      <c r="AK233">
        <v>5500</v>
      </c>
      <c r="AM233" s="20">
        <v>0</v>
      </c>
      <c r="AN233">
        <v>0</v>
      </c>
      <c r="AO233">
        <v>0</v>
      </c>
      <c r="BB233" s="23">
        <f>_xlfn.XLOOKUP(TabelaClean14[[#This Row],[nome]],Base_Dirty!$B:$B,Base_Dirty!AX:AX)</f>
        <v>0</v>
      </c>
      <c r="BC233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</row>
    <row r="234" spans="1:55">
      <c r="A234" s="24" t="s">
        <v>76</v>
      </c>
      <c r="B234" s="17" t="s">
        <v>291</v>
      </c>
      <c r="C234" t="str">
        <f>_xlfn.XLOOKUP(TabelaClean14[[#This Row],[nome]],Base_Dirty!$B:$B,Base_Dirty!D:D)</f>
        <v>000.000.283-00</v>
      </c>
      <c r="D234" s="54">
        <f>_xlfn.XLOOKUP(TabelaClean14[[#This Row],[nome]],Base_Dirty!B:B,Base_Dirty!E:E)</f>
        <v>27</v>
      </c>
      <c r="E234" s="51">
        <f>_xlfn.XLOOKUP(TabelaClean14[[#This Row],[nome]],Base_Dirty!$B:$B,Base_Dirty!F:F)</f>
        <v>36308</v>
      </c>
      <c r="F234" s="17" t="s">
        <v>138</v>
      </c>
      <c r="G234" s="17" t="s">
        <v>139</v>
      </c>
      <c r="H234" s="24" t="s">
        <v>139</v>
      </c>
      <c r="I234" s="24">
        <v>5300</v>
      </c>
      <c r="J234" s="24" t="s">
        <v>293</v>
      </c>
      <c r="K234" s="24" t="s">
        <v>244</v>
      </c>
      <c r="L234" s="24">
        <v>11</v>
      </c>
      <c r="M234" s="23">
        <f>_xlfn.XLOOKUP(TabelaClean14[[#This Row],[nome]],Base_Dirty!$B:$B,Base_Dirty!I:I)</f>
        <v>5300</v>
      </c>
      <c r="N234" s="78">
        <v>22000</v>
      </c>
      <c r="O234" s="79" t="s">
        <v>50</v>
      </c>
      <c r="P234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4" s="84">
        <f>_xlfn.XLOOKUP(TabelaClean14[[#This Row],[nome]],Base_Dirty!$B:$B,Base_Dirty!L:L)</f>
        <v>11</v>
      </c>
      <c r="R234" s="76" t="str" cm="1">
        <f t="array" ref="R234">_xlfn.IFS(TabelaClean14[[#This Row],[qtde_batalhas]]&lt;=10,"Baixo",TabelaClean14[[#This Row],[qtde_batalhas]]&gt;=26,"Alto",TabelaClean14[[#This Row],[qtde_batalhas]]&lt;26,"Médio")</f>
        <v>Médio</v>
      </c>
      <c r="S234" s="76" t="str">
        <f>IF(AND(TabelaClean14[[#This Row],[nivel_risco]]="Alto",TabelaClean14[[#This Row],[flag_inadimplente]]="Sim"),"Arriscado","Ok")</f>
        <v>Ok</v>
      </c>
      <c r="T234" s="26">
        <f>_xlfn.XLOOKUP(TabelaClean14[[#This Row],[nome]],Base_Dirty!$B:$B,Base_Dirty!O:O)</f>
        <v>28500</v>
      </c>
      <c r="U234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  <c r="W234" s="1"/>
      <c r="Y234" t="s">
        <v>142</v>
      </c>
      <c r="Z234" t="str">
        <f t="shared" si="3"/>
        <v>Norte</v>
      </c>
      <c r="AE234" t="s">
        <v>605</v>
      </c>
      <c r="AF234" t="str">
        <f>TEXT(AE234,"000\.000\.000\-00")</f>
        <v>000.000.236-00</v>
      </c>
      <c r="AH234" s="15" t="s">
        <v>138</v>
      </c>
      <c r="AJ234" s="22">
        <v>7300</v>
      </c>
      <c r="AK234">
        <v>7300</v>
      </c>
      <c r="AM234" s="21">
        <v>1000</v>
      </c>
      <c r="AN234">
        <v>1000</v>
      </c>
      <c r="AO234">
        <v>1000</v>
      </c>
      <c r="BB234" s="23">
        <f>_xlfn.XLOOKUP(TabelaClean14[[#This Row],[nome]],Base_Dirty!$B:$B,Base_Dirty!AX:AX)</f>
        <v>0</v>
      </c>
      <c r="BC234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</row>
    <row r="235" spans="1:55">
      <c r="A235" s="24" t="s">
        <v>76</v>
      </c>
      <c r="B235" s="17" t="s">
        <v>291</v>
      </c>
      <c r="C235" s="25" t="s">
        <v>292</v>
      </c>
      <c r="D235" s="54">
        <v>27</v>
      </c>
      <c r="E235" s="30">
        <v>36308</v>
      </c>
      <c r="F235" s="24" t="str">
        <f>TabelaClean14[[#This Row],[CidadeCPF]]</f>
        <v>Correrrio</v>
      </c>
      <c r="G235" s="17" t="str">
        <f>TabelaClean14[[#This Row],[RegiaoCPF]]</f>
        <v>Terras Fluviais</v>
      </c>
      <c r="H235" s="17" t="str">
        <f>_xlfn.XLOOKUP(TabelaClean14[[#This Row],[cpf]],TabelaDirty[cpfclean],TabelaDirty[cidade])</f>
        <v>Correrrio</v>
      </c>
      <c r="I235" s="17" t="str">
        <f>_xlfn.XLOOKUP(TabelaClean14[[#This Row],[cpf]],TabelaDirty[cpfclean],TabelaDirty[regiao])</f>
        <v>Terras Fluviais</v>
      </c>
      <c r="J235" s="17" t="str">
        <f>PROPER(TabelaClean14[[#This Row],[Coluna1]])</f>
        <v>Terras Fluviais</v>
      </c>
      <c r="K235" s="17" t="e">
        <f>_xlfn.TEXTBEFORE(TabelaClean14[[#This Row],[CidadeCPF]]," | ")</f>
        <v>#N/A</v>
      </c>
      <c r="L235" s="24" t="e">
        <f>_xlfn.TEXTAFTER(TabelaClean14[[#This Row],[CidadeCPF]]," | ")</f>
        <v>#N/A</v>
      </c>
      <c r="M235" s="26">
        <v>5300</v>
      </c>
      <c r="N235" s="78">
        <v>22000</v>
      </c>
      <c r="O235" s="1" t="s">
        <v>50</v>
      </c>
      <c r="P23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5" s="84">
        <v>11</v>
      </c>
      <c r="R235" s="1" t="str" cm="1">
        <f t="array" ref="R235">_xlfn.IFS(TabelaClean14[[#This Row],[qtde_batalhas]]&lt;=10,"Baixo",TabelaClean14[[#This Row],[qtde_batalhas]]&gt;=26,"Alto",TabelaClean14[[#This Row],[qtde_batalhas]]&lt;26,"Médio")</f>
        <v>Médio</v>
      </c>
      <c r="S235" s="1" t="str">
        <f>IF(AND(TabelaClean14[[#This Row],[nivel_risco]]="Alto",TabelaClean14[[#This Row],[flag_inadimplente]]="Sim"),"Arriscado","Ok")</f>
        <v>Ok</v>
      </c>
      <c r="T235" s="26">
        <v>28500</v>
      </c>
      <c r="U235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  <c r="W235" s="1"/>
      <c r="Y235" t="s">
        <v>809</v>
      </c>
      <c r="Z235" t="str">
        <f t="shared" si="3"/>
        <v>Null</v>
      </c>
      <c r="AE235" t="s">
        <v>651</v>
      </c>
      <c r="AF235" t="str">
        <f>TEXT(AE235,"000\.000\.000\-00")</f>
        <v>000.000.238-00</v>
      </c>
      <c r="AH235" s="15" t="s">
        <v>79</v>
      </c>
      <c r="AJ235" s="22">
        <v>27100</v>
      </c>
      <c r="AK235">
        <v>27100</v>
      </c>
      <c r="AM235" s="20">
        <v>68000</v>
      </c>
      <c r="AN235">
        <v>68000</v>
      </c>
      <c r="AO235">
        <v>68000</v>
      </c>
      <c r="BB235" s="26">
        <v>5300</v>
      </c>
      <c r="BC235" s="81">
        <f>IF(AND(TabelaClean14[[#This Row],[analise_risco]]="Arriscado",TabelaClean14[[#This Row],[analise_credito]]="Reprovado"),0,IF(TabelaClean14[[#This Row],[status]]="Ativo",TabelaClean14[[#This Row],[valor_solicitado]]*1.08,0))</f>
        <v>30780.000000000004</v>
      </c>
    </row>
    <row r="236" spans="1:55">
      <c r="A236" s="24" t="s">
        <v>76</v>
      </c>
      <c r="B236" s="17" t="s">
        <v>794</v>
      </c>
      <c r="C236" s="25" t="s">
        <v>795</v>
      </c>
      <c r="D236" s="54">
        <v>53</v>
      </c>
      <c r="E236" s="30">
        <v>26790</v>
      </c>
      <c r="F236" s="24" t="str">
        <f>TabelaClean14[[#This Row],[CidadeCPF]]</f>
        <v>Braavos</v>
      </c>
      <c r="G236" s="17" t="str">
        <f>TabelaClean14[[#This Row],[RegiaoCPF]]</f>
        <v>Essos</v>
      </c>
      <c r="H236" s="17" t="str">
        <f>_xlfn.XLOOKUP(TabelaClean14[[#This Row],[cpf]],TabelaDirty[cpfclean],TabelaDirty[cidade])</f>
        <v>Braavos</v>
      </c>
      <c r="I236" s="17" t="str">
        <f>_xlfn.XLOOKUP(TabelaClean14[[#This Row],[cpf]],TabelaDirty[cpfclean],TabelaDirty[regiao])</f>
        <v>Essos</v>
      </c>
      <c r="J236" s="17" t="str">
        <f>PROPER(TabelaClean14[[#This Row],[Coluna1]])</f>
        <v>Essos</v>
      </c>
      <c r="K236" s="17" t="e">
        <f>_xlfn.TEXTBEFORE(TabelaClean14[[#This Row],[CidadeCPF]]," | ")</f>
        <v>#N/A</v>
      </c>
      <c r="L236" s="24" t="e">
        <f>_xlfn.TEXTAFTER(TabelaClean14[[#This Row],[CidadeCPF]]," | ")</f>
        <v>#N/A</v>
      </c>
      <c r="M236" s="26">
        <v>0</v>
      </c>
      <c r="N236" s="78">
        <v>21500</v>
      </c>
      <c r="O236" s="1" t="s">
        <v>51</v>
      </c>
      <c r="P23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6" s="84">
        <v>44</v>
      </c>
      <c r="R236" s="1" t="str" cm="1">
        <f t="array" ref="R236">_xlfn.IFS(TabelaClean14[[#This Row],[qtde_batalhas]]&lt;=10,"Baixo",TabelaClean14[[#This Row],[qtde_batalhas]]&gt;=26,"Alto",TabelaClean14[[#This Row],[qtde_batalhas]]&lt;26,"Médio")</f>
        <v>Alto</v>
      </c>
      <c r="S236" s="1" t="str">
        <f>IF(AND(TabelaClean14[[#This Row],[nivel_risco]]="Alto",TabelaClean14[[#This Row],[flag_inadimplente]]="Sim"),"Arriscado","Ok")</f>
        <v>Arriscado</v>
      </c>
      <c r="T236" s="26">
        <v>3500</v>
      </c>
      <c r="U236" s="81">
        <f>IF(AND(TabelaClean14[[#This Row],[analise_risco]]="Arriscado",TabelaClean14[[#This Row],[analise_credito]]="Reprovado"),0,IF(TabelaClean14[[#This Row],[status]]="Ativo",TabelaClean14[[#This Row],[valor_solicitado]]*1.08,0))</f>
        <v>3780.0000000000005</v>
      </c>
      <c r="W236" s="1"/>
      <c r="Y236" t="s">
        <v>142</v>
      </c>
      <c r="Z236" t="str">
        <f t="shared" si="3"/>
        <v>Norte</v>
      </c>
      <c r="AE236" t="s">
        <v>485</v>
      </c>
      <c r="AF236" t="str">
        <f>TEXT(AE236,"000\.000\.000\-00")</f>
        <v>000.000.241-00</v>
      </c>
      <c r="AH236" s="15" t="s">
        <v>79</v>
      </c>
      <c r="AJ236" s="22">
        <v>28600</v>
      </c>
      <c r="AK236">
        <v>28600</v>
      </c>
      <c r="AM236" s="21">
        <v>40500</v>
      </c>
      <c r="AN236">
        <v>40500</v>
      </c>
      <c r="AO236">
        <v>40500</v>
      </c>
      <c r="BB236" s="26">
        <v>0</v>
      </c>
      <c r="BC236" s="81">
        <f>IF(AND(TabelaClean14[[#This Row],[analise_risco]]="Arriscado",TabelaClean14[[#This Row],[analise_credito]]="Reprovado"),0,IF(TabelaClean14[[#This Row],[status]]="Ativo",TabelaClean14[[#This Row],[valor_solicitado]]*1.08,0))</f>
        <v>3780.0000000000005</v>
      </c>
    </row>
    <row r="237" spans="1:55">
      <c r="A237" s="24" t="s">
        <v>76</v>
      </c>
      <c r="B237" s="17" t="s">
        <v>356</v>
      </c>
      <c r="C237" s="25" t="s">
        <v>357</v>
      </c>
      <c r="D237" s="54">
        <v>58</v>
      </c>
      <c r="E237" s="30">
        <v>24905</v>
      </c>
      <c r="F237" s="24" t="str">
        <f>TabelaClean14[[#This Row],[CidadeCPF]]</f>
        <v>Meereen</v>
      </c>
      <c r="G237" s="17" t="str">
        <f>TabelaClean14[[#This Row],[RegiaoCPF]]</f>
        <v>Essos</v>
      </c>
      <c r="H237" s="17" t="str">
        <f>_xlfn.XLOOKUP(TabelaClean14[[#This Row],[cpf]],TabelaDirty[cpfclean],TabelaDirty[cidade])</f>
        <v>Meereen</v>
      </c>
      <c r="I237" s="17" t="str">
        <f>_xlfn.XLOOKUP(TabelaClean14[[#This Row],[cpf]],TabelaDirty[cpfclean],TabelaDirty[regiao])</f>
        <v>ESSOS</v>
      </c>
      <c r="J237" s="17" t="str">
        <f>PROPER(TabelaClean14[[#This Row],[Coluna1]])</f>
        <v>Essos</v>
      </c>
      <c r="K237" s="17" t="e">
        <f>_xlfn.TEXTBEFORE(TabelaClean14[[#This Row],[CidadeCPF]]," | ")</f>
        <v>#N/A</v>
      </c>
      <c r="L237" s="24" t="e">
        <f>_xlfn.TEXTAFTER(TabelaClean14[[#This Row],[CidadeCPF]]," | ")</f>
        <v>#N/A</v>
      </c>
      <c r="M237" s="26">
        <v>12400</v>
      </c>
      <c r="N237" s="78">
        <v>21500</v>
      </c>
      <c r="O237" s="1" t="s">
        <v>51</v>
      </c>
      <c r="P23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7" s="84">
        <v>24</v>
      </c>
      <c r="R237" s="1" t="str" cm="1">
        <f t="array" ref="R237">_xlfn.IFS(TabelaClean14[[#This Row],[qtde_batalhas]]&lt;=10,"Baixo",TabelaClean14[[#This Row],[qtde_batalhas]]&gt;=26,"Alto",TabelaClean14[[#This Row],[qtde_batalhas]]&lt;26,"Médio")</f>
        <v>Médio</v>
      </c>
      <c r="S237" s="1" t="str">
        <f>IF(AND(TabelaClean14[[#This Row],[nivel_risco]]="Alto",TabelaClean14[[#This Row],[flag_inadimplente]]="Sim"),"Arriscado","Ok")</f>
        <v>Ok</v>
      </c>
      <c r="T237" s="26">
        <v>80000</v>
      </c>
      <c r="U237" s="81">
        <f>IF(AND(TabelaClean14[[#This Row],[analise_risco]]="Arriscado",TabelaClean14[[#This Row],[analise_credito]]="Reprovado"),0,IF(TabelaClean14[[#This Row],[status]]="Ativo",TabelaClean14[[#This Row],[valor_solicitado]]*1.08,0))</f>
        <v>86400</v>
      </c>
      <c r="W237" s="1"/>
      <c r="Y237" t="s">
        <v>142</v>
      </c>
      <c r="Z237" t="str">
        <f t="shared" si="3"/>
        <v>Norte</v>
      </c>
      <c r="AE237" t="s">
        <v>426</v>
      </c>
      <c r="AF237" t="str">
        <f>TEXT(AE237,"000\.000\.000\-00")</f>
        <v>000.000.242-00</v>
      </c>
      <c r="AH237" s="15" t="s">
        <v>127</v>
      </c>
      <c r="AJ237" s="22" t="s">
        <v>725</v>
      </c>
      <c r="AK237">
        <v>4000</v>
      </c>
      <c r="AM237" s="20">
        <v>29500</v>
      </c>
      <c r="AN237">
        <v>29500</v>
      </c>
      <c r="AO237">
        <v>29500</v>
      </c>
      <c r="BB237" s="26">
        <v>12400</v>
      </c>
      <c r="BC237" s="81">
        <f>IF(AND(TabelaClean14[[#This Row],[analise_risco]]="Arriscado",TabelaClean14[[#This Row],[analise_credito]]="Reprovado"),0,IF(TabelaClean14[[#This Row],[status]]="Ativo",TabelaClean14[[#This Row],[valor_solicitado]]*1.08,0))</f>
        <v>86400</v>
      </c>
    </row>
    <row r="238" spans="1:55">
      <c r="A238" s="24" t="s">
        <v>76</v>
      </c>
      <c r="B238" s="17" t="s">
        <v>406</v>
      </c>
      <c r="C238" s="25" t="s">
        <v>407</v>
      </c>
      <c r="D238" s="54">
        <v>25</v>
      </c>
      <c r="E238" s="30">
        <v>37137</v>
      </c>
      <c r="F238" s="24" t="str">
        <f>TabelaClean14[[#This Row],[CidadeCPF]]</f>
        <v>Ninho da Águia</v>
      </c>
      <c r="G238" s="17" t="str">
        <f>TabelaClean14[[#This Row],[RegiaoCPF]]</f>
        <v>Vale</v>
      </c>
      <c r="H238" s="17" t="str">
        <f>_xlfn.XLOOKUP(TabelaClean14[[#This Row],[cpf]],TabelaDirty[cpfclean],TabelaDirty[cidade])</f>
        <v>Ninho da Águia</v>
      </c>
      <c r="I238" s="17" t="str">
        <f>_xlfn.XLOOKUP(TabelaClean14[[#This Row],[cpf]],TabelaDirty[cpfclean],TabelaDirty[regiao])</f>
        <v>Vale</v>
      </c>
      <c r="J238" s="17" t="str">
        <f>PROPER(TabelaClean14[[#This Row],[Coluna1]])</f>
        <v>Vale</v>
      </c>
      <c r="K238" s="17" t="e">
        <f>_xlfn.TEXTBEFORE(TabelaClean14[[#This Row],[CidadeCPF]]," | ")</f>
        <v>#N/A</v>
      </c>
      <c r="L238" s="24" t="e">
        <f>_xlfn.TEXTAFTER(TabelaClean14[[#This Row],[CidadeCPF]]," | ")</f>
        <v>#N/A</v>
      </c>
      <c r="N238" s="78">
        <v>21000</v>
      </c>
      <c r="O238" s="1" t="s">
        <v>50</v>
      </c>
      <c r="P23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8" s="84">
        <v>34</v>
      </c>
      <c r="R238" s="1" t="str" cm="1">
        <f t="array" ref="R238">_xlfn.IFS(TabelaClean14[[#This Row],[qtde_batalhas]]&lt;=10,"Baixo",TabelaClean14[[#This Row],[qtde_batalhas]]&gt;=26,"Alto",TabelaClean14[[#This Row],[qtde_batalhas]]&lt;26,"Médio")</f>
        <v>Alto</v>
      </c>
      <c r="S238" s="1" t="str">
        <f>IF(AND(TabelaClean14[[#This Row],[nivel_risco]]="Alto",TabelaClean14[[#This Row],[flag_inadimplente]]="Sim"),"Arriscado","Ok")</f>
        <v>Ok</v>
      </c>
      <c r="T238" s="26">
        <v>7500</v>
      </c>
      <c r="U238" s="81">
        <f>IF(AND(TabelaClean14[[#This Row],[analise_risco]]="Arriscado",TabelaClean14[[#This Row],[analise_credito]]="Reprovado"),0,IF(TabelaClean14[[#This Row],[status]]="Ativo",TabelaClean14[[#This Row],[valor_solicitado]]*1.08,0))</f>
        <v>8100.0000000000009</v>
      </c>
      <c r="W238" s="1"/>
      <c r="Y238" t="s">
        <v>809</v>
      </c>
      <c r="Z238" t="str">
        <f t="shared" si="3"/>
        <v>Null</v>
      </c>
      <c r="AE238" t="s">
        <v>352</v>
      </c>
      <c r="AF238" t="str">
        <f>TEXT(AE238,"000\.000\.000\-00")</f>
        <v>000.000.244-00</v>
      </c>
      <c r="AH238" s="15" t="s">
        <v>302</v>
      </c>
      <c r="AJ238" s="22">
        <v>22100</v>
      </c>
      <c r="AK238">
        <v>22100</v>
      </c>
      <c r="AM238" s="21">
        <v>37000</v>
      </c>
      <c r="AN238">
        <v>37000</v>
      </c>
      <c r="AO238">
        <v>37000</v>
      </c>
      <c r="BC238" s="81">
        <f>IF(AND(TabelaClean14[[#This Row],[analise_risco]]="Arriscado",TabelaClean14[[#This Row],[analise_credito]]="Reprovado"),0,IF(TabelaClean14[[#This Row],[status]]="Ativo",TabelaClean14[[#This Row],[valor_solicitado]]*1.08,0))</f>
        <v>8100.0000000000009</v>
      </c>
    </row>
    <row r="239" spans="1:55">
      <c r="A239" s="24" t="s">
        <v>76</v>
      </c>
      <c r="B239" s="17" t="s">
        <v>274</v>
      </c>
      <c r="C239" s="25" t="s">
        <v>275</v>
      </c>
      <c r="D239" s="54">
        <v>41</v>
      </c>
      <c r="E239" s="30">
        <v>30944</v>
      </c>
      <c r="F239" s="24" t="str">
        <f>TabelaClean14[[#This Row],[CidadeCPF]]</f>
        <v>Ponta Tempestade</v>
      </c>
      <c r="G239" s="17" t="str">
        <f>TabelaClean14[[#This Row],[RegiaoCPF]]</f>
        <v>Terras Da Tempestade</v>
      </c>
      <c r="H239" s="17" t="str">
        <f>_xlfn.XLOOKUP(TabelaClean14[[#This Row],[cpf]],TabelaDirty[cpfclean],TabelaDirty[cidade])</f>
        <v>Ponta Tempestade</v>
      </c>
      <c r="I239" s="17" t="str">
        <f>_xlfn.XLOOKUP(TabelaClean14[[#This Row],[cpf]],TabelaDirty[cpfclean],TabelaDirty[regiao])</f>
        <v>Terras da Tempestade</v>
      </c>
      <c r="J239" s="17" t="str">
        <f>PROPER(TabelaClean14[[#This Row],[Coluna1]])</f>
        <v>Terras Da Tempestade</v>
      </c>
      <c r="K239" s="17" t="e">
        <f>_xlfn.TEXTBEFORE(TabelaClean14[[#This Row],[CidadeCPF]]," | ")</f>
        <v>#N/A</v>
      </c>
      <c r="L239" s="24" t="e">
        <f>_xlfn.TEXTAFTER(TabelaClean14[[#This Row],[CidadeCPF]]," | ")</f>
        <v>#N/A</v>
      </c>
      <c r="M239" s="26">
        <v>20000</v>
      </c>
      <c r="N239" s="78">
        <v>20500</v>
      </c>
      <c r="O239" s="1" t="s">
        <v>51</v>
      </c>
      <c r="P23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39" s="84">
        <v>8</v>
      </c>
      <c r="R239" s="1" t="str" cm="1">
        <f t="array" ref="R239">_xlfn.IFS(TabelaClean14[[#This Row],[qtde_batalhas]]&lt;=10,"Baixo",TabelaClean14[[#This Row],[qtde_batalhas]]&gt;=26,"Alto",TabelaClean14[[#This Row],[qtde_batalhas]]&lt;26,"Médio")</f>
        <v>Baixo</v>
      </c>
      <c r="S239" s="1" t="str">
        <f>IF(AND(TabelaClean14[[#This Row],[nivel_risco]]="Alto",TabelaClean14[[#This Row],[flag_inadimplente]]="Sim"),"Arriscado","Ok")</f>
        <v>Ok</v>
      </c>
      <c r="T239" s="26">
        <v>44000</v>
      </c>
      <c r="U239" s="81">
        <f>IF(AND(TabelaClean14[[#This Row],[analise_risco]]="Arriscado",TabelaClean14[[#This Row],[analise_credito]]="Reprovado"),0,IF(TabelaClean14[[#This Row],[status]]="Ativo",TabelaClean14[[#This Row],[valor_solicitado]]*1.08,0))</f>
        <v>47520</v>
      </c>
      <c r="W239" s="1"/>
      <c r="Y239" t="s">
        <v>155</v>
      </c>
      <c r="Z239" t="str">
        <f t="shared" si="3"/>
        <v>Norte</v>
      </c>
      <c r="AE239" t="s">
        <v>502</v>
      </c>
      <c r="AF239" t="str">
        <f>TEXT(AE239,"000\.000\.000\-00")</f>
        <v>000.000.245-00</v>
      </c>
      <c r="AH239" s="14" t="s">
        <v>339</v>
      </c>
      <c r="AI239" t="e" cm="1" vm="1">
        <f t="array" aca="1" ref="AI239" ca="1">_xlfn.TEXTSPLIT(AH239," | ")</f>
        <v>#VALUE!</v>
      </c>
      <c r="AJ239" s="22">
        <v>14100</v>
      </c>
      <c r="AK239">
        <v>14100</v>
      </c>
      <c r="AM239" s="20">
        <v>38500</v>
      </c>
      <c r="AN239">
        <v>38500</v>
      </c>
      <c r="AO239">
        <v>38500</v>
      </c>
      <c r="BB239" s="26">
        <v>20000</v>
      </c>
      <c r="BC239" s="81">
        <f>IF(AND(TabelaClean14[[#This Row],[analise_risco]]="Arriscado",TabelaClean14[[#This Row],[analise_credito]]="Reprovado"),0,IF(TabelaClean14[[#This Row],[status]]="Ativo",TabelaClean14[[#This Row],[valor_solicitado]]*1.08,0))</f>
        <v>47520</v>
      </c>
    </row>
    <row r="240" spans="1:55">
      <c r="A240" s="24" t="s">
        <v>76</v>
      </c>
      <c r="B240" s="17" t="s">
        <v>316</v>
      </c>
      <c r="C240" s="25" t="s">
        <v>317</v>
      </c>
      <c r="D240" s="54" t="s">
        <v>941</v>
      </c>
      <c r="E240" s="30">
        <v>37491</v>
      </c>
      <c r="F240" s="24" t="str">
        <f>TabelaClean14[[#This Row],[CidadeCPF]]</f>
        <v>Dorne</v>
      </c>
      <c r="G240" s="17" t="str">
        <f>TabelaClean14[[#This Row],[RegiaoCPF]]</f>
        <v>Dorne</v>
      </c>
      <c r="H240" s="17" t="str">
        <f>_xlfn.XLOOKUP(TabelaClean14[[#This Row],[cpf]],TabelaDirty[cpfclean],TabelaDirty[cidade])</f>
        <v>Dorne</v>
      </c>
      <c r="I240" s="17" t="str">
        <f>_xlfn.XLOOKUP(TabelaClean14[[#This Row],[cpf]],TabelaDirty[cpfclean],TabelaDirty[regiao])</f>
        <v>dorne</v>
      </c>
      <c r="J240" s="17" t="str">
        <f>PROPER(TabelaClean14[[#This Row],[Coluna1]])</f>
        <v>Dorne</v>
      </c>
      <c r="K240" s="17" t="e">
        <f>_xlfn.TEXTBEFORE(TabelaClean14[[#This Row],[CidadeCPF]]," | ")</f>
        <v>#N/A</v>
      </c>
      <c r="L240" s="24" t="e">
        <f>_xlfn.TEXTAFTER(TabelaClean14[[#This Row],[CidadeCPF]]," | ")</f>
        <v>#N/A</v>
      </c>
      <c r="M240" s="26">
        <v>8900</v>
      </c>
      <c r="N240" s="78">
        <v>19500</v>
      </c>
      <c r="O240" s="1" t="s">
        <v>51</v>
      </c>
      <c r="P24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0" s="84">
        <v>33</v>
      </c>
      <c r="R240" s="1" t="str" cm="1">
        <f t="array" ref="R240">_xlfn.IFS(TabelaClean14[[#This Row],[qtde_batalhas]]&lt;=10,"Baixo",TabelaClean14[[#This Row],[qtde_batalhas]]&gt;=26,"Alto",TabelaClean14[[#This Row],[qtde_batalhas]]&lt;26,"Médio")</f>
        <v>Alto</v>
      </c>
      <c r="S240" s="1" t="str">
        <f>IF(AND(TabelaClean14[[#This Row],[nivel_risco]]="Alto",TabelaClean14[[#This Row],[flag_inadimplente]]="Sim"),"Arriscado","Ok")</f>
        <v>Arriscado</v>
      </c>
      <c r="T240" s="26">
        <v>96500</v>
      </c>
      <c r="U240" s="81">
        <f>IF(AND(TabelaClean14[[#This Row],[analise_risco]]="Arriscado",TabelaClean14[[#This Row],[analise_credito]]="Reprovado"),0,IF(TabelaClean14[[#This Row],[status]]="Ativo",TabelaClean14[[#This Row],[valor_solicitado]]*1.08,0))</f>
        <v>104220</v>
      </c>
      <c r="W240" s="1"/>
      <c r="Y240" t="s">
        <v>809</v>
      </c>
      <c r="Z240" t="str">
        <f t="shared" si="3"/>
        <v>Null</v>
      </c>
      <c r="AE240" t="s">
        <v>764</v>
      </c>
      <c r="AF240" t="str">
        <f>TEXT(AE240,"000\.000\.000\-00")</f>
        <v>000.000.246-00</v>
      </c>
      <c r="AH240" s="15" t="s">
        <v>148</v>
      </c>
      <c r="AJ240" s="22">
        <v>25400</v>
      </c>
      <c r="AK240">
        <v>25400</v>
      </c>
      <c r="AM240" s="21">
        <v>4000</v>
      </c>
      <c r="AN240">
        <v>4000</v>
      </c>
      <c r="AO240">
        <v>4000</v>
      </c>
      <c r="BB240" s="26">
        <v>8900</v>
      </c>
      <c r="BC240" s="81">
        <f>IF(AND(TabelaClean14[[#This Row],[analise_risco]]="Arriscado",TabelaClean14[[#This Row],[analise_credito]]="Reprovado"),0,IF(TabelaClean14[[#This Row],[status]]="Ativo",TabelaClean14[[#This Row],[valor_solicitado]]*1.08,0))</f>
        <v>104220</v>
      </c>
    </row>
    <row r="241" spans="1:55">
      <c r="A241" s="24" t="s">
        <v>76</v>
      </c>
      <c r="B241" s="17" t="s">
        <v>757</v>
      </c>
      <c r="C241" s="25" t="s">
        <v>758</v>
      </c>
      <c r="D241" s="54">
        <v>29</v>
      </c>
      <c r="E241" s="30">
        <v>35392</v>
      </c>
      <c r="F241" s="24" t="str">
        <f>TabelaClean14[[#This Row],[CidadeCPF]]</f>
        <v>Atalaia da Água Cinzenta</v>
      </c>
      <c r="G241" s="17" t="str">
        <f>TabelaClean14[[#This Row],[RegiaoCPF]]</f>
        <v>Gargalo</v>
      </c>
      <c r="H241" s="17" t="str">
        <f>_xlfn.XLOOKUP(TabelaClean14[[#This Row],[cpf]],TabelaDirty[cpfclean],TabelaDirty[cidade])</f>
        <v>Atalaia da Água Cinzenta</v>
      </c>
      <c r="I241" s="17" t="s">
        <v>456</v>
      </c>
      <c r="J241" s="17" t="str">
        <f>PROPER(TabelaClean14[[#This Row],[Coluna1]])</f>
        <v>Gargalo</v>
      </c>
      <c r="K241" s="17" t="e">
        <f>_xlfn.TEXTBEFORE(TabelaClean14[[#This Row],[CidadeCPF]]," | ")</f>
        <v>#N/A</v>
      </c>
      <c r="L241" s="24" t="e">
        <f>_xlfn.TEXTAFTER(TabelaClean14[[#This Row],[CidadeCPF]]," | ")</f>
        <v>#N/A</v>
      </c>
      <c r="M241" s="26">
        <v>6400</v>
      </c>
      <c r="N241" s="78">
        <v>19500</v>
      </c>
      <c r="O241" s="1" t="s">
        <v>50</v>
      </c>
      <c r="P24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1" s="84">
        <v>30</v>
      </c>
      <c r="R241" s="1" t="str" cm="1">
        <f t="array" ref="R241">_xlfn.IFS(TabelaClean14[[#This Row],[qtde_batalhas]]&lt;=10,"Baixo",TabelaClean14[[#This Row],[qtde_batalhas]]&gt;=26,"Alto",TabelaClean14[[#This Row],[qtde_batalhas]]&lt;26,"Médio")</f>
        <v>Alto</v>
      </c>
      <c r="S241" s="1" t="str">
        <f>IF(AND(TabelaClean14[[#This Row],[nivel_risco]]="Alto",TabelaClean14[[#This Row],[flag_inadimplente]]="Sim"),"Arriscado","Ok")</f>
        <v>Ok</v>
      </c>
      <c r="T241" s="26">
        <v>51000</v>
      </c>
      <c r="U241" s="81">
        <f>IF(AND(TabelaClean14[[#This Row],[analise_risco]]="Arriscado",TabelaClean14[[#This Row],[analise_credito]]="Reprovado"),0,IF(TabelaClean14[[#This Row],[status]]="Ativo",TabelaClean14[[#This Row],[valor_solicitado]]*1.08,0))</f>
        <v>55080</v>
      </c>
      <c r="W241" s="1"/>
      <c r="Y241" t="s">
        <v>139</v>
      </c>
      <c r="Z241" t="str">
        <f t="shared" si="3"/>
        <v>Terras Fluviais</v>
      </c>
      <c r="AE241" t="s">
        <v>180</v>
      </c>
      <c r="AF241" t="str">
        <f>TEXT(AE241,"000\.000\.000\-00")</f>
        <v>000.000.247-00</v>
      </c>
      <c r="AH241" s="15" t="s">
        <v>89</v>
      </c>
      <c r="AJ241" s="22">
        <v>9600</v>
      </c>
      <c r="AK241">
        <v>9600</v>
      </c>
      <c r="AM241" s="20">
        <v>41000</v>
      </c>
      <c r="AN241">
        <v>41000</v>
      </c>
      <c r="AO241">
        <v>41000</v>
      </c>
      <c r="BB241" s="26">
        <v>6400</v>
      </c>
      <c r="BC241" s="81">
        <f>IF(AND(TabelaClean14[[#This Row],[analise_risco]]="Arriscado",TabelaClean14[[#This Row],[analise_credito]]="Reprovado"),0,IF(TabelaClean14[[#This Row],[status]]="Ativo",TabelaClean14[[#This Row],[valor_solicitado]]*1.08,0))</f>
        <v>55080</v>
      </c>
    </row>
    <row r="242" spans="1:55">
      <c r="A242" s="24" t="s">
        <v>76</v>
      </c>
      <c r="B242" s="17" t="s">
        <v>182</v>
      </c>
      <c r="C242" s="25" t="s">
        <v>923</v>
      </c>
      <c r="D242" s="54">
        <v>42</v>
      </c>
      <c r="E242" s="30">
        <v>30642</v>
      </c>
      <c r="F242" s="24" t="str">
        <f>TabelaClean14[[#This Row],[CidadeCPF]]</f>
        <v>Dorne</v>
      </c>
      <c r="G242" s="17" t="str">
        <f>TabelaClean14[[#This Row],[RegiaoCPF]]</f>
        <v>Dorne</v>
      </c>
      <c r="H242" s="17" t="str">
        <f>_xlfn.XLOOKUP(TabelaClean14[[#This Row],[cpf]],TabelaDirty[cpfclean],TabelaDirty[cidade])</f>
        <v>Dorne</v>
      </c>
      <c r="I242" s="17" t="str">
        <f>_xlfn.XLOOKUP(TabelaClean14[[#This Row],[cpf]],TabelaDirty[cpfclean],TabelaDirty[regiao])</f>
        <v>Dorne</v>
      </c>
      <c r="J242" s="17" t="str">
        <f>PROPER(TabelaClean14[[#This Row],[Coluna1]])</f>
        <v>Dorne</v>
      </c>
      <c r="K242" s="17" t="e">
        <f>_xlfn.TEXTBEFORE(TabelaClean14[[#This Row],[CidadeCPF]]," | ")</f>
        <v>#N/A</v>
      </c>
      <c r="L242" s="24" t="e">
        <f>_xlfn.TEXTAFTER(TabelaClean14[[#This Row],[CidadeCPF]]," | ")</f>
        <v>#N/A</v>
      </c>
      <c r="M242" s="26">
        <v>0</v>
      </c>
      <c r="N242" s="78">
        <v>19500</v>
      </c>
      <c r="O242" s="1" t="s">
        <v>50</v>
      </c>
      <c r="P24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2" s="84">
        <v>42</v>
      </c>
      <c r="R242" s="1" t="str" cm="1">
        <f t="array" ref="R242">_xlfn.IFS(TabelaClean14[[#This Row],[qtde_batalhas]]&lt;=10,"Baixo",TabelaClean14[[#This Row],[qtde_batalhas]]&gt;=26,"Alto",TabelaClean14[[#This Row],[qtde_batalhas]]&lt;26,"Médio")</f>
        <v>Alto</v>
      </c>
      <c r="S242" s="1" t="str">
        <f>IF(AND(TabelaClean14[[#This Row],[nivel_risco]]="Alto",TabelaClean14[[#This Row],[flag_inadimplente]]="Sim"),"Arriscado","Ok")</f>
        <v>Ok</v>
      </c>
      <c r="T242" s="26">
        <v>89500</v>
      </c>
      <c r="U242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  <c r="W242" s="1"/>
      <c r="Y242" t="s">
        <v>809</v>
      </c>
      <c r="Z242" t="str">
        <f t="shared" si="3"/>
        <v>Null</v>
      </c>
      <c r="AE242" t="s">
        <v>323</v>
      </c>
      <c r="AF242" t="str">
        <f>TEXT(AE242,"000\.000\.000\-00")</f>
        <v>000.000.248-00</v>
      </c>
      <c r="AH242" s="15" t="s">
        <v>343</v>
      </c>
      <c r="AI242" t="e" cm="1" vm="1">
        <f t="array" aca="1" ref="AI242" ca="1">_xlfn.TEXTSPLIT(AH242," | ")</f>
        <v>#VALUE!</v>
      </c>
      <c r="AJ242" s="22">
        <v>29000</v>
      </c>
      <c r="AK242">
        <v>29000</v>
      </c>
      <c r="AL242" t="s">
        <v>149</v>
      </c>
      <c r="AM242" s="21">
        <v>28500</v>
      </c>
      <c r="AN242">
        <v>28500</v>
      </c>
      <c r="AO242">
        <v>28500</v>
      </c>
      <c r="BB242" s="26">
        <v>0</v>
      </c>
      <c r="BC242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</row>
    <row r="243" spans="1:55">
      <c r="A243" s="24" t="s">
        <v>76</v>
      </c>
      <c r="B243" s="17" t="s">
        <v>441</v>
      </c>
      <c r="C243" s="25" t="s">
        <v>442</v>
      </c>
      <c r="D243" s="54">
        <v>73</v>
      </c>
      <c r="E243" s="30">
        <v>19363</v>
      </c>
      <c r="F243" s="24" t="str">
        <f>TabelaClean14[[#This Row],[CidadeCPF]]</f>
        <v>Jardim de Cima</v>
      </c>
      <c r="G243" s="17" t="str">
        <f>TabelaClean14[[#This Row],[RegiaoCPF]]</f>
        <v>Campina</v>
      </c>
      <c r="H243" s="17" t="str">
        <f>_xlfn.XLOOKUP(TabelaClean14[[#This Row],[cpf]],TabelaDirty[cpfclean],TabelaDirty[cidade])</f>
        <v>Jardim de Cima</v>
      </c>
      <c r="I243" s="17" t="str">
        <f>_xlfn.XLOOKUP(TabelaClean14[[#This Row],[cpf]],TabelaDirty[cpfclean],TabelaDirty[regiao])</f>
        <v>Campina</v>
      </c>
      <c r="J243" s="17" t="str">
        <f>PROPER(TabelaClean14[[#This Row],[Coluna1]])</f>
        <v>Campina</v>
      </c>
      <c r="K243" s="17" t="e">
        <f>_xlfn.TEXTBEFORE(TabelaClean14[[#This Row],[CidadeCPF]]," | ")</f>
        <v>#N/A</v>
      </c>
      <c r="L243" s="24" t="e">
        <f>_xlfn.TEXTAFTER(TabelaClean14[[#This Row],[CidadeCPF]]," | ")</f>
        <v>#N/A</v>
      </c>
      <c r="M243" s="26">
        <v>23000</v>
      </c>
      <c r="N243" s="78">
        <v>19000</v>
      </c>
      <c r="O243" s="1" t="s">
        <v>51</v>
      </c>
      <c r="P24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3" s="84">
        <v>0</v>
      </c>
      <c r="R243" s="1" t="str" cm="1">
        <f t="array" ref="R243">_xlfn.IFS(TabelaClean14[[#This Row],[qtde_batalhas]]&lt;=10,"Baixo",TabelaClean14[[#This Row],[qtde_batalhas]]&gt;=26,"Alto",TabelaClean14[[#This Row],[qtde_batalhas]]&lt;26,"Médio")</f>
        <v>Baixo</v>
      </c>
      <c r="S243" s="1" t="str">
        <f>IF(AND(TabelaClean14[[#This Row],[nivel_risco]]="Alto",TabelaClean14[[#This Row],[flag_inadimplente]]="Sim"),"Arriscado","Ok")</f>
        <v>Ok</v>
      </c>
      <c r="T243" s="26">
        <v>17000</v>
      </c>
      <c r="U243" s="81">
        <f>IF(AND(TabelaClean14[[#This Row],[analise_risco]]="Arriscado",TabelaClean14[[#This Row],[analise_credito]]="Reprovado"),0,IF(TabelaClean14[[#This Row],[status]]="Ativo",TabelaClean14[[#This Row],[valor_solicitado]]*1.08,0))</f>
        <v>18360</v>
      </c>
      <c r="W243" s="1"/>
      <c r="Y243" t="s">
        <v>809</v>
      </c>
      <c r="Z243" t="str">
        <f t="shared" si="3"/>
        <v>Null</v>
      </c>
      <c r="AE243" t="s">
        <v>186</v>
      </c>
      <c r="AF243" t="str">
        <f>TEXT(AE243,"000\.000\.000\-00")</f>
        <v>000.000.249-00</v>
      </c>
      <c r="AH243" s="15" t="s">
        <v>127</v>
      </c>
      <c r="AJ243" s="22" t="s">
        <v>487</v>
      </c>
      <c r="AK243">
        <v>17800</v>
      </c>
      <c r="AM243" s="20">
        <v>9000</v>
      </c>
      <c r="AN243">
        <v>9000</v>
      </c>
      <c r="AO243">
        <v>9000</v>
      </c>
      <c r="BB243" s="26">
        <v>23000</v>
      </c>
      <c r="BC243" s="81">
        <f>IF(AND(TabelaClean14[[#This Row],[analise_risco]]="Arriscado",TabelaClean14[[#This Row],[analise_credito]]="Reprovado"),0,IF(TabelaClean14[[#This Row],[status]]="Ativo",TabelaClean14[[#This Row],[valor_solicitado]]*1.08,0))</f>
        <v>18360</v>
      </c>
    </row>
    <row r="244" spans="1:55">
      <c r="A244" s="24" t="s">
        <v>76</v>
      </c>
      <c r="B244" s="17" t="s">
        <v>106</v>
      </c>
      <c r="C244" s="25" t="s">
        <v>107</v>
      </c>
      <c r="D244" s="54">
        <v>28</v>
      </c>
      <c r="E244" s="30">
        <v>35830</v>
      </c>
      <c r="F244" s="24" t="str">
        <f>TabelaClean14[[#This Row],[CidadeCPF]]</f>
        <v>Lannisporto</v>
      </c>
      <c r="G244" s="17" t="str">
        <f>TabelaClean14[[#This Row],[RegiaoCPF]]</f>
        <v>Oeste</v>
      </c>
      <c r="H244" s="17" t="str">
        <f>_xlfn.XLOOKUP(TabelaClean14[[#This Row],[cpf]],TabelaDirty[cpfclean],TabelaDirty[cidade])</f>
        <v>Lannisporto</v>
      </c>
      <c r="I244" s="17" t="str">
        <f>_xlfn.XLOOKUP(TabelaClean14[[#This Row],[cpf]],TabelaDirty[cpfclean],TabelaDirty[regiao])</f>
        <v>Oeste</v>
      </c>
      <c r="J244" s="17" t="str">
        <f>PROPER(TabelaClean14[[#This Row],[Coluna1]])</f>
        <v>Oeste</v>
      </c>
      <c r="K244" s="17" t="e">
        <f>_xlfn.TEXTBEFORE(TabelaClean14[[#This Row],[CidadeCPF]]," | ")</f>
        <v>#N/A</v>
      </c>
      <c r="L244" s="24" t="e">
        <f>_xlfn.TEXTAFTER(TabelaClean14[[#This Row],[CidadeCPF]]," | ")</f>
        <v>#N/A</v>
      </c>
      <c r="M244" s="26">
        <v>8600</v>
      </c>
      <c r="N244" s="78">
        <v>19000</v>
      </c>
      <c r="O244" s="1" t="s">
        <v>51</v>
      </c>
      <c r="P24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4" s="84">
        <v>4</v>
      </c>
      <c r="R244" s="1" t="str" cm="1">
        <f t="array" ref="R244">_xlfn.IFS(TabelaClean14[[#This Row],[qtde_batalhas]]&lt;=10,"Baixo",TabelaClean14[[#This Row],[qtde_batalhas]]&gt;=26,"Alto",TabelaClean14[[#This Row],[qtde_batalhas]]&lt;26,"Médio")</f>
        <v>Baixo</v>
      </c>
      <c r="S244" s="1" t="str">
        <f>IF(AND(TabelaClean14[[#This Row],[nivel_risco]]="Alto",TabelaClean14[[#This Row],[flag_inadimplente]]="Sim"),"Arriscado","Ok")</f>
        <v>Ok</v>
      </c>
      <c r="T244" s="26">
        <v>32500</v>
      </c>
      <c r="U244" s="81">
        <f>IF(AND(TabelaClean14[[#This Row],[analise_risco]]="Arriscado",TabelaClean14[[#This Row],[analise_credito]]="Reprovado"),0,IF(TabelaClean14[[#This Row],[status]]="Ativo",TabelaClean14[[#This Row],[valor_solicitado]]*1.08,0))</f>
        <v>35100</v>
      </c>
      <c r="W244" s="1"/>
      <c r="Y244" t="s">
        <v>149</v>
      </c>
      <c r="Z244" t="str">
        <f t="shared" si="3"/>
        <v>Campina</v>
      </c>
      <c r="AE244" t="s">
        <v>460</v>
      </c>
      <c r="AF244" t="str">
        <f>TEXT(AE244,"000\.000\.000\-00")</f>
        <v>000.000.250-00</v>
      </c>
      <c r="AH244" s="15" t="s">
        <v>83</v>
      </c>
      <c r="AJ244" s="22" t="s">
        <v>123</v>
      </c>
      <c r="AK244">
        <v>23000</v>
      </c>
      <c r="AM244" s="21">
        <v>19000</v>
      </c>
      <c r="AN244">
        <v>19000</v>
      </c>
      <c r="AO244">
        <v>19000</v>
      </c>
      <c r="BB244" s="26">
        <v>8600</v>
      </c>
      <c r="BC244" s="81">
        <f>IF(AND(TabelaClean14[[#This Row],[analise_risco]]="Arriscado",TabelaClean14[[#This Row],[analise_credito]]="Reprovado"),0,IF(TabelaClean14[[#This Row],[status]]="Ativo",TabelaClean14[[#This Row],[valor_solicitado]]*1.08,0))</f>
        <v>35100</v>
      </c>
    </row>
    <row r="245" spans="1:55">
      <c r="A245" s="24" t="s">
        <v>76</v>
      </c>
      <c r="B245" s="17" t="s">
        <v>768</v>
      </c>
      <c r="C245" s="25" t="s">
        <v>769</v>
      </c>
      <c r="D245" s="54">
        <v>43</v>
      </c>
      <c r="E245" s="30">
        <v>30437</v>
      </c>
      <c r="F245" s="24" t="str">
        <f>TabelaClean14[[#This Row],[CidadeCPF]]</f>
        <v>Porto Real</v>
      </c>
      <c r="G245" s="17" t="str">
        <f>TabelaClean14[[#This Row],[RegiaoCPF]]</f>
        <v>Terras Da Coroa</v>
      </c>
      <c r="H245" s="17" t="str">
        <f>_xlfn.XLOOKUP(TabelaClean14[[#This Row],[cpf]],TabelaDirty[cpfclean],TabelaDirty[cidade])</f>
        <v>Porto Real</v>
      </c>
      <c r="I245" s="17" t="str">
        <f>_xlfn.XLOOKUP(TabelaClean14[[#This Row],[cpf]],TabelaDirty[cpfclean],TabelaDirty[regiao])</f>
        <v>Terras da Coroa</v>
      </c>
      <c r="J245" s="17" t="str">
        <f>PROPER(TabelaClean14[[#This Row],[Coluna1]])</f>
        <v>Terras Da Coroa</v>
      </c>
      <c r="K245" s="17" t="e">
        <f>_xlfn.TEXTBEFORE(TabelaClean14[[#This Row],[CidadeCPF]]," | ")</f>
        <v>#N/A</v>
      </c>
      <c r="L245" s="24" t="e">
        <f>_xlfn.TEXTAFTER(TabelaClean14[[#This Row],[CidadeCPF]]," | ")</f>
        <v>#N/A</v>
      </c>
      <c r="M245" s="26">
        <v>14600</v>
      </c>
      <c r="N245" s="78">
        <v>18500</v>
      </c>
      <c r="O245" s="1" t="s">
        <v>51</v>
      </c>
      <c r="P24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5" s="84">
        <v>22</v>
      </c>
      <c r="R245" s="1" t="str" cm="1">
        <f t="array" ref="R245">_xlfn.IFS(TabelaClean14[[#This Row],[qtde_batalhas]]&lt;=10,"Baixo",TabelaClean14[[#This Row],[qtde_batalhas]]&gt;=26,"Alto",TabelaClean14[[#This Row],[qtde_batalhas]]&lt;26,"Médio")</f>
        <v>Médio</v>
      </c>
      <c r="S245" s="1" t="str">
        <f>IF(AND(TabelaClean14[[#This Row],[nivel_risco]]="Alto",TabelaClean14[[#This Row],[flag_inadimplente]]="Sim"),"Arriscado","Ok")</f>
        <v>Ok</v>
      </c>
      <c r="T245" s="26">
        <v>16500</v>
      </c>
      <c r="U245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  <c r="W245" s="1"/>
      <c r="Y245" t="s">
        <v>809</v>
      </c>
      <c r="Z245" t="str">
        <f t="shared" si="3"/>
        <v>Null</v>
      </c>
      <c r="AE245" t="s">
        <v>259</v>
      </c>
      <c r="AF245" t="str">
        <f>TEXT(AE245,"000\.000\.000\-00")</f>
        <v>000.000.251-00</v>
      </c>
      <c r="AH245" s="15" t="s">
        <v>154</v>
      </c>
      <c r="AJ245" s="22">
        <v>14300</v>
      </c>
      <c r="AK245">
        <v>14300</v>
      </c>
      <c r="AM245" s="20">
        <v>32500</v>
      </c>
      <c r="AN245">
        <v>32500</v>
      </c>
      <c r="AO245">
        <v>32500</v>
      </c>
      <c r="BB245" s="26">
        <v>14600</v>
      </c>
      <c r="BC245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</row>
    <row r="246" spans="1:55">
      <c r="A246" s="24" t="s">
        <v>76</v>
      </c>
      <c r="B246" s="17" t="s">
        <v>609</v>
      </c>
      <c r="C246" s="25" t="s">
        <v>942</v>
      </c>
      <c r="D246" s="54">
        <v>74</v>
      </c>
      <c r="E246" s="30">
        <v>19131</v>
      </c>
      <c r="F246" s="24" t="str">
        <f>TabelaClean14[[#This Row],[CidadeCPF]]</f>
        <v>Porto Real</v>
      </c>
      <c r="G246" s="17" t="str">
        <f>TabelaClean14[[#This Row],[RegiaoCPF]]</f>
        <v>Terras Da Coroa</v>
      </c>
      <c r="H246" s="17" t="str">
        <f>_xlfn.XLOOKUP(TabelaClean14[[#This Row],[cpf]],TabelaDirty[cpfclean],TabelaDirty[cidade])</f>
        <v>Porto Real</v>
      </c>
      <c r="I246" s="17" t="str">
        <f>_xlfn.XLOOKUP(TabelaClean14[[#This Row],[cpf]],TabelaDirty[cpfclean],TabelaDirty[regiao])</f>
        <v>terras da coroa</v>
      </c>
      <c r="J246" s="17" t="str">
        <f>PROPER(TabelaClean14[[#This Row],[Coluna1]])</f>
        <v>Terras Da Coroa</v>
      </c>
      <c r="K246" s="17" t="e">
        <f>_xlfn.TEXTBEFORE(TabelaClean14[[#This Row],[CidadeCPF]]," | ")</f>
        <v>#N/A</v>
      </c>
      <c r="L246" s="24" t="e">
        <f>_xlfn.TEXTAFTER(TabelaClean14[[#This Row],[CidadeCPF]]," | ")</f>
        <v>#N/A</v>
      </c>
      <c r="M246" s="26">
        <v>20700</v>
      </c>
      <c r="N246" s="78">
        <v>17500</v>
      </c>
      <c r="O246" s="1" t="s">
        <v>51</v>
      </c>
      <c r="P24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6" s="84">
        <v>35</v>
      </c>
      <c r="R246" s="1" t="str" cm="1">
        <f t="array" ref="R246">_xlfn.IFS(TabelaClean14[[#This Row],[qtde_batalhas]]&lt;=10,"Baixo",TabelaClean14[[#This Row],[qtde_batalhas]]&gt;=26,"Alto",TabelaClean14[[#This Row],[qtde_batalhas]]&lt;26,"Médio")</f>
        <v>Alto</v>
      </c>
      <c r="S246" s="1" t="str">
        <f>IF(AND(TabelaClean14[[#This Row],[nivel_risco]]="Alto",TabelaClean14[[#This Row],[flag_inadimplente]]="Sim"),"Arriscado","Ok")</f>
        <v>Arriscado</v>
      </c>
      <c r="T246" s="26">
        <v>65000</v>
      </c>
      <c r="U246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  <c r="W246" s="1"/>
      <c r="Y246" t="s">
        <v>809</v>
      </c>
      <c r="Z246" t="str">
        <f t="shared" si="3"/>
        <v>Null</v>
      </c>
      <c r="AE246" t="s">
        <v>798</v>
      </c>
      <c r="AF246" t="str">
        <f>TEXT(AE246,"000\.000\.000\-00")</f>
        <v>000.000.253-00</v>
      </c>
      <c r="AH246" s="15" t="s">
        <v>112</v>
      </c>
      <c r="AJ246" s="22">
        <v>18300</v>
      </c>
      <c r="AK246">
        <v>18300</v>
      </c>
      <c r="AM246" s="21">
        <v>41000</v>
      </c>
      <c r="AN246">
        <v>41000</v>
      </c>
      <c r="AO246">
        <v>41000</v>
      </c>
      <c r="BB246" s="26">
        <v>20700</v>
      </c>
      <c r="BC246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</row>
    <row r="247" spans="1:55">
      <c r="A247" s="24" t="s">
        <v>76</v>
      </c>
      <c r="B247" s="17" t="s">
        <v>310</v>
      </c>
      <c r="C247" s="25" t="s">
        <v>943</v>
      </c>
      <c r="D247" s="54">
        <v>68</v>
      </c>
      <c r="E247" s="30">
        <v>21162</v>
      </c>
      <c r="F247" s="24" t="str">
        <f>TabelaClean14[[#This Row],[CidadeCPF]]</f>
        <v>Castelo Negro</v>
      </c>
      <c r="G247" s="17" t="str">
        <f>TabelaClean14[[#This Row],[RegiaoCPF]]</f>
        <v>Norte</v>
      </c>
      <c r="H247" s="17" t="str">
        <f>_xlfn.XLOOKUP(TabelaClean14[[#This Row],[cpf]],TabelaDirty[cpfclean],TabelaDirty[cidade])</f>
        <v>Castelo Negro</v>
      </c>
      <c r="I247" s="17" t="str">
        <f>_xlfn.XLOOKUP(TabelaClean14[[#This Row],[cpf]],TabelaDirty[cpfclean],TabelaDirty[regiao])</f>
        <v>Norte</v>
      </c>
      <c r="J247" s="17" t="str">
        <f>PROPER(TabelaClean14[[#This Row],[Coluna1]])</f>
        <v>Norte</v>
      </c>
      <c r="K247" s="17" t="e">
        <f>_xlfn.TEXTBEFORE(TabelaClean14[[#This Row],[CidadeCPF]]," | ")</f>
        <v>#N/A</v>
      </c>
      <c r="L247" s="24" t="e">
        <f>_xlfn.TEXTAFTER(TabelaClean14[[#This Row],[CidadeCPF]]," | ")</f>
        <v>#N/A</v>
      </c>
      <c r="M247" s="26">
        <v>11500</v>
      </c>
      <c r="N247" s="78">
        <v>17500</v>
      </c>
      <c r="O247" s="1" t="s">
        <v>50</v>
      </c>
      <c r="P24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7" s="84">
        <v>19</v>
      </c>
      <c r="R247" s="1" t="str" cm="1">
        <f t="array" ref="R247">_xlfn.IFS(TabelaClean14[[#This Row],[qtde_batalhas]]&lt;=10,"Baixo",TabelaClean14[[#This Row],[qtde_batalhas]]&gt;=26,"Alto",TabelaClean14[[#This Row],[qtde_batalhas]]&lt;26,"Médio")</f>
        <v>Médio</v>
      </c>
      <c r="S247" s="1" t="str">
        <f>IF(AND(TabelaClean14[[#This Row],[nivel_risco]]="Alto",TabelaClean14[[#This Row],[flag_inadimplente]]="Sim"),"Arriscado","Ok")</f>
        <v>Ok</v>
      </c>
      <c r="T247" s="26">
        <v>26000</v>
      </c>
      <c r="U247" s="81">
        <f>IF(AND(TabelaClean14[[#This Row],[analise_risco]]="Arriscado",TabelaClean14[[#This Row],[analise_credito]]="Reprovado"),0,IF(TabelaClean14[[#This Row],[status]]="Ativo",TabelaClean14[[#This Row],[valor_solicitado]]*1.08,0))</f>
        <v>28080.000000000004</v>
      </c>
      <c r="W247" s="1"/>
      <c r="Y247" t="s">
        <v>809</v>
      </c>
      <c r="Z247" t="str">
        <f t="shared" si="3"/>
        <v>Null</v>
      </c>
      <c r="AE247" t="s">
        <v>470</v>
      </c>
      <c r="AF247" t="str">
        <f>TEXT(AE247,"000\.000\.000\-00")</f>
        <v>000.000.254-00</v>
      </c>
      <c r="AH247" s="15" t="s">
        <v>79</v>
      </c>
      <c r="AJ247" s="22">
        <v>26400</v>
      </c>
      <c r="AK247">
        <v>26400</v>
      </c>
      <c r="AM247" s="20">
        <v>9500</v>
      </c>
      <c r="AN247">
        <v>9500</v>
      </c>
      <c r="AO247">
        <v>9500</v>
      </c>
      <c r="BB247" s="26">
        <v>11500</v>
      </c>
      <c r="BC247" s="81">
        <f>IF(AND(TabelaClean14[[#This Row],[analise_risco]]="Arriscado",TabelaClean14[[#This Row],[analise_credito]]="Reprovado"),0,IF(TabelaClean14[[#This Row],[status]]="Ativo",TabelaClean14[[#This Row],[valor_solicitado]]*1.08,0))</f>
        <v>28080.000000000004</v>
      </c>
    </row>
    <row r="248" spans="1:55">
      <c r="A248" s="24" t="s">
        <v>76</v>
      </c>
      <c r="B248" s="17" t="s">
        <v>944</v>
      </c>
      <c r="C248" s="25" t="s">
        <v>945</v>
      </c>
      <c r="D248" s="54">
        <v>31</v>
      </c>
      <c r="E248" s="30">
        <v>34914</v>
      </c>
      <c r="F248" s="17" t="s">
        <v>112</v>
      </c>
      <c r="G248" s="17" t="s">
        <v>113</v>
      </c>
      <c r="H248" s="24">
        <v>20800</v>
      </c>
      <c r="I248" s="24">
        <v>17500</v>
      </c>
      <c r="J248" s="24" t="s">
        <v>50</v>
      </c>
      <c r="K248" s="24"/>
      <c r="L248" s="24"/>
      <c r="M248" s="26">
        <v>58000</v>
      </c>
      <c r="N248" s="78">
        <v>17500</v>
      </c>
      <c r="O248" s="1" t="s">
        <v>50</v>
      </c>
      <c r="P248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248" s="76" t="str" cm="1">
        <f t="array" ref="R248">_xlfn.IFS(TabelaClean14[[#This Row],[qtde_batalhas]]&lt;=10,"Baixo",TabelaClean14[[#This Row],[qtde_batalhas]]&gt;=26,"Alto",TabelaClean14[[#This Row],[qtde_batalhas]]&lt;26,"Médio")</f>
        <v>Baixo</v>
      </c>
      <c r="S248" s="76" t="str">
        <f>IF(AND(TabelaClean14[[#This Row],[nivel_risco]]="Alto",TabelaClean14[[#This Row],[flag_inadimplente]]="Sim"),"Arriscado","Ok")</f>
        <v>Ok</v>
      </c>
      <c r="T248" s="26">
        <v>58000</v>
      </c>
      <c r="U248" s="81">
        <f>IF(AND(TabelaClean14[[#This Row],[analise_risco]]="Arriscado",TabelaClean14[[#This Row],[analise_credito]]="Reprovado"),0,IF(TabelaClean14[[#This Row],[status]]="Ativo",TabelaClean14[[#This Row],[valor_solicitado]]*1.08,0))</f>
        <v>62640.000000000007</v>
      </c>
      <c r="W248" s="1"/>
      <c r="Y248" t="s">
        <v>809</v>
      </c>
      <c r="Z248" t="str">
        <f t="shared" si="3"/>
        <v>Null</v>
      </c>
      <c r="AE248" t="s">
        <v>595</v>
      </c>
      <c r="AF248" t="str">
        <f>TEXT(AE248,"000\.000\.000\-00")</f>
        <v>000.000.256-00</v>
      </c>
      <c r="AH248" s="15" t="s">
        <v>242</v>
      </c>
      <c r="AJ248" s="22">
        <v>20600</v>
      </c>
      <c r="AK248">
        <v>20600</v>
      </c>
      <c r="AM248" s="21">
        <v>52500</v>
      </c>
      <c r="AN248">
        <v>52500</v>
      </c>
      <c r="AO248">
        <v>52500</v>
      </c>
      <c r="BB248" s="26">
        <v>58000</v>
      </c>
      <c r="BC248" s="81">
        <f>IF(AND(TabelaClean14[[#This Row],[analise_risco]]="Arriscado",TabelaClean14[[#This Row],[analise_credito]]="Reprovado"),0,IF(TabelaClean14[[#This Row],[status]]="Ativo",TabelaClean14[[#This Row],[valor_solicitado]]*1.08,0))</f>
        <v>62640.000000000007</v>
      </c>
    </row>
    <row r="249" spans="1:55">
      <c r="A249" s="24" t="s">
        <v>76</v>
      </c>
      <c r="B249" s="17" t="s">
        <v>944</v>
      </c>
      <c r="C249" s="25" t="s">
        <v>945</v>
      </c>
      <c r="D249" s="54">
        <v>31</v>
      </c>
      <c r="E249" s="30">
        <v>34914</v>
      </c>
      <c r="F249" s="25" t="s">
        <v>112</v>
      </c>
      <c r="G249" s="25" t="s">
        <v>113</v>
      </c>
      <c r="H249" s="24">
        <v>20800</v>
      </c>
      <c r="I249" s="24">
        <v>17500</v>
      </c>
      <c r="J249" s="24" t="s">
        <v>50</v>
      </c>
      <c r="K249" s="24">
        <v>35</v>
      </c>
      <c r="L249" s="24"/>
      <c r="M249" s="26">
        <v>58000</v>
      </c>
      <c r="N249" s="78">
        <v>17500</v>
      </c>
      <c r="O249" s="1" t="s">
        <v>50</v>
      </c>
      <c r="P249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49" s="84">
        <v>35</v>
      </c>
      <c r="R249" s="76" t="str" cm="1">
        <f t="array" ref="R249">_xlfn.IFS(TabelaClean14[[#This Row],[qtde_batalhas]]&lt;=10,"Baixo",TabelaClean14[[#This Row],[qtde_batalhas]]&gt;=26,"Alto",TabelaClean14[[#This Row],[qtde_batalhas]]&lt;26,"Médio")</f>
        <v>Alto</v>
      </c>
      <c r="S249" s="76" t="str">
        <f>IF(AND(TabelaClean14[[#This Row],[nivel_risco]]="Alto",TabelaClean14[[#This Row],[flag_inadimplente]]="Sim"),"Arriscado","Ok")</f>
        <v>Ok</v>
      </c>
      <c r="T249" s="26">
        <v>58000</v>
      </c>
      <c r="U249" s="81">
        <f>IF(AND(TabelaClean14[[#This Row],[analise_risco]]="Arriscado",TabelaClean14[[#This Row],[analise_credito]]="Reprovado"),0,IF(TabelaClean14[[#This Row],[status]]="Ativo",TabelaClean14[[#This Row],[valor_solicitado]]*1.08,0))</f>
        <v>62640.000000000007</v>
      </c>
      <c r="W249" s="1"/>
      <c r="Y249" t="s">
        <v>809</v>
      </c>
      <c r="Z249" t="str">
        <f t="shared" si="3"/>
        <v>Null</v>
      </c>
      <c r="AE249" t="s">
        <v>468</v>
      </c>
      <c r="AF249" t="str">
        <f>TEXT(AE249,"000\.000\.000\-00")</f>
        <v>000.000.258-00</v>
      </c>
      <c r="AH249" s="15" t="s">
        <v>172</v>
      </c>
      <c r="AJ249" s="22">
        <v>29700</v>
      </c>
      <c r="AK249">
        <v>29700</v>
      </c>
      <c r="AM249" s="20">
        <v>12000</v>
      </c>
      <c r="AN249">
        <v>12000</v>
      </c>
      <c r="AO249">
        <v>12000</v>
      </c>
      <c r="BB249" s="26">
        <v>58000</v>
      </c>
      <c r="BC249" s="81">
        <f>IF(AND(TabelaClean14[[#This Row],[analise_risco]]="Arriscado",TabelaClean14[[#This Row],[analise_credito]]="Reprovado"),0,IF(TabelaClean14[[#This Row],[status]]="Ativo",TabelaClean14[[#This Row],[valor_solicitado]]*1.08,0))</f>
        <v>62640.000000000007</v>
      </c>
    </row>
    <row r="250" spans="1:55">
      <c r="A250" s="24" t="s">
        <v>76</v>
      </c>
      <c r="B250" s="17" t="s">
        <v>609</v>
      </c>
      <c r="C250" t="str">
        <f>_xlfn.XLOOKUP(TabelaClean14[[#This Row],[nome]],Base_Dirty!$B:$B,Base_Dirty!D:D)</f>
        <v>000.000.193-00</v>
      </c>
      <c r="D250" s="54">
        <f>_xlfn.XLOOKUP(TabelaClean14[[#This Row],[nome]],Base_Dirty!B:B,Base_Dirty!E:E)</f>
        <v>74</v>
      </c>
      <c r="E250" s="30">
        <v>74</v>
      </c>
      <c r="F250" s="50" t="s">
        <v>223</v>
      </c>
      <c r="G250" s="25" t="s">
        <v>413</v>
      </c>
      <c r="H250" s="24" t="s">
        <v>331</v>
      </c>
      <c r="I250" s="24">
        <v>20700</v>
      </c>
      <c r="J250" s="24">
        <v>17500</v>
      </c>
      <c r="K250" s="24" t="s">
        <v>50</v>
      </c>
      <c r="L250" s="24">
        <v>35</v>
      </c>
      <c r="M250" s="23">
        <f>_xlfn.XLOOKUP(TabelaClean14[[#This Row],[nome]],Base_Dirty!$B:$B,Base_Dirty!I:I)</f>
        <v>20700</v>
      </c>
      <c r="N250" s="78">
        <f>_xlfn.XLOOKUP(TabelaClean14[[#This Row],[nome]],Base_Dirty!$B:$B,Base_Dirty!J:J)</f>
        <v>17500</v>
      </c>
      <c r="O250" s="79" t="s">
        <v>50</v>
      </c>
      <c r="P25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0" s="84">
        <f>_xlfn.XLOOKUP(TabelaClean14[[#This Row],[nome]],Base_Dirty!$B:$B,Base_Dirty!L:L)</f>
        <v>35</v>
      </c>
      <c r="R250" s="76" t="str" cm="1">
        <f t="array" ref="R250">_xlfn.IFS(TabelaClean14[[#This Row],[qtde_batalhas]]&lt;=10,"Baixo",TabelaClean14[[#This Row],[qtde_batalhas]]&gt;=26,"Alto",TabelaClean14[[#This Row],[qtde_batalhas]]&lt;26,"Médio")</f>
        <v>Alto</v>
      </c>
      <c r="S250" s="76" t="str">
        <f>IF(AND(TabelaClean14[[#This Row],[nivel_risco]]="Alto",TabelaClean14[[#This Row],[flag_inadimplente]]="Sim"),"Arriscado","Ok")</f>
        <v>Ok</v>
      </c>
      <c r="T250" s="26">
        <f>_xlfn.XLOOKUP(TabelaClean14[[#This Row],[nome]],Base_Dirty!$B:$B,Base_Dirty!O:O)</f>
        <v>65000</v>
      </c>
      <c r="U250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  <c r="W250" s="1"/>
      <c r="Y250" t="s">
        <v>809</v>
      </c>
      <c r="Z250" t="str">
        <f t="shared" si="3"/>
        <v>Null</v>
      </c>
      <c r="AE250" t="s">
        <v>442</v>
      </c>
      <c r="AF250" t="str">
        <f>TEXT(AE250,"000\.000\.000\-00")</f>
        <v>000.000.259-00</v>
      </c>
      <c r="AH250" s="15" t="s">
        <v>183</v>
      </c>
      <c r="AJ250" s="22" t="s">
        <v>671</v>
      </c>
      <c r="AK250">
        <v>27300</v>
      </c>
      <c r="AM250" s="21">
        <v>1500</v>
      </c>
      <c r="AN250">
        <v>1500</v>
      </c>
      <c r="AO250">
        <v>1500</v>
      </c>
      <c r="BB250" s="23">
        <f>_xlfn.XLOOKUP(TabelaClean14[[#This Row],[nome]],Base_Dirty!$B:$B,Base_Dirty!AX:AX)</f>
        <v>0</v>
      </c>
      <c r="BC250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</row>
    <row r="251" spans="1:55">
      <c r="A251" s="24" t="s">
        <v>76</v>
      </c>
      <c r="B251" s="17" t="s">
        <v>609</v>
      </c>
      <c r="C251" t="str">
        <f>_xlfn.XLOOKUP(TabelaClean14[[#This Row],[nome]],Base_Dirty!$B:$B,Base_Dirty!D:D)</f>
        <v>000.000.193-00</v>
      </c>
      <c r="D251" s="54">
        <f>_xlfn.XLOOKUP(TabelaClean14[[#This Row],[nome]],Base_Dirty!B:B,Base_Dirty!E:E)</f>
        <v>74</v>
      </c>
      <c r="E251" s="30">
        <v>74</v>
      </c>
      <c r="F251" s="50" t="s">
        <v>223</v>
      </c>
      <c r="G251" s="25" t="s">
        <v>413</v>
      </c>
      <c r="H251" s="24" t="s">
        <v>331</v>
      </c>
      <c r="I251" s="24">
        <v>20700</v>
      </c>
      <c r="J251" s="24">
        <v>17500</v>
      </c>
      <c r="K251" s="24" t="s">
        <v>50</v>
      </c>
      <c r="L251" s="24">
        <v>35</v>
      </c>
      <c r="M251" s="23">
        <f>_xlfn.XLOOKUP(TabelaClean14[[#This Row],[nome]],Base_Dirty!$B:$B,Base_Dirty!I:I)</f>
        <v>20700</v>
      </c>
      <c r="N251" s="78">
        <f>_xlfn.XLOOKUP(TabelaClean14[[#This Row],[nome]],Base_Dirty!$B:$B,Base_Dirty!J:J)</f>
        <v>17500</v>
      </c>
      <c r="O251" s="79" t="s">
        <v>50</v>
      </c>
      <c r="P25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1" s="84">
        <f>_xlfn.XLOOKUP(TabelaClean14[[#This Row],[nome]],Base_Dirty!$B:$B,Base_Dirty!L:L)</f>
        <v>35</v>
      </c>
      <c r="R251" s="76" t="str" cm="1">
        <f t="array" ref="R251">_xlfn.IFS(TabelaClean14[[#This Row],[qtde_batalhas]]&lt;=10,"Baixo",TabelaClean14[[#This Row],[qtde_batalhas]]&gt;=26,"Alto",TabelaClean14[[#This Row],[qtde_batalhas]]&lt;26,"Médio")</f>
        <v>Alto</v>
      </c>
      <c r="S251" s="76" t="str">
        <f>IF(AND(TabelaClean14[[#This Row],[nivel_risco]]="Alto",TabelaClean14[[#This Row],[flag_inadimplente]]="Sim"),"Arriscado","Ok")</f>
        <v>Ok</v>
      </c>
      <c r="T251" s="26">
        <f>_xlfn.XLOOKUP(TabelaClean14[[#This Row],[nome]],Base_Dirty!$B:$B,Base_Dirty!O:O)</f>
        <v>65000</v>
      </c>
      <c r="U251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  <c r="W251" s="1"/>
      <c r="Y251" t="s">
        <v>155</v>
      </c>
      <c r="Z251" t="str">
        <f t="shared" si="3"/>
        <v>Norte</v>
      </c>
      <c r="AE251" t="s">
        <v>580</v>
      </c>
      <c r="AF251" t="str">
        <f>TEXT(AE251,"000\.000\.000\-00")</f>
        <v>000.000.260-00</v>
      </c>
      <c r="AH251" s="15" t="s">
        <v>154</v>
      </c>
      <c r="AJ251" s="22">
        <v>8500</v>
      </c>
      <c r="AK251">
        <v>8500</v>
      </c>
      <c r="AM251" s="20">
        <v>39500</v>
      </c>
      <c r="AN251">
        <v>39500</v>
      </c>
      <c r="AO251">
        <v>39500</v>
      </c>
      <c r="BB251" s="23">
        <f>_xlfn.XLOOKUP(TabelaClean14[[#This Row],[nome]],Base_Dirty!$B:$B,Base_Dirty!AX:AX)</f>
        <v>0</v>
      </c>
      <c r="BC251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</row>
    <row r="252" spans="1:55">
      <c r="A252" s="24" t="s">
        <v>76</v>
      </c>
      <c r="B252" s="17" t="s">
        <v>469</v>
      </c>
      <c r="C252" s="25" t="s">
        <v>470</v>
      </c>
      <c r="D252" s="54">
        <v>51</v>
      </c>
      <c r="E252" s="30">
        <v>27505</v>
      </c>
      <c r="F252" s="17" t="str">
        <f>TabelaClean14[[#This Row],[CidadeClean]]</f>
        <v>Atalaia da Água Cinzenta</v>
      </c>
      <c r="G252" s="17" t="str">
        <f>TabelaClean14[[#This Row],[RegiaoClean]]</f>
        <v>Gargalo</v>
      </c>
      <c r="H252" s="17" t="str">
        <f>_xlfn.XLOOKUP(TabelaClean14[[#This Row],[cpf]],TabelaDirty[cpfclean],TabelaDirty[cidade])</f>
        <v>Atalaia da Água Cinzenta | Gargalo</v>
      </c>
      <c r="I252" s="17">
        <f>_xlfn.XLOOKUP(TabelaClean14[[#This Row],[cpf]],TabelaDirty[cpfclean],TabelaDirty[regiao])</f>
        <v>0</v>
      </c>
      <c r="J252" s="17" t="s">
        <v>456</v>
      </c>
      <c r="K252" s="17" t="str">
        <f>_xlfn.TEXTBEFORE(TabelaClean14[[#This Row],[CidadeCPF]]," | ")</f>
        <v>Atalaia da Água Cinzenta</v>
      </c>
      <c r="L252" s="24" t="str">
        <f>_xlfn.TEXTAFTER(TabelaClean14[[#This Row],[CidadeCPF]]," | ")</f>
        <v>Gargalo</v>
      </c>
      <c r="M252" s="26">
        <v>7200</v>
      </c>
      <c r="N252" s="78">
        <v>17500</v>
      </c>
      <c r="O252" s="1" t="s">
        <v>51</v>
      </c>
      <c r="P25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2" s="84">
        <v>40</v>
      </c>
      <c r="R252" s="1" t="str" cm="1">
        <f t="array" ref="R252">_xlfn.IFS(TabelaClean14[[#This Row],[qtde_batalhas]]&lt;=10,"Baixo",TabelaClean14[[#This Row],[qtde_batalhas]]&gt;=26,"Alto",TabelaClean14[[#This Row],[qtde_batalhas]]&lt;26,"Médio")</f>
        <v>Alto</v>
      </c>
      <c r="S252" s="1" t="str">
        <f>IF(AND(TabelaClean14[[#This Row],[nivel_risco]]="Alto",TabelaClean14[[#This Row],[flag_inadimplente]]="Sim"),"Arriscado","Ok")</f>
        <v>Arriscado</v>
      </c>
      <c r="T252" s="26">
        <v>5500</v>
      </c>
      <c r="U252" s="81">
        <f>IF(AND(TabelaClean14[[#This Row],[analise_risco]]="Arriscado",TabelaClean14[[#This Row],[analise_credito]]="Reprovado"),0,IF(TabelaClean14[[#This Row],[status]]="Ativo",TabelaClean14[[#This Row],[valor_solicitado]]*1.08,0))</f>
        <v>5940</v>
      </c>
      <c r="W252" s="1"/>
      <c r="Y252" t="s">
        <v>456</v>
      </c>
      <c r="Z252" t="str">
        <f t="shared" si="3"/>
        <v>Gargalo</v>
      </c>
      <c r="AE252" t="s">
        <v>720</v>
      </c>
      <c r="AF252" t="str">
        <f>TEXT(AE252,"000\.000\.000\-00")</f>
        <v>000.000.261-00</v>
      </c>
      <c r="AH252" s="15" t="s">
        <v>223</v>
      </c>
      <c r="AJ252" s="22">
        <v>18100</v>
      </c>
      <c r="AK252">
        <v>18100</v>
      </c>
      <c r="AM252" s="21">
        <v>0</v>
      </c>
      <c r="AN252">
        <v>0</v>
      </c>
      <c r="AO252">
        <v>0</v>
      </c>
      <c r="BB252" s="26">
        <v>7200</v>
      </c>
      <c r="BC252" s="81">
        <f>IF(AND(TabelaClean14[[#This Row],[analise_risco]]="Arriscado",TabelaClean14[[#This Row],[analise_credito]]="Reprovado"),0,IF(TabelaClean14[[#This Row],[status]]="Ativo",TabelaClean14[[#This Row],[valor_solicitado]]*1.08,0))</f>
        <v>5940</v>
      </c>
    </row>
    <row r="253" spans="1:55">
      <c r="A253" s="24" t="s">
        <v>76</v>
      </c>
      <c r="B253" s="17" t="s">
        <v>341</v>
      </c>
      <c r="C253" s="25" t="s">
        <v>342</v>
      </c>
      <c r="D253" s="54">
        <v>34</v>
      </c>
      <c r="E253" s="30">
        <v>33835</v>
      </c>
      <c r="F253" s="17" t="str">
        <f>TabelaClean14[[#This Row],[CidadeClean]]</f>
        <v>Jardim de Cima</v>
      </c>
      <c r="G253" s="17" t="str">
        <f>TabelaClean14[[#This Row],[RegiaoClean]]</f>
        <v>Campina</v>
      </c>
      <c r="H253" s="17" t="str">
        <f>_xlfn.XLOOKUP(TabelaClean14[[#This Row],[cpf]],TabelaDirty[cpfclean],TabelaDirty[cidade])</f>
        <v>Jardim de Cima | Campina</v>
      </c>
      <c r="I253" s="17">
        <f>_xlfn.XLOOKUP(TabelaClean14[[#This Row],[cpf]],TabelaDirty[cpfclean],TabelaDirty[regiao])</f>
        <v>0</v>
      </c>
      <c r="J253" s="17" t="s">
        <v>149</v>
      </c>
      <c r="K253" s="17" t="str">
        <f>_xlfn.TEXTBEFORE(TabelaClean14[[#This Row],[CidadeCPF]]," | ")</f>
        <v>Jardim de Cima</v>
      </c>
      <c r="L253" s="24" t="str">
        <f>_xlfn.TEXTAFTER(TabelaClean14[[#This Row],[CidadeCPF]]," | ")</f>
        <v>Campina</v>
      </c>
      <c r="M253" s="26">
        <v>5100</v>
      </c>
      <c r="N253" s="78">
        <v>17000</v>
      </c>
      <c r="O253" s="1" t="s">
        <v>50</v>
      </c>
      <c r="P25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3" s="84">
        <v>3</v>
      </c>
      <c r="R253" s="1" t="str" cm="1">
        <f t="array" ref="R253">_xlfn.IFS(TabelaClean14[[#This Row],[qtde_batalhas]]&lt;=10,"Baixo",TabelaClean14[[#This Row],[qtde_batalhas]]&gt;=26,"Alto",TabelaClean14[[#This Row],[qtde_batalhas]]&lt;26,"Médio")</f>
        <v>Baixo</v>
      </c>
      <c r="S253" s="1" t="str">
        <f>IF(AND(TabelaClean14[[#This Row],[nivel_risco]]="Alto",TabelaClean14[[#This Row],[flag_inadimplente]]="Sim"),"Arriscado","Ok")</f>
        <v>Ok</v>
      </c>
      <c r="T253" s="26">
        <v>4500</v>
      </c>
      <c r="U253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  <c r="W253" s="1"/>
      <c r="Y253" t="s">
        <v>809</v>
      </c>
      <c r="Z253" t="str">
        <f t="shared" si="3"/>
        <v>Null</v>
      </c>
      <c r="AE253" t="s">
        <v>675</v>
      </c>
      <c r="AF253" t="str">
        <f>TEXT(AE253,"000\.000\.000\-00")</f>
        <v>000.000.263-00</v>
      </c>
      <c r="AH253" s="15" t="s">
        <v>103</v>
      </c>
      <c r="AJ253" s="22">
        <v>21700</v>
      </c>
      <c r="AK253">
        <v>21700</v>
      </c>
      <c r="AM253" s="20">
        <v>31000</v>
      </c>
      <c r="AN253">
        <v>31000</v>
      </c>
      <c r="AO253">
        <v>31000</v>
      </c>
      <c r="BB253" s="26">
        <v>5100</v>
      </c>
      <c r="BC253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</row>
    <row r="254" spans="1:55">
      <c r="A254" s="24" t="s">
        <v>76</v>
      </c>
      <c r="B254" s="17" t="s">
        <v>702</v>
      </c>
      <c r="C254" s="25" t="s">
        <v>703</v>
      </c>
      <c r="D254" s="54">
        <v>19</v>
      </c>
      <c r="E254" s="30">
        <v>39016</v>
      </c>
      <c r="F254" s="24" t="str">
        <f>TabelaClean14[[#This Row],[CidadeCPF]]</f>
        <v>Pyke</v>
      </c>
      <c r="G254" s="17" t="str">
        <f>TabelaClean14[[#This Row],[RegiaoCPF]]</f>
        <v>Ilhas De Ferro</v>
      </c>
      <c r="H254" s="17" t="str">
        <f>_xlfn.XLOOKUP(TabelaClean14[[#This Row],[cpf]],TabelaDirty[cpfclean],TabelaDirty[cidade])</f>
        <v>Pyke</v>
      </c>
      <c r="I254" s="17" t="str">
        <f>_xlfn.XLOOKUP(TabelaClean14[[#This Row],[cpf]],TabelaDirty[cpfclean],TabelaDirty[regiao])</f>
        <v>ILHAS DE FERRO</v>
      </c>
      <c r="J254" s="17" t="str">
        <f>PROPER(TabelaClean14[[#This Row],[Coluna1]])</f>
        <v>Ilhas De Ferro</v>
      </c>
      <c r="K254" s="17" t="e">
        <f>_xlfn.TEXTBEFORE(TabelaClean14[[#This Row],[CidadeCPF]]," | ")</f>
        <v>#N/A</v>
      </c>
      <c r="L254" s="24" t="e">
        <f>_xlfn.TEXTAFTER(TabelaClean14[[#This Row],[CidadeCPF]]," | ")</f>
        <v>#N/A</v>
      </c>
      <c r="M254" s="26">
        <v>14900</v>
      </c>
      <c r="N254" s="78">
        <v>17000</v>
      </c>
      <c r="O254" s="1" t="s">
        <v>50</v>
      </c>
      <c r="P25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4" s="84">
        <v>20</v>
      </c>
      <c r="R254" s="1" t="str" cm="1">
        <f t="array" ref="R254">_xlfn.IFS(TabelaClean14[[#This Row],[qtde_batalhas]]&lt;=10,"Baixo",TabelaClean14[[#This Row],[qtde_batalhas]]&gt;=26,"Alto",TabelaClean14[[#This Row],[qtde_batalhas]]&lt;26,"Médio")</f>
        <v>Médio</v>
      </c>
      <c r="S254" s="1" t="str">
        <f>IF(AND(TabelaClean14[[#This Row],[nivel_risco]]="Alto",TabelaClean14[[#This Row],[flag_inadimplente]]="Sim"),"Arriscado","Ok")</f>
        <v>Ok</v>
      </c>
      <c r="T254" s="26">
        <v>29500</v>
      </c>
      <c r="U254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  <c r="W254" s="1"/>
      <c r="Y254" t="s">
        <v>142</v>
      </c>
      <c r="Z254" t="str">
        <f t="shared" si="3"/>
        <v>Norte</v>
      </c>
      <c r="AE254" t="s">
        <v>614</v>
      </c>
      <c r="AF254" t="str">
        <f>TEXT(AE254,"000\.000\.000\-00")</f>
        <v>000.000.265-00</v>
      </c>
      <c r="AH254" s="15" t="s">
        <v>103</v>
      </c>
      <c r="AJ254" s="22">
        <v>20500</v>
      </c>
      <c r="AK254">
        <v>20500</v>
      </c>
      <c r="AM254" s="21">
        <v>0</v>
      </c>
      <c r="AN254">
        <v>0</v>
      </c>
      <c r="AO254">
        <v>0</v>
      </c>
      <c r="BB254" s="26">
        <v>14900</v>
      </c>
      <c r="BC254" s="81">
        <f>IF(AND(TabelaClean14[[#This Row],[analise_risco]]="Arriscado",TabelaClean14[[#This Row],[analise_credito]]="Reprovado"),0,IF(TabelaClean14[[#This Row],[status]]="Ativo",TabelaClean14[[#This Row],[valor_solicitado]]*1.08,0))</f>
        <v>31860.000000000004</v>
      </c>
    </row>
    <row r="255" spans="1:55">
      <c r="A255" s="24" t="s">
        <v>76</v>
      </c>
      <c r="B255" s="17" t="s">
        <v>739</v>
      </c>
      <c r="C255" s="25" t="s">
        <v>740</v>
      </c>
      <c r="D255" s="54">
        <v>68</v>
      </c>
      <c r="E255" s="30">
        <v>21145</v>
      </c>
      <c r="F255" s="24" t="str">
        <f>TabelaClean14[[#This Row],[CidadeCPF]]</f>
        <v>Ponta Tempestade</v>
      </c>
      <c r="G255" s="17" t="str">
        <f>TabelaClean14[[#This Row],[RegiaoCPF]]</f>
        <v>Terras Da Tempestade</v>
      </c>
      <c r="H255" s="17" t="str">
        <f>_xlfn.XLOOKUP(TabelaClean14[[#This Row],[cpf]],TabelaDirty[cpfclean],TabelaDirty[cidade])</f>
        <v>Ponta Tempestade</v>
      </c>
      <c r="I255" s="17" t="str">
        <f>_xlfn.XLOOKUP(TabelaClean14[[#This Row],[cpf]],TabelaDirty[cpfclean],TabelaDirty[regiao])</f>
        <v>Terras da Tempestade</v>
      </c>
      <c r="J255" s="17" t="str">
        <f>PROPER(TabelaClean14[[#This Row],[Coluna1]])</f>
        <v>Terras Da Tempestade</v>
      </c>
      <c r="K255" s="17" t="e">
        <f>_xlfn.TEXTBEFORE(TabelaClean14[[#This Row],[CidadeCPF]]," | ")</f>
        <v>#N/A</v>
      </c>
      <c r="L255" s="24" t="e">
        <f>_xlfn.TEXTAFTER(TabelaClean14[[#This Row],[CidadeCPF]]," | ")</f>
        <v>#N/A</v>
      </c>
      <c r="M255" s="26">
        <v>24500</v>
      </c>
      <c r="N255" s="78">
        <v>16500</v>
      </c>
      <c r="O255" s="1" t="s">
        <v>51</v>
      </c>
      <c r="P25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5" s="84">
        <v>22</v>
      </c>
      <c r="R255" s="1" t="str" cm="1">
        <f t="array" ref="R255">_xlfn.IFS(TabelaClean14[[#This Row],[qtde_batalhas]]&lt;=10,"Baixo",TabelaClean14[[#This Row],[qtde_batalhas]]&gt;=26,"Alto",TabelaClean14[[#This Row],[qtde_batalhas]]&lt;26,"Médio")</f>
        <v>Médio</v>
      </c>
      <c r="S255" s="1" t="str">
        <f>IF(AND(TabelaClean14[[#This Row],[nivel_risco]]="Alto",TabelaClean14[[#This Row],[flag_inadimplente]]="Sim"),"Arriscado","Ok")</f>
        <v>Ok</v>
      </c>
      <c r="T255" s="26">
        <v>34500</v>
      </c>
      <c r="U255" s="81">
        <f>IF(AND(TabelaClean14[[#This Row],[analise_risco]]="Arriscado",TabelaClean14[[#This Row],[analise_credito]]="Reprovado"),0,IF(TabelaClean14[[#This Row],[status]]="Ativo",TabelaClean14[[#This Row],[valor_solicitado]]*1.08,0))</f>
        <v>37260</v>
      </c>
      <c r="W255" s="1"/>
      <c r="Y255" t="s">
        <v>809</v>
      </c>
      <c r="Z255" t="str">
        <f t="shared" si="3"/>
        <v>Null</v>
      </c>
      <c r="AE255" t="s">
        <v>588</v>
      </c>
      <c r="AF255" t="str">
        <f>TEXT(AE255,"000\.000\.000\-00")</f>
        <v>000.000.266-00</v>
      </c>
      <c r="AH255" s="15" t="s">
        <v>223</v>
      </c>
      <c r="AJ255" s="22">
        <v>21300</v>
      </c>
      <c r="AK255">
        <v>21300</v>
      </c>
      <c r="AM255" s="20">
        <v>79500</v>
      </c>
      <c r="AN255">
        <v>79500</v>
      </c>
      <c r="AO255">
        <v>79500</v>
      </c>
      <c r="BB255" s="26">
        <v>24500</v>
      </c>
      <c r="BC255" s="81">
        <f>IF(AND(TabelaClean14[[#This Row],[analise_risco]]="Arriscado",TabelaClean14[[#This Row],[analise_credito]]="Reprovado"),0,IF(TabelaClean14[[#This Row],[status]]="Ativo",TabelaClean14[[#This Row],[valor_solicitado]]*1.08,0))</f>
        <v>37260</v>
      </c>
    </row>
    <row r="256" spans="1:55">
      <c r="A256" s="24" t="s">
        <v>76</v>
      </c>
      <c r="B256" s="17" t="s">
        <v>301</v>
      </c>
      <c r="C256" s="25" t="s">
        <v>821</v>
      </c>
      <c r="D256" s="54">
        <v>64</v>
      </c>
      <c r="E256" s="30">
        <v>22836</v>
      </c>
      <c r="F256" s="24" t="str">
        <f>TabelaClean14[[#This Row],[CidadeCPF]]</f>
        <v>Solar do Entardecer</v>
      </c>
      <c r="G256" s="17" t="str">
        <f>TabelaClean14[[#This Row],[RegiaoCPF]]</f>
        <v>Terras Da Tempestade</v>
      </c>
      <c r="H256" s="17" t="str">
        <f>_xlfn.XLOOKUP(TabelaClean14[[#This Row],[cpf]],TabelaDirty[cpfclean],TabelaDirty[cidade])</f>
        <v>Solar do Entardecer</v>
      </c>
      <c r="I256" s="17" t="str">
        <f>_xlfn.XLOOKUP(TabelaClean14[[#This Row],[cpf]],TabelaDirty[cpfclean],TabelaDirty[regiao])</f>
        <v>Terras Da Tempestade</v>
      </c>
      <c r="J256" s="17" t="str">
        <f>PROPER(TabelaClean14[[#This Row],[Coluna1]])</f>
        <v>Terras Da Tempestade</v>
      </c>
      <c r="K256" s="17" t="e">
        <f>_xlfn.TEXTBEFORE(TabelaClean14[[#This Row],[CidadeCPF]]," | ")</f>
        <v>#N/A</v>
      </c>
      <c r="L256" s="24" t="e">
        <f>_xlfn.TEXTAFTER(TabelaClean14[[#This Row],[CidadeCPF]]," | ")</f>
        <v>#N/A</v>
      </c>
      <c r="M256" s="26">
        <v>24300</v>
      </c>
      <c r="N256" s="78">
        <v>16500</v>
      </c>
      <c r="O256" s="1" t="s">
        <v>51</v>
      </c>
      <c r="P25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6" s="84">
        <v>24</v>
      </c>
      <c r="R256" s="1" t="str" cm="1">
        <f t="array" ref="R256">_xlfn.IFS(TabelaClean14[[#This Row],[qtde_batalhas]]&lt;=10,"Baixo",TabelaClean14[[#This Row],[qtde_batalhas]]&gt;=26,"Alto",TabelaClean14[[#This Row],[qtde_batalhas]]&lt;26,"Médio")</f>
        <v>Médio</v>
      </c>
      <c r="S256" s="1" t="str">
        <f>IF(AND(TabelaClean14[[#This Row],[nivel_risco]]="Alto",TabelaClean14[[#This Row],[flag_inadimplente]]="Sim"),"Arriscado","Ok")</f>
        <v>Ok</v>
      </c>
      <c r="T256" s="26">
        <v>57000</v>
      </c>
      <c r="U256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  <c r="W256" s="1"/>
      <c r="Y256" t="s">
        <v>809</v>
      </c>
      <c r="Z256" t="str">
        <f t="shared" si="3"/>
        <v>Null</v>
      </c>
      <c r="AE256" t="s">
        <v>795</v>
      </c>
      <c r="AF256" t="str">
        <f>TEXT(AE256,"000\.000\.000\-00")</f>
        <v>000.000.269-00</v>
      </c>
      <c r="AH256" s="15" t="s">
        <v>127</v>
      </c>
      <c r="AJ256" s="22" t="s">
        <v>184</v>
      </c>
      <c r="AK256">
        <v>0</v>
      </c>
      <c r="AM256" s="21">
        <v>19500</v>
      </c>
      <c r="AN256">
        <v>19500</v>
      </c>
      <c r="AO256">
        <v>19500</v>
      </c>
      <c r="BB256" s="26">
        <v>24300</v>
      </c>
      <c r="BC256" s="81">
        <f>IF(AND(TabelaClean14[[#This Row],[analise_risco]]="Arriscado",TabelaClean14[[#This Row],[analise_credito]]="Reprovado"),0,IF(TabelaClean14[[#This Row],[status]]="Ativo",TabelaClean14[[#This Row],[valor_solicitado]]*1.08,0))</f>
        <v>61560.000000000007</v>
      </c>
    </row>
    <row r="257" spans="1:55">
      <c r="A257" s="24" t="s">
        <v>76</v>
      </c>
      <c r="B257" s="17" t="s">
        <v>726</v>
      </c>
      <c r="C257" s="25" t="s">
        <v>847</v>
      </c>
      <c r="D257" s="54">
        <v>44</v>
      </c>
      <c r="E257" s="30">
        <v>29991</v>
      </c>
      <c r="F257" s="24" t="str">
        <f>TabelaClean14[[#This Row],[CidadeCPF]]</f>
        <v>Porto Real</v>
      </c>
      <c r="G257" s="17" t="str">
        <f>TabelaClean14[[#This Row],[RegiaoCPF]]</f>
        <v>Terra Da Coroa</v>
      </c>
      <c r="H257" s="17" t="str">
        <f>_xlfn.XLOOKUP(TabelaClean14[[#This Row],[cpf]],TabelaDirty[cpfclean],TabelaDirty[cidade])</f>
        <v>Porto Real</v>
      </c>
      <c r="I257" s="17" t="s">
        <v>946</v>
      </c>
      <c r="J257" s="17" t="str">
        <f>PROPER(TabelaClean14[[#This Row],[Coluna1]])</f>
        <v>Terra Da Coroa</v>
      </c>
      <c r="K257" s="17" t="e">
        <f>_xlfn.TEXTBEFORE(TabelaClean14[[#This Row],[CidadeCPF]]," | ")</f>
        <v>#N/A</v>
      </c>
      <c r="L257" s="24" t="e">
        <f>_xlfn.TEXTAFTER(TabelaClean14[[#This Row],[CidadeCPF]]," | ")</f>
        <v>#N/A</v>
      </c>
      <c r="M257" s="26">
        <v>6700</v>
      </c>
      <c r="N257" s="78">
        <v>16500</v>
      </c>
      <c r="O257" s="1" t="s">
        <v>51</v>
      </c>
      <c r="P25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7" s="84">
        <v>38</v>
      </c>
      <c r="R257" s="1" t="str" cm="1">
        <f t="array" ref="R257">_xlfn.IFS(TabelaClean14[[#This Row],[qtde_batalhas]]&lt;=10,"Baixo",TabelaClean14[[#This Row],[qtde_batalhas]]&gt;=26,"Alto",TabelaClean14[[#This Row],[qtde_batalhas]]&lt;26,"Médio")</f>
        <v>Alto</v>
      </c>
      <c r="S257" s="1" t="str">
        <f>IF(AND(TabelaClean14[[#This Row],[nivel_risco]]="Alto",TabelaClean14[[#This Row],[flag_inadimplente]]="Sim"),"Arriscado","Ok")</f>
        <v>Arriscado</v>
      </c>
      <c r="T257" s="26">
        <v>15500</v>
      </c>
      <c r="U257" s="81">
        <f>IF(AND(TabelaClean14[[#This Row],[analise_risco]]="Arriscado",TabelaClean14[[#This Row],[analise_credito]]="Reprovado"),0,IF(TabelaClean14[[#This Row],[status]]="Ativo",TabelaClean14[[#This Row],[valor_solicitado]]*1.08,0))</f>
        <v>16740</v>
      </c>
      <c r="W257" s="1"/>
      <c r="Y257" t="s">
        <v>135</v>
      </c>
      <c r="Z257" t="str">
        <f t="shared" si="3"/>
        <v>Terras Da Tempestade</v>
      </c>
      <c r="AE257" t="s">
        <v>249</v>
      </c>
      <c r="AF257" t="str">
        <f>TEXT(AE257,"000\.000\.000\-00")</f>
        <v>000.000.270-00</v>
      </c>
      <c r="AH257" s="15" t="s">
        <v>210</v>
      </c>
      <c r="AJ257" s="22">
        <v>7100</v>
      </c>
      <c r="AK257">
        <v>7100</v>
      </c>
      <c r="AM257" s="20">
        <v>58000</v>
      </c>
      <c r="AN257">
        <v>58000</v>
      </c>
      <c r="AO257">
        <v>58000</v>
      </c>
      <c r="BB257" s="26">
        <v>6700</v>
      </c>
      <c r="BC257" s="81">
        <f>IF(AND(TabelaClean14[[#This Row],[analise_risco]]="Arriscado",TabelaClean14[[#This Row],[analise_credito]]="Reprovado"),0,IF(TabelaClean14[[#This Row],[status]]="Ativo",TabelaClean14[[#This Row],[valor_solicitado]]*1.08,0))</f>
        <v>16740</v>
      </c>
    </row>
    <row r="258" spans="1:55">
      <c r="A258" s="24" t="s">
        <v>76</v>
      </c>
      <c r="B258" s="17" t="s">
        <v>238</v>
      </c>
      <c r="C258" s="25" t="s">
        <v>239</v>
      </c>
      <c r="D258" s="54">
        <v>70</v>
      </c>
      <c r="E258" s="30">
        <v>20570</v>
      </c>
      <c r="F258" s="24" t="str">
        <f>TabelaClean14[[#This Row],[CidadeCPF]]</f>
        <v>Braavos</v>
      </c>
      <c r="G258" s="17" t="str">
        <f>TabelaClean14[[#This Row],[RegiaoCPF]]</f>
        <v>Essos</v>
      </c>
      <c r="H258" s="17" t="str">
        <f>_xlfn.XLOOKUP(TabelaClean14[[#This Row],[cpf]],TabelaDirty[cpfclean],TabelaDirty[cidade])</f>
        <v>Braavos</v>
      </c>
      <c r="I258" s="17" t="str">
        <f>_xlfn.XLOOKUP(TabelaClean14[[#This Row],[cpf]],TabelaDirty[cpfclean],TabelaDirty[regiao])</f>
        <v>Essos</v>
      </c>
      <c r="J258" s="17" t="str">
        <f>PROPER(TabelaClean14[[#This Row],[Coluna1]])</f>
        <v>Essos</v>
      </c>
      <c r="K258" s="17" t="e">
        <f>_xlfn.TEXTBEFORE(TabelaClean14[[#This Row],[CidadeCPF]]," | ")</f>
        <v>#N/A</v>
      </c>
      <c r="L258" s="24" t="e">
        <f>_xlfn.TEXTAFTER(TabelaClean14[[#This Row],[CidadeCPF]]," | ")</f>
        <v>#N/A</v>
      </c>
      <c r="M258" s="26">
        <v>16300</v>
      </c>
      <c r="N258" s="78">
        <v>16500</v>
      </c>
      <c r="O258" s="1" t="s">
        <v>50</v>
      </c>
      <c r="P25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8" s="84">
        <v>25</v>
      </c>
      <c r="R258" s="1" t="str" cm="1">
        <f t="array" ref="R258">_xlfn.IFS(TabelaClean14[[#This Row],[qtde_batalhas]]&lt;=10,"Baixo",TabelaClean14[[#This Row],[qtde_batalhas]]&gt;=26,"Alto",TabelaClean14[[#This Row],[qtde_batalhas]]&lt;26,"Médio")</f>
        <v>Médio</v>
      </c>
      <c r="S258" s="1" t="str">
        <f>IF(AND(TabelaClean14[[#This Row],[nivel_risco]]="Alto",TabelaClean14[[#This Row],[flag_inadimplente]]="Sim"),"Arriscado","Ok")</f>
        <v>Ok</v>
      </c>
      <c r="T258" s="26">
        <v>65500</v>
      </c>
      <c r="U258" s="81">
        <f>IF(AND(TabelaClean14[[#This Row],[analise_risco]]="Arriscado",TabelaClean14[[#This Row],[analise_credito]]="Reprovado"),0,IF(TabelaClean14[[#This Row],[status]]="Ativo",TabelaClean14[[#This Row],[valor_solicitado]]*1.08,0))</f>
        <v>70740</v>
      </c>
      <c r="W258" s="1"/>
      <c r="Y258" t="s">
        <v>809</v>
      </c>
      <c r="Z258" t="str">
        <f t="shared" si="3"/>
        <v>Null</v>
      </c>
      <c r="AE258" t="s">
        <v>117</v>
      </c>
      <c r="AF258" t="str">
        <f>TEXT(AE258,"000\.000\.000\-00")</f>
        <v>000.000.274-00</v>
      </c>
      <c r="AH258" s="15" t="s">
        <v>172</v>
      </c>
      <c r="AJ258" s="22">
        <v>21200</v>
      </c>
      <c r="AK258">
        <v>21200</v>
      </c>
      <c r="AM258" s="21">
        <v>75000</v>
      </c>
      <c r="AN258">
        <v>75000</v>
      </c>
      <c r="AO258">
        <v>75000</v>
      </c>
      <c r="BB258" s="26">
        <v>16300</v>
      </c>
      <c r="BC258" s="81">
        <f>IF(AND(TabelaClean14[[#This Row],[analise_risco]]="Arriscado",TabelaClean14[[#This Row],[analise_credito]]="Reprovado"),0,IF(TabelaClean14[[#This Row],[status]]="Ativo",TabelaClean14[[#This Row],[valor_solicitado]]*1.08,0))</f>
        <v>70740</v>
      </c>
    </row>
    <row r="259" spans="1:55">
      <c r="A259" s="29" t="s">
        <v>809</v>
      </c>
      <c r="B259" s="17" t="s">
        <v>786</v>
      </c>
      <c r="C259" s="25" t="s">
        <v>787</v>
      </c>
      <c r="D259" s="54">
        <v>54</v>
      </c>
      <c r="E259" s="30">
        <v>26403</v>
      </c>
      <c r="F259" s="24" t="str">
        <f>TabelaClean14[[#This Row],[CidadeCPF]]</f>
        <v>Monte Chifre</v>
      </c>
      <c r="G259" s="17" t="str">
        <f>TabelaClean14[[#This Row],[RegiaoCPF]]</f>
        <v>Campina</v>
      </c>
      <c r="H259" s="17" t="str">
        <f>_xlfn.XLOOKUP(TabelaClean14[[#This Row],[cpf]],TabelaDirty[cpfclean],TabelaDirty[cidade])</f>
        <v>Monte Chifre</v>
      </c>
      <c r="I259" s="17" t="str">
        <f>_xlfn.XLOOKUP(TabelaClean14[[#This Row],[cpf]],TabelaDirty[cpfclean],TabelaDirty[regiao])</f>
        <v>Campina</v>
      </c>
      <c r="J259" s="17" t="str">
        <f>PROPER(TabelaClean14[[#This Row],[Coluna1]])</f>
        <v>Campina</v>
      </c>
      <c r="K259" s="17" t="e">
        <f>_xlfn.TEXTBEFORE(TabelaClean14[[#This Row],[CidadeCPF]]," | ")</f>
        <v>#N/A</v>
      </c>
      <c r="L259" s="24" t="e">
        <f>_xlfn.TEXTAFTER(TabelaClean14[[#This Row],[CidadeCPF]]," | ")</f>
        <v>#N/A</v>
      </c>
      <c r="M259" s="26">
        <v>20800</v>
      </c>
      <c r="N259" s="78">
        <v>16000</v>
      </c>
      <c r="O259" s="1" t="s">
        <v>51</v>
      </c>
      <c r="P25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59" s="84">
        <v>32</v>
      </c>
      <c r="R259" s="1" t="str" cm="1">
        <f t="array" ref="R259">_xlfn.IFS(TabelaClean14[[#This Row],[qtde_batalhas]]&lt;=10,"Baixo",TabelaClean14[[#This Row],[qtde_batalhas]]&gt;=26,"Alto",TabelaClean14[[#This Row],[qtde_batalhas]]&lt;26,"Médio")</f>
        <v>Alto</v>
      </c>
      <c r="S259" s="1" t="str">
        <f>IF(AND(TabelaClean14[[#This Row],[nivel_risco]]="Alto",TabelaClean14[[#This Row],[flag_inadimplente]]="Sim"),"Arriscado","Ok")</f>
        <v>Arriscado</v>
      </c>
      <c r="T259" s="26">
        <v>31500</v>
      </c>
      <c r="U25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59" s="1"/>
      <c r="Y259" t="s">
        <v>809</v>
      </c>
      <c r="Z259" t="str">
        <f t="shared" si="3"/>
        <v>Null</v>
      </c>
      <c r="AE259" t="s">
        <v>711</v>
      </c>
      <c r="AF259" t="str">
        <f>TEXT(AE259,"000\.000\.000\-00")</f>
        <v>000.000.275-00</v>
      </c>
      <c r="AH259" s="15" t="s">
        <v>210</v>
      </c>
      <c r="AJ259" s="22">
        <v>10500</v>
      </c>
      <c r="AK259">
        <v>10500</v>
      </c>
      <c r="AM259" s="20">
        <v>0</v>
      </c>
      <c r="AN259">
        <v>0</v>
      </c>
      <c r="AO259">
        <v>0</v>
      </c>
      <c r="BB259" s="26">
        <v>20800</v>
      </c>
      <c r="BC25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60" spans="1:55">
      <c r="A260" s="24" t="s">
        <v>76</v>
      </c>
      <c r="B260" s="17" t="s">
        <v>338</v>
      </c>
      <c r="C260" s="25" t="s">
        <v>947</v>
      </c>
      <c r="D260" s="54">
        <v>66</v>
      </c>
      <c r="E260" s="30">
        <v>22151</v>
      </c>
      <c r="F260" s="17" t="str">
        <f>TabelaClean14[[#This Row],[CidadeClean]]</f>
        <v>Fosso Cailin</v>
      </c>
      <c r="G260" s="17" t="str">
        <f>TabelaClean14[[#This Row],[RegiaoClean]]</f>
        <v>Norte</v>
      </c>
      <c r="H260" s="17" t="str">
        <f>_xlfn.XLOOKUP(TabelaClean14[[#This Row],[cpf]],TabelaDirty[cpfclean],TabelaDirty[cidade])</f>
        <v>Fosso Cailin | Norte</v>
      </c>
      <c r="I260" s="17">
        <f>_xlfn.XLOOKUP(TabelaClean14[[#This Row],[cpf]],TabelaDirty[cpfclean],TabelaDirty[regiao])</f>
        <v>0</v>
      </c>
      <c r="J260" s="17" t="s">
        <v>142</v>
      </c>
      <c r="K260" s="17" t="str">
        <f>_xlfn.TEXTBEFORE(TabelaClean14[[#This Row],[CidadeCPF]]," | ")</f>
        <v>Fosso Cailin</v>
      </c>
      <c r="L260" s="24" t="str">
        <f>_xlfn.TEXTAFTER(TabelaClean14[[#This Row],[CidadeCPF]]," | ")</f>
        <v>Norte</v>
      </c>
      <c r="M260" s="26">
        <v>28800</v>
      </c>
      <c r="N260" s="78">
        <v>16000</v>
      </c>
      <c r="O260" s="1" t="s">
        <v>51</v>
      </c>
      <c r="P26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0" s="84">
        <v>44</v>
      </c>
      <c r="R260" s="1" t="str" cm="1">
        <f t="array" ref="R260">_xlfn.IFS(TabelaClean14[[#This Row],[qtde_batalhas]]&lt;=10,"Baixo",TabelaClean14[[#This Row],[qtde_batalhas]]&gt;=26,"Alto",TabelaClean14[[#This Row],[qtde_batalhas]]&lt;26,"Médio")</f>
        <v>Alto</v>
      </c>
      <c r="S260" s="1" t="str">
        <f>IF(AND(TabelaClean14[[#This Row],[nivel_risco]]="Alto",TabelaClean14[[#This Row],[flag_inadimplente]]="Sim"),"Arriscado","Ok")</f>
        <v>Arriscado</v>
      </c>
      <c r="T260" s="26">
        <v>59000</v>
      </c>
      <c r="U260" s="81">
        <f>IF(AND(TabelaClean14[[#This Row],[analise_risco]]="Arriscado",TabelaClean14[[#This Row],[analise_credito]]="Reprovado"),0,IF(TabelaClean14[[#This Row],[status]]="Ativo",TabelaClean14[[#This Row],[valor_solicitado]]*1.08,0))</f>
        <v>63720.000000000007</v>
      </c>
      <c r="W260" s="1"/>
      <c r="Y260" t="s">
        <v>176</v>
      </c>
      <c r="Z260" t="str">
        <f t="shared" ref="Z260:Z323" si="4">PROPER(Y260)</f>
        <v>Norte</v>
      </c>
      <c r="AE260" t="s">
        <v>335</v>
      </c>
      <c r="AF260" t="str">
        <f>TEXT(AE260,"000\.000\.000\-00")</f>
        <v>000.000.276-00</v>
      </c>
      <c r="AH260" s="15" t="s">
        <v>148</v>
      </c>
      <c r="AJ260" s="22">
        <v>24900</v>
      </c>
      <c r="AK260">
        <v>24900</v>
      </c>
      <c r="AM260" s="21">
        <v>0</v>
      </c>
      <c r="AN260">
        <v>0</v>
      </c>
      <c r="AO260">
        <v>0</v>
      </c>
      <c r="BB260" s="26">
        <v>28800</v>
      </c>
      <c r="BC260" s="81">
        <f>IF(AND(TabelaClean14[[#This Row],[analise_risco]]="Arriscado",TabelaClean14[[#This Row],[analise_credito]]="Reprovado"),0,IF(TabelaClean14[[#This Row],[status]]="Ativo",TabelaClean14[[#This Row],[valor_solicitado]]*1.08,0))</f>
        <v>63720.000000000007</v>
      </c>
    </row>
    <row r="261" spans="1:55">
      <c r="A261" s="24" t="s">
        <v>76</v>
      </c>
      <c r="B261" s="17" t="s">
        <v>770</v>
      </c>
      <c r="C261" s="25" t="s">
        <v>771</v>
      </c>
      <c r="D261" s="54">
        <v>19</v>
      </c>
      <c r="E261" s="30">
        <v>39209</v>
      </c>
      <c r="F261" s="24" t="str">
        <f>TabelaClean14[[#This Row],[CidadeCPF]]</f>
        <v>Monte Chifre</v>
      </c>
      <c r="G261" s="17" t="str">
        <f>TabelaClean14[[#This Row],[RegiaoCPF]]</f>
        <v>Campina</v>
      </c>
      <c r="H261" s="17" t="str">
        <f>_xlfn.XLOOKUP(TabelaClean14[[#This Row],[cpf]],TabelaDirty[cpfclean],TabelaDirty[cidade])</f>
        <v>Monte Chifre</v>
      </c>
      <c r="I261" s="17" t="str">
        <f>_xlfn.XLOOKUP(TabelaClean14[[#This Row],[cpf]],TabelaDirty[cpfclean],TabelaDirty[regiao])</f>
        <v>Campina</v>
      </c>
      <c r="J261" s="17" t="str">
        <f>PROPER(TabelaClean14[[#This Row],[Coluna1]])</f>
        <v>Campina</v>
      </c>
      <c r="K261" s="17" t="e">
        <f>_xlfn.TEXTBEFORE(TabelaClean14[[#This Row],[CidadeCPF]]," | ")</f>
        <v>#N/A</v>
      </c>
      <c r="L261" s="24" t="e">
        <f>_xlfn.TEXTAFTER(TabelaClean14[[#This Row],[CidadeCPF]]," | ")</f>
        <v>#N/A</v>
      </c>
      <c r="M261" s="26">
        <v>7200</v>
      </c>
      <c r="N261" s="78">
        <v>16000</v>
      </c>
      <c r="O261" s="1" t="s">
        <v>50</v>
      </c>
      <c r="P26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1" s="84">
        <v>5</v>
      </c>
      <c r="R261" s="1" t="str" cm="1">
        <f t="array" ref="R261">_xlfn.IFS(TabelaClean14[[#This Row],[qtde_batalhas]]&lt;=10,"Baixo",TabelaClean14[[#This Row],[qtde_batalhas]]&gt;=26,"Alto",TabelaClean14[[#This Row],[qtde_batalhas]]&lt;26,"Médio")</f>
        <v>Baixo</v>
      </c>
      <c r="S261" s="1" t="str">
        <f>IF(AND(TabelaClean14[[#This Row],[nivel_risco]]="Alto",TabelaClean14[[#This Row],[flag_inadimplente]]="Sim"),"Arriscado","Ok")</f>
        <v>Ok</v>
      </c>
      <c r="T261" s="26">
        <v>52000</v>
      </c>
      <c r="U261" s="81">
        <f>IF(AND(TabelaClean14[[#This Row],[analise_risco]]="Arriscado",TabelaClean14[[#This Row],[analise_credito]]="Reprovado"),0,IF(TabelaClean14[[#This Row],[status]]="Ativo",TabelaClean14[[#This Row],[valor_solicitado]]*1.08,0))</f>
        <v>56160.000000000007</v>
      </c>
      <c r="W261" s="1"/>
      <c r="Y261" t="s">
        <v>809</v>
      </c>
      <c r="Z261" t="str">
        <f t="shared" si="4"/>
        <v>Null</v>
      </c>
      <c r="AE261" t="s">
        <v>784</v>
      </c>
      <c r="AF261" t="str">
        <f>TEXT(AE261,"000\.000\.000\-00")</f>
        <v>000.000.281-00</v>
      </c>
      <c r="AH261" s="15" t="s">
        <v>83</v>
      </c>
      <c r="AJ261" s="22">
        <v>5500</v>
      </c>
      <c r="AK261">
        <v>5500</v>
      </c>
      <c r="AM261" s="20">
        <v>26000</v>
      </c>
      <c r="AN261">
        <v>26000</v>
      </c>
      <c r="AO261">
        <v>26000</v>
      </c>
      <c r="BB261" s="26">
        <v>7200</v>
      </c>
      <c r="BC261" s="81">
        <f>IF(AND(TabelaClean14[[#This Row],[analise_risco]]="Arriscado",TabelaClean14[[#This Row],[analise_credito]]="Reprovado"),0,IF(TabelaClean14[[#This Row],[status]]="Ativo",TabelaClean14[[#This Row],[valor_solicitado]]*1.08,0))</f>
        <v>56160.000000000007</v>
      </c>
    </row>
    <row r="262" spans="1:55">
      <c r="A262" s="24" t="s">
        <v>76</v>
      </c>
      <c r="B262" s="17" t="s">
        <v>411</v>
      </c>
      <c r="C262" s="25" t="s">
        <v>412</v>
      </c>
      <c r="D262" s="54">
        <v>73</v>
      </c>
      <c r="E262" s="30">
        <v>19314</v>
      </c>
      <c r="F262" s="24" t="str">
        <f>TabelaClean14[[#This Row],[CidadeCPF]]</f>
        <v>Pedra do Dragão</v>
      </c>
      <c r="G262" s="17" t="str">
        <f>TabelaClean14[[#This Row],[RegiaoCPF]]</f>
        <v>Terras Da Coroa</v>
      </c>
      <c r="H262" s="17" t="str">
        <f>_xlfn.XLOOKUP(TabelaClean14[[#This Row],[cpf]],TabelaDirty[cpfclean],TabelaDirty[cidade])</f>
        <v>Pedra do Dragão</v>
      </c>
      <c r="I262" s="17" t="str">
        <f>_xlfn.XLOOKUP(TabelaClean14[[#This Row],[cpf]],TabelaDirty[cpfclean],TabelaDirty[regiao])</f>
        <v>Terras Da Coroa</v>
      </c>
      <c r="J262" s="17" t="str">
        <f>PROPER(TabelaClean14[[#This Row],[Coluna1]])</f>
        <v>Terras Da Coroa</v>
      </c>
      <c r="K262" s="17" t="e">
        <f>_xlfn.TEXTBEFORE(TabelaClean14[[#This Row],[CidadeCPF]]," | ")</f>
        <v>#N/A</v>
      </c>
      <c r="L262" s="24" t="e">
        <f>_xlfn.TEXTAFTER(TabelaClean14[[#This Row],[CidadeCPF]]," | ")</f>
        <v>#N/A</v>
      </c>
      <c r="M262" s="26">
        <v>6100</v>
      </c>
      <c r="N262" s="78">
        <v>16000</v>
      </c>
      <c r="O262" s="1" t="s">
        <v>50</v>
      </c>
      <c r="P26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2" s="84">
        <v>9</v>
      </c>
      <c r="R262" s="1" t="str" cm="1">
        <f t="array" ref="R262">_xlfn.IFS(TabelaClean14[[#This Row],[qtde_batalhas]]&lt;=10,"Baixo",TabelaClean14[[#This Row],[qtde_batalhas]]&gt;=26,"Alto",TabelaClean14[[#This Row],[qtde_batalhas]]&lt;26,"Médio")</f>
        <v>Baixo</v>
      </c>
      <c r="S262" s="1" t="str">
        <f>IF(AND(TabelaClean14[[#This Row],[nivel_risco]]="Alto",TabelaClean14[[#This Row],[flag_inadimplente]]="Sim"),"Arriscado","Ok")</f>
        <v>Ok</v>
      </c>
      <c r="T262" s="26">
        <v>24500</v>
      </c>
      <c r="U262" s="81">
        <f>IF(AND(TabelaClean14[[#This Row],[analise_risco]]="Arriscado",TabelaClean14[[#This Row],[analise_credito]]="Reprovado"),0,IF(TabelaClean14[[#This Row],[status]]="Ativo",TabelaClean14[[#This Row],[valor_solicitado]]*1.08,0))</f>
        <v>26460</v>
      </c>
      <c r="W262" s="1"/>
      <c r="Y262" t="s">
        <v>100</v>
      </c>
      <c r="Z262" t="str">
        <f t="shared" si="4"/>
        <v>Vale</v>
      </c>
      <c r="AE262" t="s">
        <v>404</v>
      </c>
      <c r="AF262" t="str">
        <f>TEXT(AE262,"000\.000\.000\-00")</f>
        <v>000.000.282-00</v>
      </c>
      <c r="AH262" s="15" t="s">
        <v>138</v>
      </c>
      <c r="AJ262" s="22">
        <v>4100</v>
      </c>
      <c r="AK262">
        <v>4100</v>
      </c>
      <c r="AM262" s="21">
        <v>2000</v>
      </c>
      <c r="AN262">
        <v>2000</v>
      </c>
      <c r="AO262">
        <v>2000</v>
      </c>
      <c r="BB262" s="26">
        <v>6100</v>
      </c>
      <c r="BC262" s="81">
        <f>IF(AND(TabelaClean14[[#This Row],[analise_risco]]="Arriscado",TabelaClean14[[#This Row],[analise_credito]]="Reprovado"),0,IF(TabelaClean14[[#This Row],[status]]="Ativo",TabelaClean14[[#This Row],[valor_solicitado]]*1.08,0))</f>
        <v>26460</v>
      </c>
    </row>
    <row r="263" spans="1:55">
      <c r="A263" s="24" t="s">
        <v>81</v>
      </c>
      <c r="B263" s="17" t="s">
        <v>948</v>
      </c>
      <c r="C263" s="25" t="s">
        <v>949</v>
      </c>
      <c r="D263" s="54">
        <v>62</v>
      </c>
      <c r="E263" s="30">
        <v>23358</v>
      </c>
      <c r="F263" s="25" t="s">
        <v>950</v>
      </c>
      <c r="G263" s="25" t="s">
        <v>149</v>
      </c>
      <c r="H263" s="24">
        <v>14600</v>
      </c>
      <c r="I263" s="24">
        <v>15500</v>
      </c>
      <c r="J263" s="24"/>
      <c r="K263" s="24"/>
      <c r="L263" s="24"/>
      <c r="M263" s="26">
        <v>2500</v>
      </c>
      <c r="N263" s="78">
        <v>15500</v>
      </c>
      <c r="P26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R263" s="76" t="str" cm="1">
        <f t="array" ref="R263">_xlfn.IFS(TabelaClean14[[#This Row],[qtde_batalhas]]&lt;=10,"Baixo",TabelaClean14[[#This Row],[qtde_batalhas]]&gt;=26,"Alto",TabelaClean14[[#This Row],[qtde_batalhas]]&lt;26,"Médio")</f>
        <v>Baixo</v>
      </c>
      <c r="S263" s="76" t="str">
        <f>IF(AND(TabelaClean14[[#This Row],[nivel_risco]]="Alto",TabelaClean14[[#This Row],[flag_inadimplente]]="Sim"),"Arriscado","Ok")</f>
        <v>Ok</v>
      </c>
      <c r="T263" s="26">
        <v>2500</v>
      </c>
      <c r="U26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63" s="1"/>
      <c r="Y263" t="s">
        <v>809</v>
      </c>
      <c r="Z263" t="str">
        <f t="shared" si="4"/>
        <v>Null</v>
      </c>
      <c r="AE263" t="s">
        <v>292</v>
      </c>
      <c r="AF263" t="str">
        <f>TEXT(AE263,"000\.000\.000\-00")</f>
        <v>000.000.283-00</v>
      </c>
      <c r="AH263" s="15" t="s">
        <v>154</v>
      </c>
      <c r="AJ263" s="22">
        <v>22100</v>
      </c>
      <c r="AK263">
        <v>22100</v>
      </c>
      <c r="AM263" s="20">
        <v>30500</v>
      </c>
      <c r="AN263">
        <v>30500</v>
      </c>
      <c r="AO263">
        <v>30500</v>
      </c>
      <c r="BB263" s="26">
        <v>2500</v>
      </c>
      <c r="BC26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64" spans="1:55">
      <c r="A264" s="24" t="s">
        <v>76</v>
      </c>
      <c r="B264" s="17" t="s">
        <v>299</v>
      </c>
      <c r="C264" s="25" t="s">
        <v>300</v>
      </c>
      <c r="D264" s="54">
        <v>40</v>
      </c>
      <c r="E264" s="30">
        <v>31647</v>
      </c>
      <c r="F264" s="24" t="str">
        <f>TabelaClean14[[#This Row],[CidadeCPF]]</f>
        <v>Fosso Cailin</v>
      </c>
      <c r="G264" s="17" t="str">
        <f>TabelaClean14[[#This Row],[RegiaoCPF]]</f>
        <v>Norte</v>
      </c>
      <c r="H264" s="17" t="str">
        <f>_xlfn.XLOOKUP(TabelaClean14[[#This Row],[cpf]],TabelaDirty[cpfclean],TabelaDirty[cidade])</f>
        <v>Fosso Cailin</v>
      </c>
      <c r="I264" s="17" t="str">
        <f>_xlfn.XLOOKUP(TabelaClean14[[#This Row],[cpf]],TabelaDirty[cpfclean],TabelaDirty[regiao])</f>
        <v>Norte</v>
      </c>
      <c r="J264" s="17" t="str">
        <f>PROPER(TabelaClean14[[#This Row],[Coluna1]])</f>
        <v>Norte</v>
      </c>
      <c r="K264" s="17" t="e">
        <f>_xlfn.TEXTBEFORE(TabelaClean14[[#This Row],[CidadeCPF]]," | ")</f>
        <v>#N/A</v>
      </c>
      <c r="L264" s="24" t="e">
        <f>_xlfn.TEXTAFTER(TabelaClean14[[#This Row],[CidadeCPF]]," | ")</f>
        <v>#N/A</v>
      </c>
      <c r="M264" s="26">
        <v>18700</v>
      </c>
      <c r="N264" s="78">
        <v>15000</v>
      </c>
      <c r="O264" s="1" t="s">
        <v>51</v>
      </c>
      <c r="P26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4" s="84">
        <v>26</v>
      </c>
      <c r="R264" s="1" t="str" cm="1">
        <f t="array" ref="R264">_xlfn.IFS(TabelaClean14[[#This Row],[qtde_batalhas]]&lt;=10,"Baixo",TabelaClean14[[#This Row],[qtde_batalhas]]&gt;=26,"Alto",TabelaClean14[[#This Row],[qtde_batalhas]]&lt;26,"Médio")</f>
        <v>Alto</v>
      </c>
      <c r="S264" s="1" t="str">
        <f>IF(AND(TabelaClean14[[#This Row],[nivel_risco]]="Alto",TabelaClean14[[#This Row],[flag_inadimplente]]="Sim"),"Arriscado","Ok")</f>
        <v>Arriscado</v>
      </c>
      <c r="T264" s="26">
        <v>89500</v>
      </c>
      <c r="U264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  <c r="W264" s="1"/>
      <c r="Y264" t="s">
        <v>809</v>
      </c>
      <c r="Z264" t="str">
        <f t="shared" si="4"/>
        <v>Null</v>
      </c>
      <c r="AE264" t="s">
        <v>229</v>
      </c>
      <c r="AF264" t="str">
        <f>TEXT(AE264,"000\.000\.000\-00")</f>
        <v>000.000.284-00</v>
      </c>
      <c r="AH264" s="15" t="s">
        <v>138</v>
      </c>
      <c r="AJ264" s="22">
        <v>9900</v>
      </c>
      <c r="AK264">
        <v>9900</v>
      </c>
      <c r="AM264" s="21">
        <v>3500</v>
      </c>
      <c r="AN264">
        <v>3500</v>
      </c>
      <c r="AO264">
        <v>3500</v>
      </c>
      <c r="BB264" s="26">
        <v>18700</v>
      </c>
      <c r="BC264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</row>
    <row r="265" spans="1:55">
      <c r="A265" s="24" t="s">
        <v>76</v>
      </c>
      <c r="B265" s="17" t="s">
        <v>797</v>
      </c>
      <c r="C265" s="25" t="s">
        <v>798</v>
      </c>
      <c r="D265" s="54">
        <v>60</v>
      </c>
      <c r="E265" s="30">
        <v>24272</v>
      </c>
      <c r="F265" s="24" t="str">
        <f>TabelaClean14[[#This Row],[CidadeCPF]]</f>
        <v>Monte Chifre</v>
      </c>
      <c r="G265" s="17" t="str">
        <f>TabelaClean14[[#This Row],[RegiaoCPF]]</f>
        <v>Campina</v>
      </c>
      <c r="H265" s="17" t="str">
        <f>_xlfn.XLOOKUP(TabelaClean14[[#This Row],[cpf]],TabelaDirty[cpfclean],TabelaDirty[cidade])</f>
        <v>Monte Chifre</v>
      </c>
      <c r="I265" s="17" t="str">
        <f>_xlfn.XLOOKUP(TabelaClean14[[#This Row],[cpf]],TabelaDirty[cpfclean],TabelaDirty[regiao])</f>
        <v>CAMPINA</v>
      </c>
      <c r="J265" s="17" t="str">
        <f>PROPER(TabelaClean14[[#This Row],[Coluna1]])</f>
        <v>Campina</v>
      </c>
      <c r="K265" s="17" t="e">
        <f>_xlfn.TEXTBEFORE(TabelaClean14[[#This Row],[CidadeCPF]]," | ")</f>
        <v>#N/A</v>
      </c>
      <c r="L265" s="24" t="e">
        <f>_xlfn.TEXTAFTER(TabelaClean14[[#This Row],[CidadeCPF]]," | ")</f>
        <v>#N/A</v>
      </c>
      <c r="M265" s="26">
        <v>17300</v>
      </c>
      <c r="N265" s="78">
        <v>15000</v>
      </c>
      <c r="O265" s="1" t="s">
        <v>51</v>
      </c>
      <c r="P26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5" s="84">
        <v>17</v>
      </c>
      <c r="R265" s="1" t="str" cm="1">
        <f t="array" ref="R265">_xlfn.IFS(TabelaClean14[[#This Row],[qtde_batalhas]]&lt;=10,"Baixo",TabelaClean14[[#This Row],[qtde_batalhas]]&gt;=26,"Alto",TabelaClean14[[#This Row],[qtde_batalhas]]&lt;26,"Médio")</f>
        <v>Médio</v>
      </c>
      <c r="S265" s="1" t="str">
        <f>IF(AND(TabelaClean14[[#This Row],[nivel_risco]]="Alto",TabelaClean14[[#This Row],[flag_inadimplente]]="Sim"),"Arriscado","Ok")</f>
        <v>Ok</v>
      </c>
      <c r="T265" s="26">
        <v>69000</v>
      </c>
      <c r="U265" s="81">
        <f>IF(AND(TabelaClean14[[#This Row],[analise_risco]]="Arriscado",TabelaClean14[[#This Row],[analise_credito]]="Reprovado"),0,IF(TabelaClean14[[#This Row],[status]]="Ativo",TabelaClean14[[#This Row],[valor_solicitado]]*1.08,0))</f>
        <v>74520</v>
      </c>
      <c r="W265" s="1"/>
      <c r="Y265" t="s">
        <v>809</v>
      </c>
      <c r="Z265" t="str">
        <f t="shared" si="4"/>
        <v>Null</v>
      </c>
      <c r="AE265" t="s">
        <v>769</v>
      </c>
      <c r="AF265" t="str">
        <f>TEXT(AE265,"000\.000\.000\-00")</f>
        <v>000.000.286-00</v>
      </c>
      <c r="AH265" s="15" t="s">
        <v>154</v>
      </c>
      <c r="AJ265" s="22">
        <v>5000</v>
      </c>
      <c r="AK265">
        <v>5000</v>
      </c>
      <c r="AM265" s="20" t="s">
        <v>367</v>
      </c>
      <c r="AN265" t="s">
        <v>809</v>
      </c>
      <c r="AO265" t="s">
        <v>809</v>
      </c>
      <c r="BB265" s="26">
        <v>17300</v>
      </c>
      <c r="BC265" s="81">
        <f>IF(AND(TabelaClean14[[#This Row],[analise_risco]]="Arriscado",TabelaClean14[[#This Row],[analise_credito]]="Reprovado"),0,IF(TabelaClean14[[#This Row],[status]]="Ativo",TabelaClean14[[#This Row],[valor_solicitado]]*1.08,0))</f>
        <v>74520</v>
      </c>
    </row>
    <row r="266" spans="1:55">
      <c r="A266" s="24" t="s">
        <v>76</v>
      </c>
      <c r="B266" s="17" t="s">
        <v>951</v>
      </c>
      <c r="C266" s="25" t="s">
        <v>533</v>
      </c>
      <c r="D266" s="54">
        <v>23</v>
      </c>
      <c r="E266" s="30">
        <v>37530</v>
      </c>
      <c r="F266" s="17" t="str">
        <f>TabelaClean14[[#This Row],[CidadeClean]]</f>
        <v>Pyke</v>
      </c>
      <c r="G266" s="17" t="str">
        <f>TabelaClean14[[#This Row],[RegiaoClean]]</f>
        <v>Ilhas de Ferro</v>
      </c>
      <c r="H266" s="28" t="str">
        <f>_xlfn.XLOOKUP(TabelaClean14[[#This Row],[cpf]],TabelaDirty[cpfclean],TabelaDirty[cidade])</f>
        <v>Pyke | Ilhas de Ferro</v>
      </c>
      <c r="I266" s="28">
        <f>_xlfn.XLOOKUP(TabelaClean14[[#This Row],[cpf]],TabelaDirty[cpfclean],TabelaDirty[regiao])</f>
        <v>0</v>
      </c>
      <c r="J266" s="28" t="s">
        <v>132</v>
      </c>
      <c r="K266" s="28" t="str">
        <f>_xlfn.TEXTBEFORE(TabelaClean14[[#This Row],[CidadeCPF]]," | ")</f>
        <v>Pyke</v>
      </c>
      <c r="L266" s="24" t="str">
        <f>_xlfn.TEXTAFTER(TabelaClean14[[#This Row],[CidadeCPF]]," | ")</f>
        <v>Ilhas de Ferro</v>
      </c>
      <c r="M266" s="26">
        <v>10700</v>
      </c>
      <c r="N266" s="78">
        <v>15000</v>
      </c>
      <c r="O266" s="1" t="s">
        <v>50</v>
      </c>
      <c r="P26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6" s="84">
        <v>42</v>
      </c>
      <c r="R266" s="1" t="str" cm="1">
        <f t="array" ref="R266">_xlfn.IFS(TabelaClean14[[#This Row],[qtde_batalhas]]&lt;=10,"Baixo",TabelaClean14[[#This Row],[qtde_batalhas]]&gt;=26,"Alto",TabelaClean14[[#This Row],[qtde_batalhas]]&lt;26,"Médio")</f>
        <v>Alto</v>
      </c>
      <c r="S266" s="1" t="str">
        <f>IF(AND(TabelaClean14[[#This Row],[nivel_risco]]="Alto",TabelaClean14[[#This Row],[flag_inadimplente]]="Sim"),"Arriscado","Ok")</f>
        <v>Ok</v>
      </c>
      <c r="T266" s="26">
        <v>81500</v>
      </c>
      <c r="U266" s="81">
        <f>IF(AND(TabelaClean14[[#This Row],[analise_risco]]="Arriscado",TabelaClean14[[#This Row],[analise_credito]]="Reprovado"),0,IF(TabelaClean14[[#This Row],[status]]="Ativo",TabelaClean14[[#This Row],[valor_solicitado]]*1.08,0))</f>
        <v>88020</v>
      </c>
      <c r="W266" s="1"/>
      <c r="Y266" t="s">
        <v>108</v>
      </c>
      <c r="Z266" t="str">
        <f t="shared" si="4"/>
        <v>Oeste</v>
      </c>
      <c r="AE266" t="s">
        <v>168</v>
      </c>
      <c r="AF266" t="str">
        <f>TEXT(AE266,"000\.000\.000\-00")</f>
        <v>000.000.287-00</v>
      </c>
      <c r="AH266" s="15" t="s">
        <v>169</v>
      </c>
      <c r="AJ266" s="22">
        <v>12600</v>
      </c>
      <c r="AK266">
        <v>12600</v>
      </c>
      <c r="AM266" s="21">
        <v>5500</v>
      </c>
      <c r="AN266">
        <v>5500</v>
      </c>
      <c r="AO266">
        <v>5500</v>
      </c>
      <c r="BB266" s="26">
        <v>10700</v>
      </c>
      <c r="BC266" s="81">
        <f>IF(AND(TabelaClean14[[#This Row],[analise_risco]]="Arriscado",TabelaClean14[[#This Row],[analise_credito]]="Reprovado"),0,IF(TabelaClean14[[#This Row],[status]]="Ativo",TabelaClean14[[#This Row],[valor_solicitado]]*1.08,0))</f>
        <v>88020</v>
      </c>
    </row>
    <row r="267" spans="1:55">
      <c r="A267" s="24" t="s">
        <v>81</v>
      </c>
      <c r="B267" s="17" t="s">
        <v>285</v>
      </c>
      <c r="C267" s="25" t="s">
        <v>286</v>
      </c>
      <c r="D267" s="54">
        <v>59</v>
      </c>
      <c r="E267" s="30">
        <v>24512</v>
      </c>
      <c r="F267" s="24" t="str">
        <f>TabelaClean14[[#This Row],[CidadeCPF]]</f>
        <v>Monte Chifre</v>
      </c>
      <c r="G267" s="17" t="str">
        <f>TabelaClean14[[#This Row],[RegiaoCPF]]</f>
        <v>Campina</v>
      </c>
      <c r="H267" s="17" t="str">
        <f>_xlfn.XLOOKUP(TabelaClean14[[#This Row],[cpf]],TabelaDirty[cpfclean],TabelaDirty[cidade])</f>
        <v>Monte Chifre</v>
      </c>
      <c r="I267" s="17" t="str">
        <f>_xlfn.XLOOKUP(TabelaClean14[[#This Row],[cpf]],TabelaDirty[cpfclean],TabelaDirty[regiao])</f>
        <v>CAMPINA</v>
      </c>
      <c r="J267" s="17" t="str">
        <f>PROPER(TabelaClean14[[#This Row],[Coluna1]])</f>
        <v>Campina</v>
      </c>
      <c r="K267" s="17" t="e">
        <f>_xlfn.TEXTBEFORE(TabelaClean14[[#This Row],[CidadeCPF]]," | ")</f>
        <v>#N/A</v>
      </c>
      <c r="L267" s="24" t="e">
        <f>_xlfn.TEXTAFTER(TabelaClean14[[#This Row],[CidadeCPF]]," | ")</f>
        <v>#N/A</v>
      </c>
      <c r="M267" s="26">
        <v>6300</v>
      </c>
      <c r="N267" s="78">
        <v>15000</v>
      </c>
      <c r="O267" s="1" t="s">
        <v>50</v>
      </c>
      <c r="P26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7" s="84">
        <v>42</v>
      </c>
      <c r="R267" s="1" t="str" cm="1">
        <f t="array" ref="R267">_xlfn.IFS(TabelaClean14[[#This Row],[qtde_batalhas]]&lt;=10,"Baixo",TabelaClean14[[#This Row],[qtde_batalhas]]&gt;=26,"Alto",TabelaClean14[[#This Row],[qtde_batalhas]]&lt;26,"Médio")</f>
        <v>Alto</v>
      </c>
      <c r="S267" s="1" t="str">
        <f>IF(AND(TabelaClean14[[#This Row],[nivel_risco]]="Alto",TabelaClean14[[#This Row],[flag_inadimplente]]="Sim"),"Arriscado","Ok")</f>
        <v>Ok</v>
      </c>
      <c r="T267" s="26">
        <v>8500</v>
      </c>
      <c r="U26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67" s="1"/>
      <c r="Y267" t="s">
        <v>809</v>
      </c>
      <c r="Z267" t="str">
        <f t="shared" si="4"/>
        <v>Null</v>
      </c>
      <c r="AE267" t="s">
        <v>231</v>
      </c>
      <c r="AF267" t="str">
        <f>TEXT(AE267,"000\.000\.000\-00")</f>
        <v>000.000.288-00</v>
      </c>
      <c r="AH267" s="14" t="s">
        <v>378</v>
      </c>
      <c r="AI267" t="e" cm="1" vm="1">
        <f t="array" aca="1" ref="AI267" ca="1">_xlfn.TEXTSPLIT(AH267," | ")</f>
        <v>#VALUE!</v>
      </c>
      <c r="AJ267" s="22">
        <v>3400</v>
      </c>
      <c r="AK267">
        <v>3400</v>
      </c>
      <c r="AL267" t="s">
        <v>139</v>
      </c>
      <c r="AM267" s="20">
        <v>0</v>
      </c>
      <c r="AN267">
        <v>0</v>
      </c>
      <c r="AO267">
        <v>0</v>
      </c>
      <c r="BB267" s="26">
        <v>6300</v>
      </c>
      <c r="BC26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68" spans="1:55">
      <c r="A268" s="24" t="s">
        <v>81</v>
      </c>
      <c r="B268" s="17" t="s">
        <v>952</v>
      </c>
      <c r="C268" s="25" t="s">
        <v>355</v>
      </c>
      <c r="D268" s="54">
        <v>30</v>
      </c>
      <c r="E268" s="30">
        <v>35200</v>
      </c>
      <c r="F268" s="24" t="str">
        <f>TabelaClean14[[#This Row],[CidadeCPF]]</f>
        <v>Braavos</v>
      </c>
      <c r="G268" s="17" t="str">
        <f>TabelaClean14[[#This Row],[RegiaoCPF]]</f>
        <v>Essos</v>
      </c>
      <c r="H268" s="17" t="str">
        <f>_xlfn.XLOOKUP(TabelaClean14[[#This Row],[cpf]],TabelaDirty[cpfclean],TabelaDirty[cidade])</f>
        <v>Braavos</v>
      </c>
      <c r="I268" s="17" t="str">
        <f>_xlfn.XLOOKUP(TabelaClean14[[#This Row],[cpf]],TabelaDirty[cpfclean],TabelaDirty[regiao])</f>
        <v>ESSOS</v>
      </c>
      <c r="J268" s="17" t="str">
        <f>PROPER(TabelaClean14[[#This Row],[Coluna1]])</f>
        <v>Essos</v>
      </c>
      <c r="K268" s="17" t="e">
        <f>_xlfn.TEXTBEFORE(TabelaClean14[[#This Row],[CidadeCPF]]," | ")</f>
        <v>#N/A</v>
      </c>
      <c r="L268" s="24" t="e">
        <f>_xlfn.TEXTAFTER(TabelaClean14[[#This Row],[CidadeCPF]]," | ")</f>
        <v>#N/A</v>
      </c>
      <c r="M268" s="26">
        <v>26500</v>
      </c>
      <c r="N268" s="78">
        <v>14500</v>
      </c>
      <c r="O268" s="1" t="s">
        <v>51</v>
      </c>
      <c r="P26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8" s="84">
        <v>15</v>
      </c>
      <c r="R268" s="1" t="str" cm="1">
        <f t="array" ref="R268">_xlfn.IFS(TabelaClean14[[#This Row],[qtde_batalhas]]&lt;=10,"Baixo",TabelaClean14[[#This Row],[qtde_batalhas]]&gt;=26,"Alto",TabelaClean14[[#This Row],[qtde_batalhas]]&lt;26,"Médio")</f>
        <v>Médio</v>
      </c>
      <c r="S268" s="1" t="str">
        <f>IF(AND(TabelaClean14[[#This Row],[nivel_risco]]="Alto",TabelaClean14[[#This Row],[flag_inadimplente]]="Sim"),"Arriscado","Ok")</f>
        <v>Ok</v>
      </c>
      <c r="T268" s="26">
        <v>65500</v>
      </c>
      <c r="U26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68" s="1"/>
      <c r="Y268" t="s">
        <v>809</v>
      </c>
      <c r="Z268" t="str">
        <f t="shared" si="4"/>
        <v>Null</v>
      </c>
      <c r="AE268" t="s">
        <v>538</v>
      </c>
      <c r="AF268" t="str">
        <f>TEXT(AE268,"000\.000\.000\-00")</f>
        <v>000.000.289-00</v>
      </c>
      <c r="AH268" s="15" t="s">
        <v>89</v>
      </c>
      <c r="AJ268" s="22">
        <v>12500</v>
      </c>
      <c r="AK268">
        <v>12500</v>
      </c>
      <c r="AM268" s="21">
        <v>51500</v>
      </c>
      <c r="AN268">
        <v>51500</v>
      </c>
      <c r="AO268">
        <v>51500</v>
      </c>
      <c r="BB268" s="26">
        <v>26500</v>
      </c>
      <c r="BC26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69" spans="1:55">
      <c r="A269" s="24" t="s">
        <v>76</v>
      </c>
      <c r="B269" s="17" t="s">
        <v>116</v>
      </c>
      <c r="C269" s="25" t="s">
        <v>117</v>
      </c>
      <c r="D269" s="54">
        <v>34</v>
      </c>
      <c r="E269" s="30">
        <v>33624</v>
      </c>
      <c r="F269" s="24" t="str">
        <f>TabelaClean14[[#This Row],[CidadeCPF]]</f>
        <v>Pyke</v>
      </c>
      <c r="G269" s="17" t="str">
        <f>TabelaClean14[[#This Row],[RegiaoCPF]]</f>
        <v>Ilhas De Ferro</v>
      </c>
      <c r="H269" s="17" t="str">
        <f>_xlfn.XLOOKUP(TabelaClean14[[#This Row],[cpf]],TabelaDirty[cpfclean],TabelaDirty[cidade])</f>
        <v>Pyke</v>
      </c>
      <c r="I269" s="17" t="str">
        <f>_xlfn.XLOOKUP(TabelaClean14[[#This Row],[cpf]],TabelaDirty[cpfclean],TabelaDirty[regiao])</f>
        <v>ilhas de ferro</v>
      </c>
      <c r="J269" s="17" t="str">
        <f>PROPER(TabelaClean14[[#This Row],[Coluna1]])</f>
        <v>Ilhas De Ferro</v>
      </c>
      <c r="K269" s="17" t="e">
        <f>_xlfn.TEXTBEFORE(TabelaClean14[[#This Row],[CidadeCPF]]," | ")</f>
        <v>#N/A</v>
      </c>
      <c r="L269" s="24" t="e">
        <f>_xlfn.TEXTAFTER(TabelaClean14[[#This Row],[CidadeCPF]]," | ")</f>
        <v>#N/A</v>
      </c>
      <c r="M269" s="26">
        <v>8000</v>
      </c>
      <c r="N269" s="78">
        <v>14500</v>
      </c>
      <c r="O269" s="1" t="s">
        <v>51</v>
      </c>
      <c r="P26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69" s="84">
        <v>9</v>
      </c>
      <c r="R269" s="1" t="str" cm="1">
        <f t="array" ref="R269">_xlfn.IFS(TabelaClean14[[#This Row],[qtde_batalhas]]&lt;=10,"Baixo",TabelaClean14[[#This Row],[qtde_batalhas]]&gt;=26,"Alto",TabelaClean14[[#This Row],[qtde_batalhas]]&lt;26,"Médio")</f>
        <v>Baixo</v>
      </c>
      <c r="S269" s="1" t="str">
        <f>IF(AND(TabelaClean14[[#This Row],[nivel_risco]]="Alto",TabelaClean14[[#This Row],[flag_inadimplente]]="Sim"),"Arriscado","Ok")</f>
        <v>Ok</v>
      </c>
      <c r="T269" s="26">
        <v>17500</v>
      </c>
      <c r="U269" s="81">
        <f>IF(AND(TabelaClean14[[#This Row],[analise_risco]]="Arriscado",TabelaClean14[[#This Row],[analise_credito]]="Reprovado"),0,IF(TabelaClean14[[#This Row],[status]]="Ativo",TabelaClean14[[#This Row],[valor_solicitado]]*1.08,0))</f>
        <v>18900</v>
      </c>
      <c r="W269" s="1"/>
      <c r="Y269" t="s">
        <v>809</v>
      </c>
      <c r="Z269" t="str">
        <f t="shared" si="4"/>
        <v>Null</v>
      </c>
      <c r="AE269" t="s">
        <v>478</v>
      </c>
      <c r="AF269" t="str">
        <f>TEXT(AE269,"000\.000\.000\-00")</f>
        <v>000.000.291-00</v>
      </c>
      <c r="AH269" s="15" t="s">
        <v>183</v>
      </c>
      <c r="AJ269" s="22">
        <v>17600</v>
      </c>
      <c r="AK269">
        <v>17600</v>
      </c>
      <c r="AM269" s="20">
        <v>44000</v>
      </c>
      <c r="AN269">
        <v>44000</v>
      </c>
      <c r="AO269">
        <v>44000</v>
      </c>
      <c r="BB269" s="26">
        <v>8000</v>
      </c>
      <c r="BC269" s="81">
        <f>IF(AND(TabelaClean14[[#This Row],[analise_risco]]="Arriscado",TabelaClean14[[#This Row],[analise_credito]]="Reprovado"),0,IF(TabelaClean14[[#This Row],[status]]="Ativo",TabelaClean14[[#This Row],[valor_solicitado]]*1.08,0))</f>
        <v>18900</v>
      </c>
    </row>
    <row r="270" spans="1:55">
      <c r="A270" s="24" t="s">
        <v>81</v>
      </c>
      <c r="B270" s="17" t="s">
        <v>354</v>
      </c>
      <c r="C270" s="25" t="s">
        <v>795</v>
      </c>
      <c r="D270" s="54">
        <f>_xlfn.XLOOKUP(TabelaClean14[[#This Row],[nome]],Base_Dirty!B:B,Base_Dirty!E:E)</f>
        <v>30</v>
      </c>
      <c r="E270" s="51">
        <f>_xlfn.XLOOKUP(TabelaClean14[[#This Row],[nome]],Base_Dirty!$B:$B,Base_Dirty!F:F)</f>
        <v>35200</v>
      </c>
      <c r="F270" s="50" t="s">
        <v>127</v>
      </c>
      <c r="G270" s="25" t="s">
        <v>122</v>
      </c>
      <c r="H270" s="24" t="s">
        <v>256</v>
      </c>
      <c r="I270" s="24">
        <v>26500</v>
      </c>
      <c r="J270" s="24">
        <v>14500</v>
      </c>
      <c r="K270" s="24">
        <v>0</v>
      </c>
      <c r="L270" s="24">
        <v>15</v>
      </c>
      <c r="M270" s="23">
        <f>_xlfn.XLOOKUP(TabelaClean14[[#This Row],[nome]],Base_Dirty!$B:$B,Base_Dirty!I:I)</f>
        <v>26500</v>
      </c>
      <c r="N270" s="78">
        <f>_xlfn.XLOOKUP(TabelaClean14[[#This Row],[nome]],Base_Dirty!$B:$B,Base_Dirty!J:J)</f>
        <v>14500</v>
      </c>
      <c r="O270" s="79"/>
      <c r="P27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270" s="84">
        <f>_xlfn.XLOOKUP(TabelaClean14[[#This Row],[nome]],Base_Dirty!$B:$B,Base_Dirty!L:L)</f>
        <v>15</v>
      </c>
      <c r="R270" s="76" t="str" cm="1">
        <f t="array" ref="R270">_xlfn.IFS(TabelaClean14[[#This Row],[qtde_batalhas]]&lt;=10,"Baixo",TabelaClean14[[#This Row],[qtde_batalhas]]&gt;=26,"Alto",TabelaClean14[[#This Row],[qtde_batalhas]]&lt;26,"Médio")</f>
        <v>Médio</v>
      </c>
      <c r="S270" s="76" t="str">
        <f>IF(AND(TabelaClean14[[#This Row],[nivel_risco]]="Alto",TabelaClean14[[#This Row],[flag_inadimplente]]="Sim"),"Arriscado","Ok")</f>
        <v>Ok</v>
      </c>
      <c r="T270" s="26">
        <f>_xlfn.XLOOKUP(TabelaClean14[[#This Row],[nome]],Base_Dirty!$B:$B,Base_Dirty!O:O)</f>
        <v>65500</v>
      </c>
      <c r="U27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70" s="1"/>
      <c r="Y270" t="s">
        <v>108</v>
      </c>
      <c r="Z270" t="str">
        <f t="shared" si="4"/>
        <v>Oeste</v>
      </c>
      <c r="AE270" t="s">
        <v>305</v>
      </c>
      <c r="AF270" t="str">
        <f>TEXT(AE270,"000\.000\.000\-00")</f>
        <v>000.000.293-00</v>
      </c>
      <c r="AH270" s="15" t="s">
        <v>183</v>
      </c>
      <c r="AJ270" s="22">
        <v>14200</v>
      </c>
      <c r="AK270">
        <v>14200</v>
      </c>
      <c r="AM270" s="21">
        <v>51000</v>
      </c>
      <c r="AN270">
        <v>51000</v>
      </c>
      <c r="AO270">
        <v>51000</v>
      </c>
      <c r="BB270" s="23">
        <f>_xlfn.XLOOKUP(TabelaClean14[[#This Row],[nome]],Base_Dirty!$B:$B,Base_Dirty!AX:AX)</f>
        <v>0</v>
      </c>
      <c r="BC27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71" spans="1:55">
      <c r="A271" s="24" t="s">
        <v>81</v>
      </c>
      <c r="B271" s="17" t="s">
        <v>354</v>
      </c>
      <c r="C271" t="str">
        <f>_xlfn.XLOOKUP(TabelaClean14[[#This Row],[nome]],Base_Dirty!$B:$B,Base_Dirty!D:D)</f>
        <v>000.000.027-00</v>
      </c>
      <c r="D271" s="54">
        <f>_xlfn.XLOOKUP(TabelaClean14[[#This Row],[nome]],Base_Dirty!B:B,Base_Dirty!E:E)</f>
        <v>30</v>
      </c>
      <c r="E271" s="30">
        <v>30</v>
      </c>
      <c r="F271" s="50" t="s">
        <v>127</v>
      </c>
      <c r="G271" s="25" t="s">
        <v>122</v>
      </c>
      <c r="H271" s="24" t="s">
        <v>256</v>
      </c>
      <c r="I271" s="24">
        <v>26500</v>
      </c>
      <c r="J271" s="24">
        <v>14500</v>
      </c>
      <c r="K271" s="24">
        <v>0</v>
      </c>
      <c r="L271" s="24">
        <v>15</v>
      </c>
      <c r="M271" s="23">
        <f>_xlfn.XLOOKUP(TabelaClean14[[#This Row],[nome]],Base_Dirty!$B:$B,Base_Dirty!I:I)</f>
        <v>26500</v>
      </c>
      <c r="N271" s="78">
        <f>_xlfn.XLOOKUP(TabelaClean14[[#This Row],[nome]],Base_Dirty!$B:$B,Base_Dirty!J:J)</f>
        <v>14500</v>
      </c>
      <c r="O271" s="79"/>
      <c r="P27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271" s="84">
        <f>_xlfn.XLOOKUP(TabelaClean14[[#This Row],[nome]],Base_Dirty!$B:$B,Base_Dirty!L:L)</f>
        <v>15</v>
      </c>
      <c r="R271" s="76" t="str" cm="1">
        <f t="array" ref="R271">_xlfn.IFS(TabelaClean14[[#This Row],[qtde_batalhas]]&lt;=10,"Baixo",TabelaClean14[[#This Row],[qtde_batalhas]]&gt;=26,"Alto",TabelaClean14[[#This Row],[qtde_batalhas]]&lt;26,"Médio")</f>
        <v>Médio</v>
      </c>
      <c r="S271" s="76" t="str">
        <f>IF(AND(TabelaClean14[[#This Row],[nivel_risco]]="Alto",TabelaClean14[[#This Row],[flag_inadimplente]]="Sim"),"Arriscado","Ok")</f>
        <v>Ok</v>
      </c>
      <c r="T271" s="26">
        <f>_xlfn.XLOOKUP(TabelaClean14[[#This Row],[nome]],Base_Dirty!$B:$B,Base_Dirty!O:O)</f>
        <v>65500</v>
      </c>
      <c r="U27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71" s="1"/>
      <c r="Y271" t="s">
        <v>90</v>
      </c>
      <c r="Z271" t="str">
        <f t="shared" si="4"/>
        <v>Terras Da Coroa</v>
      </c>
      <c r="AE271" t="s">
        <v>640</v>
      </c>
      <c r="AF271" t="str">
        <f>TEXT(AE271,"000\.000\.000\-00")</f>
        <v>000.000.296-00</v>
      </c>
      <c r="AH271" s="15" t="s">
        <v>148</v>
      </c>
      <c r="AJ271" s="22">
        <v>13800</v>
      </c>
      <c r="AK271">
        <v>13800</v>
      </c>
      <c r="AM271" s="20">
        <v>62000</v>
      </c>
      <c r="AN271">
        <v>62000</v>
      </c>
      <c r="AO271">
        <v>62000</v>
      </c>
      <c r="BB271" s="23">
        <f>_xlfn.XLOOKUP(TabelaClean14[[#This Row],[nome]],Base_Dirty!$B:$B,Base_Dirty!AX:AX)</f>
        <v>0</v>
      </c>
      <c r="BC27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72" spans="1:55">
      <c r="A272" s="24" t="s">
        <v>76</v>
      </c>
      <c r="B272" s="17" t="s">
        <v>953</v>
      </c>
      <c r="C272" s="25" t="s">
        <v>400</v>
      </c>
      <c r="D272" s="54">
        <v>55</v>
      </c>
      <c r="E272" s="30">
        <v>25880</v>
      </c>
      <c r="F272" s="24" t="str">
        <f>TabelaClean14[[#This Row],[CidadeCPF]]</f>
        <v>Ponta Tempestade</v>
      </c>
      <c r="G272" s="17" t="str">
        <f>TabelaClean14[[#This Row],[RegiaoCPF]]</f>
        <v>Terras Da Tempestade</v>
      </c>
      <c r="H272" s="17" t="str">
        <f>_xlfn.XLOOKUP(TabelaClean14[[#This Row],[cpf]],TabelaDirty[cpfclean],TabelaDirty[cidade])</f>
        <v>Ponta Tempestade</v>
      </c>
      <c r="I272" s="17" t="str">
        <f>_xlfn.XLOOKUP(TabelaClean14[[#This Row],[cpf]],TabelaDirty[cpfclean],TabelaDirty[regiao])</f>
        <v>Terras da Tempestade</v>
      </c>
      <c r="J272" s="17" t="str">
        <f>PROPER(TabelaClean14[[#This Row],[Coluna1]])</f>
        <v>Terras Da Tempestade</v>
      </c>
      <c r="K272" s="17" t="e">
        <f>_xlfn.TEXTBEFORE(TabelaClean14[[#This Row],[CidadeCPF]]," | ")</f>
        <v>#N/A</v>
      </c>
      <c r="L272" s="24" t="e">
        <f>_xlfn.TEXTAFTER(TabelaClean14[[#This Row],[CidadeCPF]]," | ")</f>
        <v>#N/A</v>
      </c>
      <c r="M272" s="26">
        <v>27500</v>
      </c>
      <c r="N272" s="78">
        <v>14000</v>
      </c>
      <c r="O272" s="1" t="s">
        <v>51</v>
      </c>
      <c r="P27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2" s="84">
        <v>3</v>
      </c>
      <c r="R272" s="1" t="str" cm="1">
        <f t="array" ref="R272">_xlfn.IFS(TabelaClean14[[#This Row],[qtde_batalhas]]&lt;=10,"Baixo",TabelaClean14[[#This Row],[qtde_batalhas]]&gt;=26,"Alto",TabelaClean14[[#This Row],[qtde_batalhas]]&lt;26,"Médio")</f>
        <v>Baixo</v>
      </c>
      <c r="S272" s="1" t="str">
        <f>IF(AND(TabelaClean14[[#This Row],[nivel_risco]]="Alto",TabelaClean14[[#This Row],[flag_inadimplente]]="Sim"),"Arriscado","Ok")</f>
        <v>Ok</v>
      </c>
      <c r="T272" s="26">
        <v>11500</v>
      </c>
      <c r="U272" s="81">
        <f>IF(AND(TabelaClean14[[#This Row],[analise_risco]]="Arriscado",TabelaClean14[[#This Row],[analise_credito]]="Reprovado"),0,IF(TabelaClean14[[#This Row],[status]]="Ativo",TabelaClean14[[#This Row],[valor_solicitado]]*1.08,0))</f>
        <v>12420</v>
      </c>
      <c r="W272" s="1"/>
      <c r="Y272" t="s">
        <v>809</v>
      </c>
      <c r="Z272" t="str">
        <f t="shared" si="4"/>
        <v>Null</v>
      </c>
      <c r="AE272" t="s">
        <v>400</v>
      </c>
      <c r="AF272" t="str">
        <f>TEXT(AE272,"000\.000\.000\-00")</f>
        <v>000.000.297-00</v>
      </c>
      <c r="AH272" s="15" t="s">
        <v>103</v>
      </c>
      <c r="AJ272" s="22" t="s">
        <v>85</v>
      </c>
      <c r="AK272">
        <v>11000</v>
      </c>
      <c r="AM272" s="21">
        <v>76500</v>
      </c>
      <c r="AN272">
        <v>76500</v>
      </c>
      <c r="AO272">
        <v>76500</v>
      </c>
      <c r="BB272" s="26">
        <v>27500</v>
      </c>
      <c r="BC272" s="81">
        <f>IF(AND(TabelaClean14[[#This Row],[analise_risco]]="Arriscado",TabelaClean14[[#This Row],[analise_credito]]="Reprovado"),0,IF(TabelaClean14[[#This Row],[status]]="Ativo",TabelaClean14[[#This Row],[valor_solicitado]]*1.08,0))</f>
        <v>12420</v>
      </c>
    </row>
    <row r="273" spans="1:55">
      <c r="A273" s="24" t="s">
        <v>76</v>
      </c>
      <c r="B273" s="17" t="s">
        <v>557</v>
      </c>
      <c r="C273" s="25" t="s">
        <v>558</v>
      </c>
      <c r="D273" s="54">
        <v>72</v>
      </c>
      <c r="E273" s="30">
        <v>19800</v>
      </c>
      <c r="F273" s="24" t="str">
        <f>TabelaClean14[[#This Row],[CidadeCPF]]</f>
        <v>Correrrio</v>
      </c>
      <c r="G273" s="17" t="str">
        <f>TabelaClean14[[#This Row],[RegiaoCPF]]</f>
        <v>Terras Fluviais</v>
      </c>
      <c r="H273" s="17" t="str">
        <f>_xlfn.XLOOKUP(TabelaClean14[[#This Row],[cpf]],TabelaDirty[cpfclean],TabelaDirty[cidade])</f>
        <v>Correrrio</v>
      </c>
      <c r="I273" s="17" t="str">
        <f>_xlfn.XLOOKUP(TabelaClean14[[#This Row],[cpf]],TabelaDirty[cpfclean],TabelaDirty[regiao])</f>
        <v>Terras Fluviais</v>
      </c>
      <c r="J273" s="17" t="str">
        <f>PROPER(TabelaClean14[[#This Row],[Coluna1]])</f>
        <v>Terras Fluviais</v>
      </c>
      <c r="K273" s="17" t="e">
        <f>_xlfn.TEXTBEFORE(TabelaClean14[[#This Row],[CidadeCPF]]," | ")</f>
        <v>#N/A</v>
      </c>
      <c r="L273" s="24" t="e">
        <f>_xlfn.TEXTAFTER(TabelaClean14[[#This Row],[CidadeCPF]]," | ")</f>
        <v>#N/A</v>
      </c>
      <c r="M273" s="26">
        <v>24300</v>
      </c>
      <c r="N273" s="78">
        <v>13500</v>
      </c>
      <c r="O273" s="1" t="s">
        <v>51</v>
      </c>
      <c r="P27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3" s="84">
        <v>33</v>
      </c>
      <c r="R273" s="1" t="str" cm="1">
        <f t="array" ref="R273">_xlfn.IFS(TabelaClean14[[#This Row],[qtde_batalhas]]&lt;=10,"Baixo",TabelaClean14[[#This Row],[qtde_batalhas]]&gt;=26,"Alto",TabelaClean14[[#This Row],[qtde_batalhas]]&lt;26,"Médio")</f>
        <v>Alto</v>
      </c>
      <c r="S273" s="1" t="str">
        <f>IF(AND(TabelaClean14[[#This Row],[nivel_risco]]="Alto",TabelaClean14[[#This Row],[flag_inadimplente]]="Sim"),"Arriscado","Ok")</f>
        <v>Arriscado</v>
      </c>
      <c r="T273" s="26">
        <v>14500</v>
      </c>
      <c r="U273" s="81">
        <f>IF(AND(TabelaClean14[[#This Row],[analise_risco]]="Arriscado",TabelaClean14[[#This Row],[analise_credito]]="Reprovado"),0,IF(TabelaClean14[[#This Row],[status]]="Ativo",TabelaClean14[[#This Row],[valor_solicitado]]*1.08,0))</f>
        <v>15660.000000000002</v>
      </c>
      <c r="W273" s="1"/>
      <c r="Y273" t="s">
        <v>149</v>
      </c>
      <c r="Z273" t="str">
        <f t="shared" si="4"/>
        <v>Campina</v>
      </c>
      <c r="AE273" t="s">
        <v>724</v>
      </c>
      <c r="AF273" t="str">
        <f>TEXT(AE273,"000\.000\.000\-00")</f>
        <v>000.000.298-00</v>
      </c>
      <c r="AH273" s="15" t="s">
        <v>141</v>
      </c>
      <c r="AJ273" s="22">
        <v>5100</v>
      </c>
      <c r="AK273">
        <v>5100</v>
      </c>
      <c r="AM273" s="20">
        <v>17000</v>
      </c>
      <c r="AN273">
        <v>17000</v>
      </c>
      <c r="AO273">
        <v>17000</v>
      </c>
      <c r="BB273" s="26">
        <v>24300</v>
      </c>
      <c r="BC273" s="81">
        <f>IF(AND(TabelaClean14[[#This Row],[analise_risco]]="Arriscado",TabelaClean14[[#This Row],[analise_credito]]="Reprovado"),0,IF(TabelaClean14[[#This Row],[status]]="Ativo",TabelaClean14[[#This Row],[valor_solicitado]]*1.08,0))</f>
        <v>15660.000000000002</v>
      </c>
    </row>
    <row r="274" spans="1:55">
      <c r="A274" s="29" t="s">
        <v>809</v>
      </c>
      <c r="B274" s="17" t="s">
        <v>490</v>
      </c>
      <c r="C274" s="25" t="s">
        <v>491</v>
      </c>
      <c r="D274" s="54">
        <v>56</v>
      </c>
      <c r="E274" s="30">
        <v>25705</v>
      </c>
      <c r="F274" s="24" t="str">
        <f>TabelaClean14[[#This Row],[CidadeCPF]]</f>
        <v>Porto Real</v>
      </c>
      <c r="G274" s="17" t="str">
        <f>TabelaClean14[[#This Row],[RegiaoCPF]]</f>
        <v>Terras Da Coroa</v>
      </c>
      <c r="H274" s="17" t="str">
        <f>_xlfn.XLOOKUP(TabelaClean14[[#This Row],[cpf]],TabelaDirty[cpfclean],TabelaDirty[cidade])</f>
        <v>Porto Real</v>
      </c>
      <c r="I274" s="17" t="str">
        <f>_xlfn.XLOOKUP(TabelaClean14[[#This Row],[cpf]],TabelaDirty[cpfclean],TabelaDirty[regiao])</f>
        <v>Terras da Coroa</v>
      </c>
      <c r="J274" s="17" t="str">
        <f>PROPER(TabelaClean14[[#This Row],[Coluna1]])</f>
        <v>Terras Da Coroa</v>
      </c>
      <c r="K274" s="17" t="e">
        <f>_xlfn.TEXTBEFORE(TabelaClean14[[#This Row],[CidadeCPF]]," | ")</f>
        <v>#N/A</v>
      </c>
      <c r="L274" s="24" t="e">
        <f>_xlfn.TEXTAFTER(TabelaClean14[[#This Row],[CidadeCPF]]," | ")</f>
        <v>#N/A</v>
      </c>
      <c r="M274" s="26">
        <v>11100</v>
      </c>
      <c r="N274" s="78">
        <v>13000</v>
      </c>
      <c r="O274" s="1" t="s">
        <v>50</v>
      </c>
      <c r="P27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4" s="84">
        <v>38</v>
      </c>
      <c r="R274" s="1" t="str" cm="1">
        <f t="array" ref="R274">_xlfn.IFS(TabelaClean14[[#This Row],[qtde_batalhas]]&lt;=10,"Baixo",TabelaClean14[[#This Row],[qtde_batalhas]]&gt;=26,"Alto",TabelaClean14[[#This Row],[qtde_batalhas]]&lt;26,"Médio")</f>
        <v>Alto</v>
      </c>
      <c r="S274" s="1" t="str">
        <f>IF(AND(TabelaClean14[[#This Row],[nivel_risco]]="Alto",TabelaClean14[[#This Row],[flag_inadimplente]]="Sim"),"Arriscado","Ok")</f>
        <v>Ok</v>
      </c>
      <c r="T274" s="26">
        <v>88000</v>
      </c>
      <c r="U27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74" s="1"/>
      <c r="Y274" t="s">
        <v>809</v>
      </c>
      <c r="Z274" t="str">
        <f t="shared" si="4"/>
        <v>Null</v>
      </c>
      <c r="AE274" t="s">
        <v>510</v>
      </c>
      <c r="AF274" t="str">
        <f>TEXT(AE274,"000\.000\.000\-00")</f>
        <v>000.000.301-00</v>
      </c>
      <c r="AH274" s="15" t="s">
        <v>172</v>
      </c>
      <c r="AJ274" s="22">
        <v>8800</v>
      </c>
      <c r="AK274">
        <v>8800</v>
      </c>
      <c r="AM274" s="21">
        <v>66000</v>
      </c>
      <c r="AN274">
        <v>66000</v>
      </c>
      <c r="AO274">
        <v>66000</v>
      </c>
      <c r="BB274" s="26">
        <v>11100</v>
      </c>
      <c r="BC27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75" spans="1:55">
      <c r="A275" s="24" t="s">
        <v>76</v>
      </c>
      <c r="B275" s="17" t="s">
        <v>124</v>
      </c>
      <c r="C275" s="25" t="s">
        <v>125</v>
      </c>
      <c r="D275" s="54">
        <v>33</v>
      </c>
      <c r="E275" s="30">
        <v>34147</v>
      </c>
      <c r="F275" s="24" t="str">
        <f>TabelaClean14[[#This Row],[CidadeCPF]]</f>
        <v>Meereen</v>
      </c>
      <c r="G275" s="17" t="str">
        <f>TabelaClean14[[#This Row],[RegiaoCPF]]</f>
        <v>Essos</v>
      </c>
      <c r="H275" s="17" t="str">
        <f>_xlfn.XLOOKUP(TabelaClean14[[#This Row],[cpf]],TabelaDirty[cpfclean],TabelaDirty[cidade])</f>
        <v>Meereen</v>
      </c>
      <c r="I275" s="17" t="str">
        <f>_xlfn.XLOOKUP(TabelaClean14[[#This Row],[cpf]],TabelaDirty[cpfclean],TabelaDirty[regiao])</f>
        <v>Essos</v>
      </c>
      <c r="J275" s="17" t="str">
        <f>PROPER(TabelaClean14[[#This Row],[Coluna1]])</f>
        <v>Essos</v>
      </c>
      <c r="K275" s="17" t="e">
        <f>_xlfn.TEXTBEFORE(TabelaClean14[[#This Row],[CidadeCPF]]," | ")</f>
        <v>#N/A</v>
      </c>
      <c r="L275" s="24" t="e">
        <f>_xlfn.TEXTAFTER(TabelaClean14[[#This Row],[CidadeCPF]]," | ")</f>
        <v>#N/A</v>
      </c>
      <c r="M275" s="26">
        <v>28700</v>
      </c>
      <c r="N275" s="78">
        <v>12500</v>
      </c>
      <c r="O275" s="1" t="s">
        <v>51</v>
      </c>
      <c r="P27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5" s="84">
        <v>41</v>
      </c>
      <c r="R275" s="1" t="str" cm="1">
        <f t="array" ref="R275">_xlfn.IFS(TabelaClean14[[#This Row],[qtde_batalhas]]&lt;=10,"Baixo",TabelaClean14[[#This Row],[qtde_batalhas]]&gt;=26,"Alto",TabelaClean14[[#This Row],[qtde_batalhas]]&lt;26,"Médio")</f>
        <v>Alto</v>
      </c>
      <c r="S275" s="1" t="str">
        <f>IF(AND(TabelaClean14[[#This Row],[nivel_risco]]="Alto",TabelaClean14[[#This Row],[flag_inadimplente]]="Sim"),"Arriscado","Ok")</f>
        <v>Arriscado</v>
      </c>
      <c r="T275" s="26">
        <v>99500</v>
      </c>
      <c r="U275" s="81">
        <f>IF(AND(TabelaClean14[[#This Row],[analise_risco]]="Arriscado",TabelaClean14[[#This Row],[analise_credito]]="Reprovado"),0,IF(TabelaClean14[[#This Row],[status]]="Ativo",TabelaClean14[[#This Row],[valor_solicitado]]*1.08,0))</f>
        <v>107460</v>
      </c>
      <c r="W275" s="1"/>
      <c r="Y275" t="s">
        <v>108</v>
      </c>
      <c r="Z275" t="str">
        <f t="shared" si="4"/>
        <v>Oeste</v>
      </c>
      <c r="AE275" t="s">
        <v>738</v>
      </c>
      <c r="AF275" t="str">
        <f>TEXT(AE275,"000\.000\.000\-00")</f>
        <v>000.000.302-00</v>
      </c>
      <c r="AH275" s="15" t="s">
        <v>302</v>
      </c>
      <c r="AJ275" s="22">
        <v>9000</v>
      </c>
      <c r="AK275">
        <v>9000</v>
      </c>
      <c r="AM275" s="20">
        <v>66000</v>
      </c>
      <c r="AN275">
        <v>66000</v>
      </c>
      <c r="AO275">
        <v>66000</v>
      </c>
      <c r="BB275" s="26">
        <v>28700</v>
      </c>
      <c r="BC275" s="81">
        <f>IF(AND(TabelaClean14[[#This Row],[analise_risco]]="Arriscado",TabelaClean14[[#This Row],[analise_credito]]="Reprovado"),0,IF(TabelaClean14[[#This Row],[status]]="Ativo",TabelaClean14[[#This Row],[valor_solicitado]]*1.08,0))</f>
        <v>107460</v>
      </c>
    </row>
    <row r="276" spans="1:55">
      <c r="A276" s="24" t="s">
        <v>76</v>
      </c>
      <c r="B276" s="17" t="s">
        <v>799</v>
      </c>
      <c r="C276" s="25" t="s">
        <v>800</v>
      </c>
      <c r="D276" s="54">
        <v>49</v>
      </c>
      <c r="E276" s="30">
        <v>28136</v>
      </c>
      <c r="F276" s="24" t="str">
        <f>TabelaClean14[[#This Row],[CidadeCPF]]</f>
        <v>Jardim de Cima</v>
      </c>
      <c r="G276" s="17" t="str">
        <f>TabelaClean14[[#This Row],[RegiaoCPF]]</f>
        <v>Campina</v>
      </c>
      <c r="H276" s="17" t="str">
        <f>_xlfn.XLOOKUP(TabelaClean14[[#This Row],[cpf]],TabelaDirty[cpfclean],TabelaDirty[cidade])</f>
        <v>Jardim de Cima</v>
      </c>
      <c r="I276" s="17" t="str">
        <f>_xlfn.XLOOKUP(TabelaClean14[[#This Row],[cpf]],TabelaDirty[cpfclean],TabelaDirty[regiao])</f>
        <v>campina</v>
      </c>
      <c r="J276" s="17" t="str">
        <f>PROPER(TabelaClean14[[#This Row],[Coluna1]])</f>
        <v>Campina</v>
      </c>
      <c r="K276" s="17" t="e">
        <f>_xlfn.TEXTBEFORE(TabelaClean14[[#This Row],[CidadeCPF]]," | ")</f>
        <v>#N/A</v>
      </c>
      <c r="L276" s="24" t="e">
        <f>_xlfn.TEXTAFTER(TabelaClean14[[#This Row],[CidadeCPF]]," | ")</f>
        <v>#N/A</v>
      </c>
      <c r="M276" s="26">
        <v>20300</v>
      </c>
      <c r="N276" s="78">
        <v>12000</v>
      </c>
      <c r="O276" s="1" t="s">
        <v>51</v>
      </c>
      <c r="P27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6" s="84">
        <v>27</v>
      </c>
      <c r="R276" s="1" t="str" cm="1">
        <f t="array" ref="R276">_xlfn.IFS(TabelaClean14[[#This Row],[qtde_batalhas]]&lt;=10,"Baixo",TabelaClean14[[#This Row],[qtde_batalhas]]&gt;=26,"Alto",TabelaClean14[[#This Row],[qtde_batalhas]]&lt;26,"Médio")</f>
        <v>Alto</v>
      </c>
      <c r="S276" s="1" t="str">
        <f>IF(AND(TabelaClean14[[#This Row],[nivel_risco]]="Alto",TabelaClean14[[#This Row],[flag_inadimplente]]="Sim"),"Arriscado","Ok")</f>
        <v>Arriscado</v>
      </c>
      <c r="T276" s="26">
        <v>67500</v>
      </c>
      <c r="U276" s="81">
        <f>IF(AND(TabelaClean14[[#This Row],[analise_risco]]="Arriscado",TabelaClean14[[#This Row],[analise_credito]]="Reprovado"),0,IF(TabelaClean14[[#This Row],[status]]="Ativo",TabelaClean14[[#This Row],[valor_solicitado]]*1.08,0))</f>
        <v>72900</v>
      </c>
      <c r="W276" s="1"/>
      <c r="Y276" t="s">
        <v>809</v>
      </c>
      <c r="Z276" t="str">
        <f t="shared" si="4"/>
        <v>Null</v>
      </c>
      <c r="AE276" t="s">
        <v>569</v>
      </c>
      <c r="AF276" t="str">
        <f>TEXT(AE276,"000\.000\.000\-00")</f>
        <v>000.000.303-00</v>
      </c>
      <c r="AH276" s="15" t="s">
        <v>162</v>
      </c>
      <c r="AJ276" s="22">
        <v>27600</v>
      </c>
      <c r="AK276">
        <v>27600</v>
      </c>
      <c r="AM276" s="21">
        <v>37000</v>
      </c>
      <c r="AN276">
        <v>37000</v>
      </c>
      <c r="AO276">
        <v>37000</v>
      </c>
      <c r="BB276" s="26">
        <v>20300</v>
      </c>
      <c r="BC276" s="81">
        <f>IF(AND(TabelaClean14[[#This Row],[analise_risco]]="Arriscado",TabelaClean14[[#This Row],[analise_credito]]="Reprovado"),0,IF(TabelaClean14[[#This Row],[status]]="Ativo",TabelaClean14[[#This Row],[valor_solicitado]]*1.08,0))</f>
        <v>72900</v>
      </c>
    </row>
    <row r="277" spans="1:55">
      <c r="A277" s="24" t="s">
        <v>76</v>
      </c>
      <c r="B277" s="17" t="s">
        <v>583</v>
      </c>
      <c r="C277" s="25" t="s">
        <v>584</v>
      </c>
      <c r="D277" s="54">
        <v>27</v>
      </c>
      <c r="E277" s="30">
        <v>36288</v>
      </c>
      <c r="F277" s="24" t="str">
        <f>TabelaClean14[[#This Row],[CidadeCPF]]</f>
        <v>Winterfell</v>
      </c>
      <c r="G277" s="17" t="str">
        <f>TabelaClean14[[#This Row],[RegiaoCPF]]</f>
        <v>Norte</v>
      </c>
      <c r="H277" s="17" t="str">
        <f>_xlfn.XLOOKUP(TabelaClean14[[#This Row],[cpf]],TabelaDirty[cpfclean],TabelaDirty[cidade])</f>
        <v>Winterfell</v>
      </c>
      <c r="I277" s="17" t="str">
        <f>_xlfn.XLOOKUP(TabelaClean14[[#This Row],[cpf]],TabelaDirty[cpfclean],TabelaDirty[regiao])</f>
        <v>Norte</v>
      </c>
      <c r="J277" s="17" t="str">
        <f>PROPER(TabelaClean14[[#This Row],[Coluna1]])</f>
        <v>Norte</v>
      </c>
      <c r="K277" s="17" t="e">
        <f>_xlfn.TEXTBEFORE(TabelaClean14[[#This Row],[CidadeCPF]]," | ")</f>
        <v>#N/A</v>
      </c>
      <c r="L277" s="24" t="e">
        <f>_xlfn.TEXTAFTER(TabelaClean14[[#This Row],[CidadeCPF]]," | ")</f>
        <v>#N/A</v>
      </c>
      <c r="M277" s="26">
        <v>29700</v>
      </c>
      <c r="N277" s="78">
        <v>12000</v>
      </c>
      <c r="O277" s="1" t="s">
        <v>51</v>
      </c>
      <c r="P27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7" s="84">
        <v>37</v>
      </c>
      <c r="R277" s="1" t="str" cm="1">
        <f t="array" ref="R277">_xlfn.IFS(TabelaClean14[[#This Row],[qtde_batalhas]]&lt;=10,"Baixo",TabelaClean14[[#This Row],[qtde_batalhas]]&gt;=26,"Alto",TabelaClean14[[#This Row],[qtde_batalhas]]&lt;26,"Médio")</f>
        <v>Alto</v>
      </c>
      <c r="S277" s="1" t="str">
        <f>IF(AND(TabelaClean14[[#This Row],[nivel_risco]]="Alto",TabelaClean14[[#This Row],[flag_inadimplente]]="Sim"),"Arriscado","Ok")</f>
        <v>Arriscado</v>
      </c>
      <c r="T277" s="26">
        <v>49000</v>
      </c>
      <c r="U277" s="81">
        <f>IF(AND(TabelaClean14[[#This Row],[analise_risco]]="Arriscado",TabelaClean14[[#This Row],[analise_credito]]="Reprovado"),0,IF(TabelaClean14[[#This Row],[status]]="Ativo",TabelaClean14[[#This Row],[valor_solicitado]]*1.08,0))</f>
        <v>52920</v>
      </c>
      <c r="W277" s="1"/>
      <c r="Y277" t="s">
        <v>809</v>
      </c>
      <c r="Z277" t="str">
        <f t="shared" si="4"/>
        <v>Null</v>
      </c>
      <c r="AE277" t="s">
        <v>545</v>
      </c>
      <c r="AF277" t="str">
        <f>TEXT(AE277,"000\.000\.000\-00")</f>
        <v>000.000.304-00</v>
      </c>
      <c r="AH277" s="15" t="s">
        <v>79</v>
      </c>
      <c r="AJ277" s="22" t="s">
        <v>390</v>
      </c>
      <c r="AK277">
        <v>22900</v>
      </c>
      <c r="AM277" s="20">
        <v>65500</v>
      </c>
      <c r="AN277">
        <v>65500</v>
      </c>
      <c r="AO277">
        <v>65500</v>
      </c>
      <c r="BB277" s="26">
        <v>29700</v>
      </c>
      <c r="BC277" s="81">
        <f>IF(AND(TabelaClean14[[#This Row],[analise_risco]]="Arriscado",TabelaClean14[[#This Row],[analise_credito]]="Reprovado"),0,IF(TabelaClean14[[#This Row],[status]]="Ativo",TabelaClean14[[#This Row],[valor_solicitado]]*1.08,0))</f>
        <v>52920</v>
      </c>
    </row>
    <row r="278" spans="1:55">
      <c r="A278" s="24" t="s">
        <v>81</v>
      </c>
      <c r="B278" s="17" t="s">
        <v>599</v>
      </c>
      <c r="C278" s="25" t="s">
        <v>925</v>
      </c>
      <c r="D278" s="54">
        <v>55</v>
      </c>
      <c r="E278" s="30">
        <v>25895</v>
      </c>
      <c r="F278" s="24" t="str">
        <f>TabelaClean14[[#This Row],[CidadeCPF]]</f>
        <v>Meereen</v>
      </c>
      <c r="G278" s="17" t="str">
        <f>TabelaClean14[[#This Row],[RegiaoCPF]]</f>
        <v>Essos</v>
      </c>
      <c r="H278" s="17" t="str">
        <f>_xlfn.XLOOKUP(TabelaClean14[[#This Row],[cpf]],TabelaDirty[cpfclean],TabelaDirty[cidade])</f>
        <v>Meereen</v>
      </c>
      <c r="I278" s="17" t="str">
        <f>_xlfn.XLOOKUP(TabelaClean14[[#This Row],[cpf]],TabelaDirty[cpfclean],TabelaDirty[regiao])</f>
        <v>Essos</v>
      </c>
      <c r="J278" s="17" t="str">
        <f>PROPER(TabelaClean14[[#This Row],[Coluna1]])</f>
        <v>Essos</v>
      </c>
      <c r="K278" s="17" t="e">
        <f>_xlfn.TEXTBEFORE(TabelaClean14[[#This Row],[CidadeCPF]]," | ")</f>
        <v>#N/A</v>
      </c>
      <c r="L278" s="24" t="e">
        <f>_xlfn.TEXTAFTER(TabelaClean14[[#This Row],[CidadeCPF]]," | ")</f>
        <v>#N/A</v>
      </c>
      <c r="M278" s="26">
        <v>6800</v>
      </c>
      <c r="N278" s="78">
        <v>12000</v>
      </c>
      <c r="O278" s="1" t="s">
        <v>50</v>
      </c>
      <c r="P27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8" s="84">
        <v>6</v>
      </c>
      <c r="R278" s="1" t="str" cm="1">
        <f t="array" ref="R278">_xlfn.IFS(TabelaClean14[[#This Row],[qtde_batalhas]]&lt;=10,"Baixo",TabelaClean14[[#This Row],[qtde_batalhas]]&gt;=26,"Alto",TabelaClean14[[#This Row],[qtde_batalhas]]&lt;26,"Médio")</f>
        <v>Baixo</v>
      </c>
      <c r="S278" s="1" t="str">
        <f>IF(AND(TabelaClean14[[#This Row],[nivel_risco]]="Alto",TabelaClean14[[#This Row],[flag_inadimplente]]="Sim"),"Arriscado","Ok")</f>
        <v>Ok</v>
      </c>
      <c r="T278" s="26">
        <v>11000</v>
      </c>
      <c r="U27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78" s="1"/>
      <c r="Y278" t="s">
        <v>149</v>
      </c>
      <c r="Z278" t="str">
        <f t="shared" si="4"/>
        <v>Campina</v>
      </c>
      <c r="AE278" t="s">
        <v>178</v>
      </c>
      <c r="AF278" t="str">
        <f>TEXT(AE278,"000\.000\.000\-00")</f>
        <v>000.000.306-00</v>
      </c>
      <c r="AH278" s="15" t="s">
        <v>79</v>
      </c>
      <c r="AJ278" s="22">
        <v>7200</v>
      </c>
      <c r="AK278">
        <v>7200</v>
      </c>
      <c r="AM278" s="21">
        <v>16000</v>
      </c>
      <c r="AN278">
        <v>16000</v>
      </c>
      <c r="AO278">
        <v>16000</v>
      </c>
      <c r="BB278" s="26">
        <v>6800</v>
      </c>
      <c r="BC27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79" spans="1:55">
      <c r="A279" s="24" t="s">
        <v>76</v>
      </c>
      <c r="B279" s="17" t="s">
        <v>954</v>
      </c>
      <c r="C279" s="25" t="s">
        <v>800</v>
      </c>
      <c r="D279" s="54">
        <v>49</v>
      </c>
      <c r="E279" s="30">
        <v>28126</v>
      </c>
      <c r="F279" s="25" t="s">
        <v>955</v>
      </c>
      <c r="G279" s="25" t="s">
        <v>149</v>
      </c>
      <c r="H279" s="24">
        <v>20300</v>
      </c>
      <c r="I279" s="24">
        <v>12000</v>
      </c>
      <c r="J279" s="24" t="s">
        <v>51</v>
      </c>
      <c r="K279" s="24">
        <v>27</v>
      </c>
      <c r="L279" s="24"/>
      <c r="M279" s="26">
        <v>67500</v>
      </c>
      <c r="N279" s="78">
        <v>12000</v>
      </c>
      <c r="O279" s="1" t="s">
        <v>51</v>
      </c>
      <c r="P279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79" s="84">
        <v>27</v>
      </c>
      <c r="R279" s="76" t="str" cm="1">
        <f t="array" ref="R279">_xlfn.IFS(TabelaClean14[[#This Row],[qtde_batalhas]]&lt;=10,"Baixo",TabelaClean14[[#This Row],[qtde_batalhas]]&gt;=26,"Alto",TabelaClean14[[#This Row],[qtde_batalhas]]&lt;26,"Médio")</f>
        <v>Alto</v>
      </c>
      <c r="S279" s="76" t="str">
        <f>IF(AND(TabelaClean14[[#This Row],[nivel_risco]]="Alto",TabelaClean14[[#This Row],[flag_inadimplente]]="Sim"),"Arriscado","Ok")</f>
        <v>Arriscado</v>
      </c>
      <c r="T279" s="26">
        <v>67500</v>
      </c>
      <c r="U279" s="81">
        <f>IF(AND(TabelaClean14[[#This Row],[analise_risco]]="Arriscado",TabelaClean14[[#This Row],[analise_credito]]="Reprovado"),0,IF(TabelaClean14[[#This Row],[status]]="Ativo",TabelaClean14[[#This Row],[valor_solicitado]]*1.08,0))</f>
        <v>72900</v>
      </c>
      <c r="W279" s="1"/>
      <c r="Y279" t="s">
        <v>122</v>
      </c>
      <c r="Z279" t="str">
        <f t="shared" si="4"/>
        <v>Essos</v>
      </c>
      <c r="AE279" t="s">
        <v>333</v>
      </c>
      <c r="AF279" t="str">
        <f>TEXT(AE279,"000\.000\.000\-00")</f>
        <v>000.000.308-00</v>
      </c>
      <c r="AH279" s="15" t="s">
        <v>79</v>
      </c>
      <c r="AJ279" s="22">
        <v>29200</v>
      </c>
      <c r="AK279">
        <v>29200</v>
      </c>
      <c r="AM279" s="20">
        <v>73500</v>
      </c>
      <c r="AN279">
        <v>73500</v>
      </c>
      <c r="AO279">
        <v>73500</v>
      </c>
      <c r="BB279" s="26">
        <v>67500</v>
      </c>
      <c r="BC279" s="81">
        <f>IF(AND(TabelaClean14[[#This Row],[analise_risco]]="Arriscado",TabelaClean14[[#This Row],[analise_credito]]="Reprovado"),0,IF(TabelaClean14[[#This Row],[status]]="Ativo",TabelaClean14[[#This Row],[valor_solicitado]]*1.08,0))</f>
        <v>72900</v>
      </c>
    </row>
    <row r="280" spans="1:55">
      <c r="A280" s="24" t="s">
        <v>76</v>
      </c>
      <c r="B280" s="17" t="s">
        <v>775</v>
      </c>
      <c r="C280" s="25" t="s">
        <v>776</v>
      </c>
      <c r="D280" s="54">
        <v>48</v>
      </c>
      <c r="E280" s="30">
        <v>28689</v>
      </c>
      <c r="F280" s="24" t="str">
        <f>TabelaClean14[[#This Row],[CidadeCPF]]</f>
        <v>Ponta Tempestade</v>
      </c>
      <c r="G280" s="17" t="str">
        <f>TabelaClean14[[#This Row],[RegiaoCPF]]</f>
        <v>Terras Da Tempestade</v>
      </c>
      <c r="H280" s="17" t="str">
        <f>_xlfn.XLOOKUP(TabelaClean14[[#This Row],[cpf]],TabelaDirty[cpfclean],TabelaDirty[cidade])</f>
        <v>Ponta Tempestade</v>
      </c>
      <c r="I280" s="17" t="str">
        <f>_xlfn.XLOOKUP(TabelaClean14[[#This Row],[cpf]],TabelaDirty[cpfclean],TabelaDirty[regiao])</f>
        <v>Terras da Tempestade</v>
      </c>
      <c r="J280" s="17" t="str">
        <f>PROPER(TabelaClean14[[#This Row],[Coluna1]])</f>
        <v>Terras Da Tempestade</v>
      </c>
      <c r="K280" s="17" t="e">
        <f>_xlfn.TEXTBEFORE(TabelaClean14[[#This Row],[CidadeCPF]]," | ")</f>
        <v>#N/A</v>
      </c>
      <c r="L280" s="24" t="e">
        <f>_xlfn.TEXTAFTER(TabelaClean14[[#This Row],[CidadeCPF]]," | ")</f>
        <v>#N/A</v>
      </c>
      <c r="M280" s="26">
        <v>18700</v>
      </c>
      <c r="N280" s="78">
        <v>11000</v>
      </c>
      <c r="O280" s="1" t="s">
        <v>51</v>
      </c>
      <c r="P28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0" s="84">
        <v>28</v>
      </c>
      <c r="R280" s="1" t="str" cm="1">
        <f t="array" ref="R280">_xlfn.IFS(TabelaClean14[[#This Row],[qtde_batalhas]]&lt;=10,"Baixo",TabelaClean14[[#This Row],[qtde_batalhas]]&gt;=26,"Alto",TabelaClean14[[#This Row],[qtde_batalhas]]&lt;26,"Médio")</f>
        <v>Alto</v>
      </c>
      <c r="S280" s="1" t="str">
        <f>IF(AND(TabelaClean14[[#This Row],[nivel_risco]]="Alto",TabelaClean14[[#This Row],[flag_inadimplente]]="Sim"),"Arriscado","Ok")</f>
        <v>Arriscado</v>
      </c>
      <c r="T280" s="26">
        <v>18000</v>
      </c>
      <c r="U280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  <c r="W280" s="1"/>
      <c r="Y280" t="s">
        <v>809</v>
      </c>
      <c r="Z280" t="str">
        <f t="shared" si="4"/>
        <v>Null</v>
      </c>
      <c r="AE280" t="s">
        <v>246</v>
      </c>
      <c r="AF280" t="str">
        <f>TEXT(AE280,"000\.000\.000\-00")</f>
        <v>000.000.309-00</v>
      </c>
      <c r="AH280" s="15" t="s">
        <v>302</v>
      </c>
      <c r="AJ280" s="22">
        <v>7100</v>
      </c>
      <c r="AK280">
        <v>7100</v>
      </c>
      <c r="AM280" s="21">
        <v>61500</v>
      </c>
      <c r="AN280">
        <v>61500</v>
      </c>
      <c r="AO280">
        <v>61500</v>
      </c>
      <c r="BB280" s="26">
        <v>18700</v>
      </c>
      <c r="BC280" s="81">
        <f>IF(AND(TabelaClean14[[#This Row],[analise_risco]]="Arriscado",TabelaClean14[[#This Row],[analise_credito]]="Reprovado"),0,IF(TabelaClean14[[#This Row],[status]]="Ativo",TabelaClean14[[#This Row],[valor_solicitado]]*1.08,0))</f>
        <v>19440</v>
      </c>
    </row>
    <row r="281" spans="1:55">
      <c r="A281" s="24" t="s">
        <v>81</v>
      </c>
      <c r="B281" s="17" t="s">
        <v>347</v>
      </c>
      <c r="C281" s="25" t="s">
        <v>348</v>
      </c>
      <c r="D281" s="54">
        <v>59</v>
      </c>
      <c r="E281" s="30">
        <v>24554</v>
      </c>
      <c r="F281" s="24" t="str">
        <f>TabelaClean14[[#This Row],[CidadeCPF]]</f>
        <v>Meereen</v>
      </c>
      <c r="G281" s="17" t="str">
        <f>TabelaClean14[[#This Row],[RegiaoCPF]]</f>
        <v>Essos</v>
      </c>
      <c r="H281" s="17" t="str">
        <f>_xlfn.XLOOKUP(TabelaClean14[[#This Row],[cpf]],TabelaDirty[cpfclean],TabelaDirty[cidade])</f>
        <v>Meereen</v>
      </c>
      <c r="I281" s="17" t="str">
        <f>_xlfn.XLOOKUP(TabelaClean14[[#This Row],[cpf]],TabelaDirty[cpfclean],TabelaDirty[regiao])</f>
        <v>Essos</v>
      </c>
      <c r="J281" s="17" t="str">
        <f>PROPER(TabelaClean14[[#This Row],[Coluna1]])</f>
        <v>Essos</v>
      </c>
      <c r="K281" s="17" t="e">
        <f>_xlfn.TEXTBEFORE(TabelaClean14[[#This Row],[CidadeCPF]]," | ")</f>
        <v>#N/A</v>
      </c>
      <c r="L281" s="24" t="e">
        <f>_xlfn.TEXTAFTER(TabelaClean14[[#This Row],[CidadeCPF]]," | ")</f>
        <v>#N/A</v>
      </c>
      <c r="M281" s="26">
        <v>15200</v>
      </c>
      <c r="N281" s="78">
        <v>11000</v>
      </c>
      <c r="O281" s="1" t="s">
        <v>51</v>
      </c>
      <c r="P28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1" s="84">
        <v>27</v>
      </c>
      <c r="R281" s="1" t="str" cm="1">
        <f t="array" ref="R281">_xlfn.IFS(TabelaClean14[[#This Row],[qtde_batalhas]]&lt;=10,"Baixo",TabelaClean14[[#This Row],[qtde_batalhas]]&gt;=26,"Alto",TabelaClean14[[#This Row],[qtde_batalhas]]&lt;26,"Médio")</f>
        <v>Alto</v>
      </c>
      <c r="S281" s="1" t="str">
        <f>IF(AND(TabelaClean14[[#This Row],[nivel_risco]]="Alto",TabelaClean14[[#This Row],[flag_inadimplente]]="Sim"),"Arriscado","Ok")</f>
        <v>Arriscado</v>
      </c>
      <c r="T281" s="26">
        <v>87000</v>
      </c>
      <c r="U28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81" s="1"/>
      <c r="Y281" t="s">
        <v>809</v>
      </c>
      <c r="Z281" t="str">
        <f t="shared" si="4"/>
        <v>Null</v>
      </c>
      <c r="AE281" t="s">
        <v>407</v>
      </c>
      <c r="AF281" t="str">
        <f>TEXT(AE281,"000\.000\.000\-00")</f>
        <v>000.000.310-00</v>
      </c>
      <c r="AH281" s="15" t="s">
        <v>83</v>
      </c>
      <c r="AJ281" s="22">
        <v>27800</v>
      </c>
      <c r="AK281">
        <v>27800</v>
      </c>
      <c r="AM281" s="20">
        <v>52000</v>
      </c>
      <c r="AN281">
        <v>52000</v>
      </c>
      <c r="AO281">
        <v>52000</v>
      </c>
      <c r="BB281" s="26">
        <v>15200</v>
      </c>
      <c r="BC28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82" spans="1:55">
      <c r="A282" s="24" t="s">
        <v>81</v>
      </c>
      <c r="B282" s="17" t="s">
        <v>775</v>
      </c>
      <c r="C282" s="25" t="s">
        <v>956</v>
      </c>
      <c r="D282" s="54">
        <v>38</v>
      </c>
      <c r="E282" s="30" t="s">
        <v>957</v>
      </c>
      <c r="F282" s="25" t="s">
        <v>89</v>
      </c>
      <c r="G282" s="25" t="s">
        <v>413</v>
      </c>
      <c r="H282" s="24">
        <v>23600</v>
      </c>
      <c r="I282" s="24"/>
      <c r="J282" s="24" t="s">
        <v>50</v>
      </c>
      <c r="K282" s="24"/>
      <c r="L282" s="24"/>
      <c r="M282" s="26">
        <v>28500</v>
      </c>
      <c r="N282" s="78">
        <f>_xlfn.XLOOKUP(TabelaClean14[[#This Row],[nome]],Base_Dirty!$B:$B,Base_Dirty!J:J)</f>
        <v>11000</v>
      </c>
      <c r="O282" s="1" t="s">
        <v>50</v>
      </c>
      <c r="P282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282" s="76" t="str" cm="1">
        <f t="array" ref="R282">_xlfn.IFS(TabelaClean14[[#This Row],[qtde_batalhas]]&lt;=10,"Baixo",TabelaClean14[[#This Row],[qtde_batalhas]]&gt;=26,"Alto",TabelaClean14[[#This Row],[qtde_batalhas]]&lt;26,"Médio")</f>
        <v>Baixo</v>
      </c>
      <c r="S282" s="76" t="str">
        <f>IF(AND(TabelaClean14[[#This Row],[nivel_risco]]="Alto",TabelaClean14[[#This Row],[flag_inadimplente]]="Sim"),"Arriscado","Ok")</f>
        <v>Ok</v>
      </c>
      <c r="T282" s="26">
        <v>28500</v>
      </c>
      <c r="U28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82" s="1"/>
      <c r="Y282" t="s">
        <v>809</v>
      </c>
      <c r="Z282" t="str">
        <f t="shared" si="4"/>
        <v>Null</v>
      </c>
      <c r="AE282" t="s">
        <v>288</v>
      </c>
      <c r="AF282" t="str">
        <f>TEXT(AE282,"000\.000\.000\-00")</f>
        <v>000.000.311-00</v>
      </c>
      <c r="AH282" s="15" t="s">
        <v>172</v>
      </c>
      <c r="AJ282" s="22">
        <v>17400</v>
      </c>
      <c r="AK282">
        <v>17400</v>
      </c>
      <c r="AM282" s="21">
        <v>75500</v>
      </c>
      <c r="AN282">
        <v>75500</v>
      </c>
      <c r="AO282">
        <v>75500</v>
      </c>
      <c r="BB282" s="26">
        <v>28500</v>
      </c>
      <c r="BC28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83" spans="1:55">
      <c r="A283" s="24" t="s">
        <v>81</v>
      </c>
      <c r="B283" s="17" t="s">
        <v>778</v>
      </c>
      <c r="C283" s="25" t="s">
        <v>829</v>
      </c>
      <c r="D283" s="54">
        <v>53</v>
      </c>
      <c r="E283" s="30">
        <v>26744</v>
      </c>
      <c r="F283" s="24" t="str">
        <f>TabelaClean14[[#This Row],[CidadeCPF]]</f>
        <v>Pyke</v>
      </c>
      <c r="G283" s="17" t="str">
        <f>TabelaClean14[[#This Row],[RegiaoCPF]]</f>
        <v>Ilhas De Ferro</v>
      </c>
      <c r="H283" s="17" t="str">
        <f>_xlfn.XLOOKUP(TabelaClean14[[#This Row],[cpf]],TabelaDirty[cpfclean],TabelaDirty[cidade])</f>
        <v>Pyke</v>
      </c>
      <c r="I283" s="17" t="str">
        <f>_xlfn.XLOOKUP(TabelaClean14[[#This Row],[cpf]],TabelaDirty[cpfclean],TabelaDirty[regiao])</f>
        <v>Ilhas de Ferro</v>
      </c>
      <c r="J283" s="17" t="str">
        <f>PROPER(TabelaClean14[[#This Row],[Coluna1]])</f>
        <v>Ilhas De Ferro</v>
      </c>
      <c r="K283" s="17" t="e">
        <f>_xlfn.TEXTBEFORE(TabelaClean14[[#This Row],[CidadeCPF]]," | ")</f>
        <v>#N/A</v>
      </c>
      <c r="L283" s="24" t="e">
        <f>_xlfn.TEXTAFTER(TabelaClean14[[#This Row],[CidadeCPF]]," | ")</f>
        <v>#N/A</v>
      </c>
      <c r="M283" s="26">
        <v>26400</v>
      </c>
      <c r="N283" s="78">
        <v>9500</v>
      </c>
      <c r="O283" s="1" t="s">
        <v>51</v>
      </c>
      <c r="P28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3" s="84">
        <v>21</v>
      </c>
      <c r="R283" s="1" t="str" cm="1">
        <f t="array" ref="R283">_xlfn.IFS(TabelaClean14[[#This Row],[qtde_batalhas]]&lt;=10,"Baixo",TabelaClean14[[#This Row],[qtde_batalhas]]&gt;=26,"Alto",TabelaClean14[[#This Row],[qtde_batalhas]]&lt;26,"Médio")</f>
        <v>Médio</v>
      </c>
      <c r="S283" s="1" t="str">
        <f>IF(AND(TabelaClean14[[#This Row],[nivel_risco]]="Alto",TabelaClean14[[#This Row],[flag_inadimplente]]="Sim"),"Arriscado","Ok")</f>
        <v>Ok</v>
      </c>
      <c r="T283" s="26">
        <v>16000</v>
      </c>
      <c r="U28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83" s="1"/>
      <c r="Y283" t="s">
        <v>809</v>
      </c>
      <c r="Z283" t="str">
        <f t="shared" si="4"/>
        <v>Null</v>
      </c>
      <c r="AE283" t="s">
        <v>709</v>
      </c>
      <c r="AF283" t="str">
        <f>TEXT(AE283,"000\.000\.000\-00")</f>
        <v>000.000.312-00</v>
      </c>
      <c r="AH283" s="15" t="s">
        <v>242</v>
      </c>
      <c r="AJ283" s="22">
        <v>13400</v>
      </c>
      <c r="AK283">
        <v>13400</v>
      </c>
      <c r="AM283" s="20">
        <v>54000</v>
      </c>
      <c r="AN283">
        <v>54000</v>
      </c>
      <c r="AO283">
        <v>54000</v>
      </c>
      <c r="BB283" s="26">
        <v>26400</v>
      </c>
      <c r="BC28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84" spans="1:55">
      <c r="A284" s="24" t="s">
        <v>76</v>
      </c>
      <c r="B284" s="17" t="s">
        <v>793</v>
      </c>
      <c r="C284" s="25" t="s">
        <v>903</v>
      </c>
      <c r="D284" s="54">
        <v>67</v>
      </c>
      <c r="E284" s="30">
        <v>21689</v>
      </c>
      <c r="F284" s="24" t="str">
        <f>TabelaClean14[[#This Row],[CidadeCPF]]</f>
        <v>Meereen</v>
      </c>
      <c r="G284" s="17" t="str">
        <f>TabelaClean14[[#This Row],[RegiaoCPF]]</f>
        <v>Essos</v>
      </c>
      <c r="H284" s="17" t="str">
        <f>_xlfn.XLOOKUP(TabelaClean14[[#This Row],[cpf]],TabelaDirty[cpfclean],TabelaDirty[cidade])</f>
        <v>Meereen</v>
      </c>
      <c r="I284" s="17" t="str">
        <f>_xlfn.XLOOKUP(TabelaClean14[[#This Row],[cpf]],TabelaDirty[cpfclean],TabelaDirty[regiao])</f>
        <v>Essos</v>
      </c>
      <c r="J284" s="17" t="str">
        <f>PROPER(TabelaClean14[[#This Row],[Coluna1]])</f>
        <v>Essos</v>
      </c>
      <c r="K284" s="17" t="e">
        <f>_xlfn.TEXTBEFORE(TabelaClean14[[#This Row],[CidadeCPF]]," | ")</f>
        <v>#N/A</v>
      </c>
      <c r="L284" s="24" t="e">
        <f>_xlfn.TEXTAFTER(TabelaClean14[[#This Row],[CidadeCPF]]," | ")</f>
        <v>#N/A</v>
      </c>
      <c r="M284" s="26">
        <v>10700</v>
      </c>
      <c r="N284" s="78">
        <v>9000</v>
      </c>
      <c r="O284" s="1" t="s">
        <v>51</v>
      </c>
      <c r="P28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4" s="84">
        <v>37</v>
      </c>
      <c r="R284" s="1" t="str" cm="1">
        <f t="array" ref="R284">_xlfn.IFS(TabelaClean14[[#This Row],[qtde_batalhas]]&lt;=10,"Baixo",TabelaClean14[[#This Row],[qtde_batalhas]]&gt;=26,"Alto",TabelaClean14[[#This Row],[qtde_batalhas]]&lt;26,"Médio")</f>
        <v>Alto</v>
      </c>
      <c r="S284" s="1" t="str">
        <f>IF(AND(TabelaClean14[[#This Row],[nivel_risco]]="Alto",TabelaClean14[[#This Row],[flag_inadimplente]]="Sim"),"Arriscado","Ok")</f>
        <v>Arriscado</v>
      </c>
      <c r="T284" s="26">
        <v>53000</v>
      </c>
      <c r="U284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  <c r="W284" s="1"/>
      <c r="Y284" t="s">
        <v>331</v>
      </c>
      <c r="Z284" t="str">
        <f t="shared" si="4"/>
        <v>Terras Da Coroa</v>
      </c>
      <c r="AE284" t="s">
        <v>619</v>
      </c>
      <c r="AF284" t="str">
        <f>TEXT(AE284,"000\.000\.000\-00")</f>
        <v>000.000.313-00</v>
      </c>
      <c r="AH284" s="15" t="s">
        <v>79</v>
      </c>
      <c r="AJ284" s="22">
        <v>20700</v>
      </c>
      <c r="AK284">
        <v>20700</v>
      </c>
      <c r="AM284" s="21">
        <v>17500</v>
      </c>
      <c r="AN284">
        <v>17500</v>
      </c>
      <c r="AO284">
        <v>17500</v>
      </c>
      <c r="BB284" s="26">
        <v>10700</v>
      </c>
      <c r="BC284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</row>
    <row r="285" spans="1:55">
      <c r="A285" s="24" t="s">
        <v>76</v>
      </c>
      <c r="B285" s="17" t="s">
        <v>958</v>
      </c>
      <c r="C285" s="25" t="s">
        <v>831</v>
      </c>
      <c r="D285" s="54">
        <v>48</v>
      </c>
      <c r="E285" s="30">
        <v>28509</v>
      </c>
      <c r="F285" s="24" t="str">
        <f>TabelaClean14[[#This Row],[CidadeCPF]]</f>
        <v>Harrenhal</v>
      </c>
      <c r="G285" s="17" t="str">
        <f>TabelaClean14[[#This Row],[RegiaoCPF]]</f>
        <v>Terras Fluviais</v>
      </c>
      <c r="H285" s="17" t="str">
        <f>_xlfn.XLOOKUP(TabelaClean14[[#This Row],[cpf]],TabelaDirty[cpfclean],TabelaDirty[cidade])</f>
        <v>Harrenhal</v>
      </c>
      <c r="I285" s="17" t="str">
        <f>_xlfn.XLOOKUP(TabelaClean14[[#This Row],[cpf]],TabelaDirty[cpfclean],TabelaDirty[regiao])</f>
        <v>TERRAS FLUVIAIS</v>
      </c>
      <c r="J285" s="17" t="str">
        <f>PROPER(TabelaClean14[[#This Row],[Coluna1]])</f>
        <v>Terras Fluviais</v>
      </c>
      <c r="K285" s="17" t="e">
        <f>_xlfn.TEXTBEFORE(TabelaClean14[[#This Row],[CidadeCPF]]," | ")</f>
        <v>#N/A</v>
      </c>
      <c r="L285" s="24" t="e">
        <f>_xlfn.TEXTAFTER(TabelaClean14[[#This Row],[CidadeCPF]]," | ")</f>
        <v>#N/A</v>
      </c>
      <c r="M285" s="26">
        <v>17800</v>
      </c>
      <c r="N285" s="78">
        <v>9000</v>
      </c>
      <c r="O285" s="1" t="s">
        <v>51</v>
      </c>
      <c r="P28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5" s="84">
        <v>28</v>
      </c>
      <c r="R285" s="1" t="str" cm="1">
        <f t="array" ref="R285">_xlfn.IFS(TabelaClean14[[#This Row],[qtde_batalhas]]&lt;=10,"Baixo",TabelaClean14[[#This Row],[qtde_batalhas]]&gt;=26,"Alto",TabelaClean14[[#This Row],[qtde_batalhas]]&lt;26,"Médio")</f>
        <v>Alto</v>
      </c>
      <c r="S285" s="1" t="str">
        <f>IF(AND(TabelaClean14[[#This Row],[nivel_risco]]="Alto",TabelaClean14[[#This Row],[flag_inadimplente]]="Sim"),"Arriscado","Ok")</f>
        <v>Arriscado</v>
      </c>
      <c r="T285" s="26">
        <v>80000</v>
      </c>
      <c r="U285" s="81">
        <f>IF(AND(TabelaClean14[[#This Row],[analise_risco]]="Arriscado",TabelaClean14[[#This Row],[analise_credito]]="Reprovado"),0,IF(TabelaClean14[[#This Row],[status]]="Ativo",TabelaClean14[[#This Row],[valor_solicitado]]*1.08,0))</f>
        <v>86400</v>
      </c>
      <c r="W285" s="1"/>
      <c r="Y285" t="s">
        <v>809</v>
      </c>
      <c r="Z285" t="str">
        <f t="shared" si="4"/>
        <v>Null</v>
      </c>
      <c r="AE285" t="s">
        <v>398</v>
      </c>
      <c r="AF285" t="str">
        <f>TEXT(AE285,"000\.000\.000\-00")</f>
        <v>000.000.314-00</v>
      </c>
      <c r="AH285" s="15" t="s">
        <v>657</v>
      </c>
      <c r="AI285" t="e" cm="1" vm="1">
        <f t="array" aca="1" ref="AI285" ca="1">_xlfn.TEXTSPLIT(AH285," | ")</f>
        <v>#VALUE!</v>
      </c>
      <c r="AJ285" s="22">
        <v>10700</v>
      </c>
      <c r="AK285">
        <v>10700</v>
      </c>
      <c r="AL285" t="s">
        <v>108</v>
      </c>
      <c r="AM285" s="20" t="s">
        <v>608</v>
      </c>
      <c r="AN285" t="s">
        <v>809</v>
      </c>
      <c r="AO285" t="s">
        <v>809</v>
      </c>
      <c r="BB285" s="26">
        <v>17800</v>
      </c>
      <c r="BC285" s="81">
        <f>IF(AND(TabelaClean14[[#This Row],[analise_risco]]="Arriscado",TabelaClean14[[#This Row],[analise_credito]]="Reprovado"),0,IF(TabelaClean14[[#This Row],[status]]="Ativo",TabelaClean14[[#This Row],[valor_solicitado]]*1.08,0))</f>
        <v>86400</v>
      </c>
    </row>
    <row r="286" spans="1:55">
      <c r="A286" s="24" t="s">
        <v>76</v>
      </c>
      <c r="B286" s="17" t="s">
        <v>245</v>
      </c>
      <c r="C286" s="25" t="s">
        <v>246</v>
      </c>
      <c r="D286" s="54">
        <v>47</v>
      </c>
      <c r="E286" s="30">
        <v>28802</v>
      </c>
      <c r="F286" s="24" t="str">
        <f>TabelaClean14[[#This Row],[CidadeCPF]]</f>
        <v>Atalaia da Água Cinzenta</v>
      </c>
      <c r="G286" s="17" t="str">
        <f>TabelaClean14[[#This Row],[RegiaoCPF]]</f>
        <v>Gargalo</v>
      </c>
      <c r="H286" s="17" t="str">
        <f>_xlfn.XLOOKUP(TabelaClean14[[#This Row],[cpf]],TabelaDirty[cpfclean],TabelaDirty[cidade])</f>
        <v>Atalaia da Água Cinzenta</v>
      </c>
      <c r="I286" s="17" t="str">
        <f>_xlfn.XLOOKUP(TabelaClean14[[#This Row],[cpf]],TabelaDirty[cpfclean],TabelaDirty[regiao])</f>
        <v>GARGALO</v>
      </c>
      <c r="J286" s="17" t="str">
        <f>PROPER(TabelaClean14[[#This Row],[Coluna1]])</f>
        <v>Gargalo</v>
      </c>
      <c r="K286" s="17" t="e">
        <f>_xlfn.TEXTBEFORE(TabelaClean14[[#This Row],[CidadeCPF]]," | ")</f>
        <v>#N/A</v>
      </c>
      <c r="L286" s="24" t="e">
        <f>_xlfn.TEXTAFTER(TabelaClean14[[#This Row],[CidadeCPF]]," | ")</f>
        <v>#N/A</v>
      </c>
      <c r="M286" s="26">
        <v>22700</v>
      </c>
      <c r="N286" s="78">
        <v>8500</v>
      </c>
      <c r="O286" s="1" t="s">
        <v>51</v>
      </c>
      <c r="P28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6" s="84">
        <v>35</v>
      </c>
      <c r="R286" s="1" t="str" cm="1">
        <f t="array" ref="R286">_xlfn.IFS(TabelaClean14[[#This Row],[qtde_batalhas]]&lt;=10,"Baixo",TabelaClean14[[#This Row],[qtde_batalhas]]&gt;=26,"Alto",TabelaClean14[[#This Row],[qtde_batalhas]]&lt;26,"Médio")</f>
        <v>Alto</v>
      </c>
      <c r="S286" s="1" t="str">
        <f>IF(AND(TabelaClean14[[#This Row],[nivel_risco]]="Alto",TabelaClean14[[#This Row],[flag_inadimplente]]="Sim"),"Arriscado","Ok")</f>
        <v>Arriscado</v>
      </c>
      <c r="T286" s="26">
        <v>23500</v>
      </c>
      <c r="U286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  <c r="W286" s="1"/>
      <c r="Y286" t="s">
        <v>809</v>
      </c>
      <c r="Z286" t="str">
        <f t="shared" si="4"/>
        <v>Null</v>
      </c>
      <c r="AE286" t="s">
        <v>647</v>
      </c>
      <c r="AF286" t="str">
        <f>TEXT(AE286,"000\.000\.000\-00")</f>
        <v>000.000.315-00</v>
      </c>
      <c r="AJ286" s="22">
        <v>19800</v>
      </c>
      <c r="AK286">
        <v>19800</v>
      </c>
      <c r="AM286" s="21">
        <v>78500</v>
      </c>
      <c r="AN286">
        <v>78500</v>
      </c>
      <c r="AO286">
        <v>78500</v>
      </c>
      <c r="BB286" s="26">
        <v>22700</v>
      </c>
      <c r="BC286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</row>
    <row r="287" spans="1:55">
      <c r="A287" s="24" t="s">
        <v>76</v>
      </c>
      <c r="B287" s="17" t="s">
        <v>94</v>
      </c>
      <c r="C287" s="25" t="s">
        <v>95</v>
      </c>
      <c r="D287" s="54">
        <v>63</v>
      </c>
      <c r="E287" s="30">
        <v>23156</v>
      </c>
      <c r="F287" s="17" t="str">
        <f>TabelaClean14[[#This Row],[CidadeClean]]</f>
        <v>Pyke</v>
      </c>
      <c r="G287" s="17" t="str">
        <f>TabelaClean14[[#This Row],[RegiaoClean]]</f>
        <v>Ilhas de Ferro</v>
      </c>
      <c r="H287" s="17" t="str">
        <f>_xlfn.XLOOKUP(TabelaClean14[[#This Row],[cpf]],TabelaDirty[cpfclean],TabelaDirty[cidade])</f>
        <v>Pyke | Ilhas de Ferro</v>
      </c>
      <c r="I287" s="17">
        <f>_xlfn.XLOOKUP(TabelaClean14[[#This Row],[cpf]],TabelaDirty[cpfclean],TabelaDirty[regiao])</f>
        <v>0</v>
      </c>
      <c r="J287" s="17" t="s">
        <v>132</v>
      </c>
      <c r="K287" s="17" t="str">
        <f>_xlfn.TEXTBEFORE(TabelaClean14[[#This Row],[CidadeCPF]]," | ")</f>
        <v>Pyke</v>
      </c>
      <c r="L287" s="24" t="str">
        <f>_xlfn.TEXTAFTER(TabelaClean14[[#This Row],[CidadeCPF]]," | ")</f>
        <v>Ilhas de Ferro</v>
      </c>
      <c r="M287" s="26">
        <v>10400</v>
      </c>
      <c r="N287" s="78">
        <v>8500</v>
      </c>
      <c r="O287" s="1" t="s">
        <v>51</v>
      </c>
      <c r="P28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7" s="84">
        <v>39</v>
      </c>
      <c r="R287" s="1" t="str" cm="1">
        <f t="array" ref="R287">_xlfn.IFS(TabelaClean14[[#This Row],[qtde_batalhas]]&lt;=10,"Baixo",TabelaClean14[[#This Row],[qtde_batalhas]]&gt;=26,"Alto",TabelaClean14[[#This Row],[qtde_batalhas]]&lt;26,"Médio")</f>
        <v>Alto</v>
      </c>
      <c r="S287" s="1" t="str">
        <f>IF(AND(TabelaClean14[[#This Row],[nivel_risco]]="Alto",TabelaClean14[[#This Row],[flag_inadimplente]]="Sim"),"Arriscado","Ok")</f>
        <v>Arriscado</v>
      </c>
      <c r="T287" s="26">
        <v>36500</v>
      </c>
      <c r="U287" s="81">
        <f>IF(AND(TabelaClean14[[#This Row],[analise_risco]]="Arriscado",TabelaClean14[[#This Row],[analise_credito]]="Reprovado"),0,IF(TabelaClean14[[#This Row],[status]]="Ativo",TabelaClean14[[#This Row],[valor_solicitado]]*1.08,0))</f>
        <v>39420</v>
      </c>
      <c r="W287" s="1"/>
      <c r="Y287" t="s">
        <v>809</v>
      </c>
      <c r="Z287" t="str">
        <f t="shared" si="4"/>
        <v>Null</v>
      </c>
      <c r="AE287" t="s">
        <v>540</v>
      </c>
      <c r="AF287" t="str">
        <f>TEXT(AE287,"000\.000\.000\-00")</f>
        <v>000.000.316-00</v>
      </c>
      <c r="AJ287" s="22">
        <v>22700</v>
      </c>
      <c r="AK287">
        <v>22700</v>
      </c>
      <c r="AM287" s="20">
        <v>42500</v>
      </c>
      <c r="AN287">
        <v>42500</v>
      </c>
      <c r="AO287">
        <v>42500</v>
      </c>
      <c r="BB287" s="26">
        <v>10400</v>
      </c>
      <c r="BC287" s="81">
        <f>IF(AND(TabelaClean14[[#This Row],[analise_risco]]="Arriscado",TabelaClean14[[#This Row],[analise_credito]]="Reprovado"),0,IF(TabelaClean14[[#This Row],[status]]="Ativo",TabelaClean14[[#This Row],[valor_solicitado]]*1.08,0))</f>
        <v>39420</v>
      </c>
    </row>
    <row r="288" spans="1:55">
      <c r="A288" s="24" t="s">
        <v>76</v>
      </c>
      <c r="B288" s="17" t="s">
        <v>717</v>
      </c>
      <c r="C288" s="25" t="s">
        <v>718</v>
      </c>
      <c r="D288" s="54">
        <v>50</v>
      </c>
      <c r="E288" s="30">
        <v>27886</v>
      </c>
      <c r="F288" s="24" t="str">
        <f>TabelaClean14[[#This Row],[CidadeCPF]]</f>
        <v>Dorne</v>
      </c>
      <c r="G288" s="17" t="str">
        <f>TabelaClean14[[#This Row],[RegiaoCPF]]</f>
        <v>Dorne</v>
      </c>
      <c r="H288" s="17" t="str">
        <f>_xlfn.XLOOKUP(TabelaClean14[[#This Row],[cpf]],TabelaDirty[cpfclean],TabelaDirty[cidade])</f>
        <v>Dorne</v>
      </c>
      <c r="I288" s="17" t="str">
        <f>_xlfn.XLOOKUP(TabelaClean14[[#This Row],[cpf]],TabelaDirty[cpfclean],TabelaDirty[regiao])</f>
        <v>Dorne</v>
      </c>
      <c r="J288" s="17" t="str">
        <f>PROPER(TabelaClean14[[#This Row],[Coluna1]])</f>
        <v>Dorne</v>
      </c>
      <c r="K288" s="17" t="e">
        <f>_xlfn.TEXTBEFORE(TabelaClean14[[#This Row],[CidadeCPF]]," | ")</f>
        <v>#N/A</v>
      </c>
      <c r="L288" s="24" t="e">
        <f>_xlfn.TEXTAFTER(TabelaClean14[[#This Row],[CidadeCPF]]," | ")</f>
        <v>#N/A</v>
      </c>
      <c r="M288" s="26">
        <v>16100</v>
      </c>
      <c r="N288" s="78">
        <v>8000</v>
      </c>
      <c r="O288" s="1" t="s">
        <v>51</v>
      </c>
      <c r="P28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8" s="84">
        <v>30</v>
      </c>
      <c r="R288" s="1" t="str" cm="1">
        <f t="array" ref="R288">_xlfn.IFS(TabelaClean14[[#This Row],[qtde_batalhas]]&lt;=10,"Baixo",TabelaClean14[[#This Row],[qtde_batalhas]]&gt;=26,"Alto",TabelaClean14[[#This Row],[qtde_batalhas]]&lt;26,"Médio")</f>
        <v>Alto</v>
      </c>
      <c r="S288" s="1" t="str">
        <f>IF(AND(TabelaClean14[[#This Row],[nivel_risco]]="Alto",TabelaClean14[[#This Row],[flag_inadimplente]]="Sim"),"Arriscado","Ok")</f>
        <v>Arriscado</v>
      </c>
      <c r="T288" s="26">
        <v>27000</v>
      </c>
      <c r="U288" s="81">
        <f>IF(AND(TabelaClean14[[#This Row],[analise_risco]]="Arriscado",TabelaClean14[[#This Row],[analise_credito]]="Reprovado"),0,IF(TabelaClean14[[#This Row],[status]]="Ativo",TabelaClean14[[#This Row],[valor_solicitado]]*1.08,0))</f>
        <v>29160.000000000004</v>
      </c>
      <c r="W288" s="1"/>
      <c r="Y288" t="s">
        <v>139</v>
      </c>
      <c r="Z288" t="str">
        <f t="shared" si="4"/>
        <v>Terras Fluviais</v>
      </c>
      <c r="AE288" t="s">
        <v>99</v>
      </c>
      <c r="AF288" t="str">
        <f>TEXT(AE288,"000\.000\.000\-00")</f>
        <v>000.000.321-00</v>
      </c>
      <c r="AJ288" s="22">
        <v>14000</v>
      </c>
      <c r="AK288">
        <v>14000</v>
      </c>
      <c r="AM288" s="21">
        <v>0</v>
      </c>
      <c r="AN288">
        <v>0</v>
      </c>
      <c r="AO288">
        <v>0</v>
      </c>
      <c r="BB288" s="26">
        <v>16100</v>
      </c>
      <c r="BC288" s="81">
        <f>IF(AND(TabelaClean14[[#This Row],[analise_risco]]="Arriscado",TabelaClean14[[#This Row],[analise_credito]]="Reprovado"),0,IF(TabelaClean14[[#This Row],[status]]="Ativo",TabelaClean14[[#This Row],[valor_solicitado]]*1.08,0))</f>
        <v>29160.000000000004</v>
      </c>
    </row>
    <row r="289" spans="1:55">
      <c r="A289" s="24" t="s">
        <v>76</v>
      </c>
      <c r="B289" s="17" t="s">
        <v>773</v>
      </c>
      <c r="C289" s="25" t="s">
        <v>774</v>
      </c>
      <c r="D289" s="54">
        <v>44</v>
      </c>
      <c r="E289" s="30">
        <v>29892</v>
      </c>
      <c r="F289" s="24" t="str">
        <f>TabelaClean14[[#This Row],[CidadeCPF]]</f>
        <v>Lannisporto</v>
      </c>
      <c r="G289" s="17" t="str">
        <f>TabelaClean14[[#This Row],[RegiaoCPF]]</f>
        <v>Oeste</v>
      </c>
      <c r="H289" s="17" t="str">
        <f>_xlfn.XLOOKUP(TabelaClean14[[#This Row],[cpf]],TabelaDirty[cpfclean],TabelaDirty[cidade])</f>
        <v>Lannisporto</v>
      </c>
      <c r="I289" s="17" t="str">
        <f>_xlfn.XLOOKUP(TabelaClean14[[#This Row],[cpf]],TabelaDirty[cpfclean],TabelaDirty[regiao])</f>
        <v>Oeste</v>
      </c>
      <c r="J289" s="17" t="str">
        <f>PROPER(TabelaClean14[[#This Row],[Coluna1]])</f>
        <v>Oeste</v>
      </c>
      <c r="K289" s="17" t="e">
        <f>_xlfn.TEXTBEFORE(TabelaClean14[[#This Row],[CidadeCPF]]," | ")</f>
        <v>#N/A</v>
      </c>
      <c r="L289" s="24" t="e">
        <f>_xlfn.TEXTAFTER(TabelaClean14[[#This Row],[CidadeCPF]]," | ")</f>
        <v>#N/A</v>
      </c>
      <c r="M289" s="26">
        <v>20600</v>
      </c>
      <c r="N289" s="78">
        <v>8000</v>
      </c>
      <c r="O289" s="1" t="s">
        <v>51</v>
      </c>
      <c r="P28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89" s="84">
        <v>39</v>
      </c>
      <c r="R289" s="1" t="str" cm="1">
        <f t="array" ref="R289">_xlfn.IFS(TabelaClean14[[#This Row],[qtde_batalhas]]&lt;=10,"Baixo",TabelaClean14[[#This Row],[qtde_batalhas]]&gt;=26,"Alto",TabelaClean14[[#This Row],[qtde_batalhas]]&lt;26,"Médio")</f>
        <v>Alto</v>
      </c>
      <c r="S289" s="1" t="str">
        <f>IF(AND(TabelaClean14[[#This Row],[nivel_risco]]="Alto",TabelaClean14[[#This Row],[flag_inadimplente]]="Sim"),"Arriscado","Ok")</f>
        <v>Arriscado</v>
      </c>
      <c r="T289" s="26">
        <v>36000</v>
      </c>
      <c r="U289" s="81">
        <f>IF(AND(TabelaClean14[[#This Row],[analise_risco]]="Arriscado",TabelaClean14[[#This Row],[analise_credito]]="Reprovado"),0,IF(TabelaClean14[[#This Row],[status]]="Ativo",TabelaClean14[[#This Row],[valor_solicitado]]*1.08,0))</f>
        <v>38880</v>
      </c>
      <c r="W289" s="1"/>
      <c r="Y289" t="s">
        <v>809</v>
      </c>
      <c r="Z289" t="str">
        <f t="shared" si="4"/>
        <v>Null</v>
      </c>
      <c r="AE289" t="s">
        <v>571</v>
      </c>
      <c r="AF289" t="str">
        <f>TEXT(AE289,"000\.000\.000\-00")</f>
        <v>000.000.322-00</v>
      </c>
      <c r="AJ289" s="22">
        <v>13200</v>
      </c>
      <c r="AK289">
        <v>13200</v>
      </c>
      <c r="AM289" s="20" t="s">
        <v>92</v>
      </c>
      <c r="AN289" t="s">
        <v>809</v>
      </c>
      <c r="AO289" t="s">
        <v>809</v>
      </c>
      <c r="BB289" s="26">
        <v>20600</v>
      </c>
      <c r="BC289" s="81">
        <f>IF(AND(TabelaClean14[[#This Row],[analise_risco]]="Arriscado",TabelaClean14[[#This Row],[analise_credito]]="Reprovado"),0,IF(TabelaClean14[[#This Row],[status]]="Ativo",TabelaClean14[[#This Row],[valor_solicitado]]*1.08,0))</f>
        <v>38880</v>
      </c>
    </row>
    <row r="290" spans="1:55">
      <c r="A290" s="24" t="s">
        <v>76</v>
      </c>
      <c r="B290" s="17" t="s">
        <v>440</v>
      </c>
      <c r="C290" s="25" t="s">
        <v>836</v>
      </c>
      <c r="D290" s="54">
        <v>61</v>
      </c>
      <c r="E290" s="30">
        <v>23928</v>
      </c>
      <c r="F290" s="24" t="str">
        <f>TabelaClean14[[#This Row],[CidadeCPF]]</f>
        <v>Solar do Entardecer</v>
      </c>
      <c r="G290" s="17" t="str">
        <f>TabelaClean14[[#This Row],[RegiaoCPF]]</f>
        <v>Terras Da Tempestade</v>
      </c>
      <c r="H290" s="17" t="str">
        <f>_xlfn.XLOOKUP(TabelaClean14[[#This Row],[cpf]],TabelaDirty[cpfclean],TabelaDirty[cidade])</f>
        <v>Solar do Entardecer</v>
      </c>
      <c r="I290" s="17" t="str">
        <f>_xlfn.XLOOKUP(TabelaClean14[[#This Row],[cpf]],TabelaDirty[cpfclean],TabelaDirty[regiao])</f>
        <v>Terras da Tempestade</v>
      </c>
      <c r="J290" s="17" t="str">
        <f>PROPER(TabelaClean14[[#This Row],[Coluna1]])</f>
        <v>Terras Da Tempestade</v>
      </c>
      <c r="K290" s="17" t="e">
        <f>_xlfn.TEXTBEFORE(TabelaClean14[[#This Row],[CidadeCPF]]," | ")</f>
        <v>#N/A</v>
      </c>
      <c r="L290" s="24" t="e">
        <f>_xlfn.TEXTAFTER(TabelaClean14[[#This Row],[CidadeCPF]]," | ")</f>
        <v>#N/A</v>
      </c>
      <c r="M290" s="26">
        <v>22900</v>
      </c>
      <c r="N290" s="78">
        <v>7500</v>
      </c>
      <c r="O290" s="1" t="s">
        <v>51</v>
      </c>
      <c r="P29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0" s="84">
        <v>12</v>
      </c>
      <c r="R290" s="1" t="str" cm="1">
        <f t="array" ref="R290">_xlfn.IFS(TabelaClean14[[#This Row],[qtde_batalhas]]&lt;=10,"Baixo",TabelaClean14[[#This Row],[qtde_batalhas]]&gt;=26,"Alto",TabelaClean14[[#This Row],[qtde_batalhas]]&lt;26,"Médio")</f>
        <v>Médio</v>
      </c>
      <c r="S290" s="1" t="str">
        <f>IF(AND(TabelaClean14[[#This Row],[nivel_risco]]="Alto",TabelaClean14[[#This Row],[flag_inadimplente]]="Sim"),"Arriscado","Ok")</f>
        <v>Ok</v>
      </c>
      <c r="T290" s="26">
        <v>73000</v>
      </c>
      <c r="U290" s="81">
        <f>IF(AND(TabelaClean14[[#This Row],[analise_risco]]="Arriscado",TabelaClean14[[#This Row],[analise_credito]]="Reprovado"),0,IF(TabelaClean14[[#This Row],[status]]="Ativo",TabelaClean14[[#This Row],[valor_solicitado]]*1.08,0))</f>
        <v>78840</v>
      </c>
      <c r="W290" s="1"/>
      <c r="Y290" t="s">
        <v>809</v>
      </c>
      <c r="Z290" t="str">
        <f t="shared" si="4"/>
        <v>Null</v>
      </c>
      <c r="AE290" t="s">
        <v>282</v>
      </c>
      <c r="AF290" t="str">
        <f>TEXT(AE290,"000\.000\.000\-00")</f>
        <v>000.000.323-00</v>
      </c>
      <c r="AJ290" s="22">
        <v>30000</v>
      </c>
      <c r="AK290">
        <v>30000</v>
      </c>
      <c r="AM290" s="21">
        <v>27000</v>
      </c>
      <c r="AN290">
        <v>27000</v>
      </c>
      <c r="AO290">
        <v>27000</v>
      </c>
      <c r="BB290" s="26">
        <v>22900</v>
      </c>
      <c r="BC290" s="81">
        <f>IF(AND(TabelaClean14[[#This Row],[analise_risco]]="Arriscado",TabelaClean14[[#This Row],[analise_credito]]="Reprovado"),0,IF(TabelaClean14[[#This Row],[status]]="Ativo",TabelaClean14[[#This Row],[valor_solicitado]]*1.08,0))</f>
        <v>78840</v>
      </c>
    </row>
    <row r="291" spans="1:55">
      <c r="A291" s="24" t="s">
        <v>76</v>
      </c>
      <c r="B291" s="17" t="s">
        <v>506</v>
      </c>
      <c r="C291" s="25" t="s">
        <v>507</v>
      </c>
      <c r="D291" s="54">
        <v>45</v>
      </c>
      <c r="E291" s="30">
        <v>29769</v>
      </c>
      <c r="F291" s="24" t="str">
        <f>TabelaClean14[[#This Row],[CidadeCPF]]</f>
        <v>Ponta Tempestade</v>
      </c>
      <c r="G291" s="17" t="str">
        <f>TabelaClean14[[#This Row],[RegiaoCPF]]</f>
        <v>Terras Da Tempestade</v>
      </c>
      <c r="H291" s="17" t="str">
        <f>_xlfn.XLOOKUP(TabelaClean14[[#This Row],[cpf]],TabelaDirty[cpfclean],TabelaDirty[cidade])</f>
        <v>Ponta Tempestade</v>
      </c>
      <c r="I291" s="17" t="str">
        <f>_xlfn.XLOOKUP(TabelaClean14[[#This Row],[cpf]],TabelaDirty[cpfclean],TabelaDirty[regiao])</f>
        <v>terras da tempestade</v>
      </c>
      <c r="J291" s="17" t="str">
        <f>PROPER(TabelaClean14[[#This Row],[Coluna1]])</f>
        <v>Terras Da Tempestade</v>
      </c>
      <c r="K291" s="17" t="e">
        <f>_xlfn.TEXTBEFORE(TabelaClean14[[#This Row],[CidadeCPF]]," | ")</f>
        <v>#N/A</v>
      </c>
      <c r="L291" s="24" t="e">
        <f>_xlfn.TEXTAFTER(TabelaClean14[[#This Row],[CidadeCPF]]," | ")</f>
        <v>#N/A</v>
      </c>
      <c r="M291" s="26">
        <v>24400</v>
      </c>
      <c r="N291" s="78">
        <v>7500</v>
      </c>
      <c r="O291" s="1" t="s">
        <v>51</v>
      </c>
      <c r="P29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1" s="84">
        <v>13</v>
      </c>
      <c r="R291" s="1" t="str" cm="1">
        <f t="array" ref="R291">_xlfn.IFS(TabelaClean14[[#This Row],[qtde_batalhas]]&lt;=10,"Baixo",TabelaClean14[[#This Row],[qtde_batalhas]]&gt;=26,"Alto",TabelaClean14[[#This Row],[qtde_batalhas]]&lt;26,"Médio")</f>
        <v>Médio</v>
      </c>
      <c r="S291" s="1" t="str">
        <f>IF(AND(TabelaClean14[[#This Row],[nivel_risco]]="Alto",TabelaClean14[[#This Row],[flag_inadimplente]]="Sim"),"Arriscado","Ok")</f>
        <v>Ok</v>
      </c>
      <c r="T291" s="26">
        <v>95000</v>
      </c>
      <c r="U291" s="81">
        <f>IF(AND(TabelaClean14[[#This Row],[analise_risco]]="Arriscado",TabelaClean14[[#This Row],[analise_credito]]="Reprovado"),0,IF(TabelaClean14[[#This Row],[status]]="Ativo",TabelaClean14[[#This Row],[valor_solicitado]]*1.08,0))</f>
        <v>102600</v>
      </c>
      <c r="W291" s="1"/>
      <c r="Y291" t="s">
        <v>264</v>
      </c>
      <c r="Z291" t="str">
        <f t="shared" si="4"/>
        <v>Ilhas De Ferro</v>
      </c>
      <c r="AE291" t="s">
        <v>637</v>
      </c>
      <c r="AF291" t="str">
        <f>TEXT(AE291,"000\.000\.000\-00")</f>
        <v>000.000.324-00</v>
      </c>
      <c r="AJ291" s="22">
        <v>20200</v>
      </c>
      <c r="AK291">
        <v>20200</v>
      </c>
      <c r="AM291" s="20">
        <v>61000</v>
      </c>
      <c r="AN291">
        <v>61000</v>
      </c>
      <c r="AO291">
        <v>61000</v>
      </c>
      <c r="BB291" s="26">
        <v>24400</v>
      </c>
      <c r="BC291" s="81">
        <f>IF(AND(TabelaClean14[[#This Row],[analise_risco]]="Arriscado",TabelaClean14[[#This Row],[analise_credito]]="Reprovado"),0,IF(TabelaClean14[[#This Row],[status]]="Ativo",TabelaClean14[[#This Row],[valor_solicitado]]*1.08,0))</f>
        <v>102600</v>
      </c>
    </row>
    <row r="292" spans="1:55">
      <c r="A292" s="24" t="s">
        <v>76</v>
      </c>
      <c r="B292" s="17" t="s">
        <v>440</v>
      </c>
      <c r="C292" s="25" t="s">
        <v>798</v>
      </c>
      <c r="D292" s="54">
        <f>_xlfn.XLOOKUP(TabelaClean14[[#This Row],[nome]],Base_Dirty!B:B,Base_Dirty!E:E)</f>
        <v>61</v>
      </c>
      <c r="E292" s="51">
        <f>_xlfn.XLOOKUP(TabelaClean14[[#This Row],[nome]],Base_Dirty!$B:$B,Base_Dirty!F:F)</f>
        <v>23928</v>
      </c>
      <c r="F292" s="17" t="s">
        <v>302</v>
      </c>
      <c r="G292" s="17" t="s">
        <v>303</v>
      </c>
      <c r="H292" s="24" t="s">
        <v>84</v>
      </c>
      <c r="I292" s="24">
        <v>22900</v>
      </c>
      <c r="J292" s="24">
        <v>7500</v>
      </c>
      <c r="K292" s="24" t="s">
        <v>50</v>
      </c>
      <c r="L292" s="24">
        <v>12</v>
      </c>
      <c r="M292" s="23">
        <f>_xlfn.XLOOKUP(TabelaClean14[[#This Row],[nome]],Base_Dirty!$B:$B,Base_Dirty!I:I)</f>
        <v>22900</v>
      </c>
      <c r="N292" s="78">
        <f>_xlfn.XLOOKUP(TabelaClean14[[#This Row],[nome]],Base_Dirty!$B:$B,Base_Dirty!J:J)</f>
        <v>7500</v>
      </c>
      <c r="O292" s="79" t="s">
        <v>50</v>
      </c>
      <c r="P292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2" s="84">
        <f>_xlfn.XLOOKUP(TabelaClean14[[#This Row],[nome]],Base_Dirty!$B:$B,Base_Dirty!L:L)</f>
        <v>12</v>
      </c>
      <c r="R292" s="76" t="str" cm="1">
        <f t="array" ref="R292">_xlfn.IFS(TabelaClean14[[#This Row],[qtde_batalhas]]&lt;=10,"Baixo",TabelaClean14[[#This Row],[qtde_batalhas]]&gt;=26,"Alto",TabelaClean14[[#This Row],[qtde_batalhas]]&lt;26,"Médio")</f>
        <v>Médio</v>
      </c>
      <c r="S292" s="76" t="str">
        <f>IF(AND(TabelaClean14[[#This Row],[nivel_risco]]="Alto",TabelaClean14[[#This Row],[flag_inadimplente]]="Sim"),"Arriscado","Ok")</f>
        <v>Ok</v>
      </c>
      <c r="T292" s="26">
        <f>_xlfn.XLOOKUP(TabelaClean14[[#This Row],[nome]],Base_Dirty!$B:$B,Base_Dirty!O:O)</f>
        <v>73000</v>
      </c>
      <c r="U292" s="81">
        <f>IF(AND(TabelaClean14[[#This Row],[analise_risco]]="Arriscado",TabelaClean14[[#This Row],[analise_credito]]="Reprovado"),0,IF(TabelaClean14[[#This Row],[status]]="Ativo",TabelaClean14[[#This Row],[valor_solicitado]]*1.08,0))</f>
        <v>78840</v>
      </c>
      <c r="W292" s="1"/>
      <c r="Y292" t="s">
        <v>809</v>
      </c>
      <c r="Z292" t="str">
        <f t="shared" si="4"/>
        <v>Null</v>
      </c>
      <c r="AE292" t="s">
        <v>500</v>
      </c>
      <c r="AF292" t="str">
        <f>TEXT(AE292,"000\.000\.000\-00")</f>
        <v>000.000.326-00</v>
      </c>
      <c r="AJ292" s="22">
        <v>28700</v>
      </c>
      <c r="AK292">
        <v>28700</v>
      </c>
      <c r="AM292" s="21">
        <v>12500</v>
      </c>
      <c r="AN292">
        <v>12500</v>
      </c>
      <c r="AO292">
        <v>12500</v>
      </c>
      <c r="BB292" s="23">
        <f>_xlfn.XLOOKUP(TabelaClean14[[#This Row],[nome]],Base_Dirty!$B:$B,Base_Dirty!AX:AX)</f>
        <v>0</v>
      </c>
      <c r="BC292" s="81">
        <f>IF(AND(TabelaClean14[[#This Row],[analise_risco]]="Arriscado",TabelaClean14[[#This Row],[analise_credito]]="Reprovado"),0,IF(TabelaClean14[[#This Row],[status]]="Ativo",TabelaClean14[[#This Row],[valor_solicitado]]*1.08,0))</f>
        <v>78840</v>
      </c>
    </row>
    <row r="293" spans="1:55">
      <c r="A293" s="24" t="s">
        <v>76</v>
      </c>
      <c r="B293" s="17" t="s">
        <v>440</v>
      </c>
      <c r="C293" t="str">
        <f>_xlfn.XLOOKUP(TabelaClean14[[#This Row],[nome]],Base_Dirty!$B:$B,Base_Dirty!D:D)</f>
        <v>000.000.369-00</v>
      </c>
      <c r="D293" s="54">
        <f>_xlfn.XLOOKUP(TabelaClean14[[#This Row],[nome]],Base_Dirty!B:B,Base_Dirty!E:E)</f>
        <v>61</v>
      </c>
      <c r="E293" s="30">
        <v>61</v>
      </c>
      <c r="F293" s="17" t="s">
        <v>302</v>
      </c>
      <c r="G293" s="17" t="s">
        <v>303</v>
      </c>
      <c r="H293" s="24" t="s">
        <v>84</v>
      </c>
      <c r="I293" s="24">
        <v>22900</v>
      </c>
      <c r="J293" s="24">
        <v>7500</v>
      </c>
      <c r="K293" s="24" t="s">
        <v>50</v>
      </c>
      <c r="L293" s="24">
        <v>12</v>
      </c>
      <c r="M293" s="23">
        <f>_xlfn.XLOOKUP(TabelaClean14[[#This Row],[nome]],Base_Dirty!$B:$B,Base_Dirty!I:I)</f>
        <v>22900</v>
      </c>
      <c r="N293" s="78">
        <f>_xlfn.XLOOKUP(TabelaClean14[[#This Row],[nome]],Base_Dirty!$B:$B,Base_Dirty!J:J)</f>
        <v>7500</v>
      </c>
      <c r="O293" s="79" t="s">
        <v>50</v>
      </c>
      <c r="P29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3" s="84">
        <f>_xlfn.XLOOKUP(TabelaClean14[[#This Row],[nome]],Base_Dirty!$B:$B,Base_Dirty!L:L)</f>
        <v>12</v>
      </c>
      <c r="R293" s="76" t="str" cm="1">
        <f t="array" ref="R293">_xlfn.IFS(TabelaClean14[[#This Row],[qtde_batalhas]]&lt;=10,"Baixo",TabelaClean14[[#This Row],[qtde_batalhas]]&gt;=26,"Alto",TabelaClean14[[#This Row],[qtde_batalhas]]&lt;26,"Médio")</f>
        <v>Médio</v>
      </c>
      <c r="S293" s="76" t="str">
        <f>IF(AND(TabelaClean14[[#This Row],[nivel_risco]]="Alto",TabelaClean14[[#This Row],[flag_inadimplente]]="Sim"),"Arriscado","Ok")</f>
        <v>Ok</v>
      </c>
      <c r="T293" s="26">
        <f>_xlfn.XLOOKUP(TabelaClean14[[#This Row],[nome]],Base_Dirty!$B:$B,Base_Dirty!O:O)</f>
        <v>73000</v>
      </c>
      <c r="U293" s="81">
        <f>IF(AND(TabelaClean14[[#This Row],[analise_risco]]="Arriscado",TabelaClean14[[#This Row],[analise_credito]]="Reprovado"),0,IF(TabelaClean14[[#This Row],[status]]="Ativo",TabelaClean14[[#This Row],[valor_solicitado]]*1.08,0))</f>
        <v>78840</v>
      </c>
      <c r="W293" s="1"/>
      <c r="Y293" t="s">
        <v>809</v>
      </c>
      <c r="Z293" t="str">
        <f t="shared" si="4"/>
        <v>Null</v>
      </c>
      <c r="AE293" t="s">
        <v>792</v>
      </c>
      <c r="AF293" t="str">
        <f>TEXT(AE293,"000\.000\.000\-00")</f>
        <v>000.000.329-00</v>
      </c>
      <c r="AJ293" s="22">
        <v>20000</v>
      </c>
      <c r="AK293">
        <v>20000</v>
      </c>
      <c r="AM293" s="20">
        <v>29500</v>
      </c>
      <c r="AN293">
        <v>29500</v>
      </c>
      <c r="AO293">
        <v>29500</v>
      </c>
      <c r="BB293" s="23">
        <f>_xlfn.XLOOKUP(TabelaClean14[[#This Row],[nome]],Base_Dirty!$B:$B,Base_Dirty!AX:AX)</f>
        <v>0</v>
      </c>
      <c r="BC293" s="81">
        <f>IF(AND(TabelaClean14[[#This Row],[analise_risco]]="Arriscado",TabelaClean14[[#This Row],[analise_credito]]="Reprovado"),0,IF(TabelaClean14[[#This Row],[status]]="Ativo",TabelaClean14[[#This Row],[valor_solicitado]]*1.08,0))</f>
        <v>78840</v>
      </c>
    </row>
    <row r="294" spans="1:55">
      <c r="A294" s="24" t="s">
        <v>76</v>
      </c>
      <c r="B294" s="17" t="s">
        <v>582</v>
      </c>
      <c r="C294" s="25" t="s">
        <v>959</v>
      </c>
      <c r="D294" s="54">
        <v>67</v>
      </c>
      <c r="E294" s="30">
        <v>21619</v>
      </c>
      <c r="F294" s="24" t="str">
        <f>TabelaClean14[[#This Row],[CidadeCPF]]</f>
        <v>Ponta Tempestade</v>
      </c>
      <c r="G294" s="17" t="str">
        <f>TabelaClean14[[#This Row],[RegiaoCPF]]</f>
        <v>Terras Da Tempestade</v>
      </c>
      <c r="H294" s="17" t="str">
        <f>_xlfn.XLOOKUP(TabelaClean14[[#This Row],[cpf]],TabelaDirty[cpfclean],TabelaDirty[cidade])</f>
        <v>Ponta Tempestade</v>
      </c>
      <c r="I294" s="17" t="str">
        <f>_xlfn.XLOOKUP(TabelaClean14[[#This Row],[cpf]],TabelaDirty[cpfclean],TabelaDirty[regiao])</f>
        <v>TERRAS DA TEMPESTADE</v>
      </c>
      <c r="J294" s="17" t="str">
        <f>PROPER(TabelaClean14[[#This Row],[Coluna1]])</f>
        <v>Terras Da Tempestade</v>
      </c>
      <c r="K294" s="17" t="e">
        <f>_xlfn.TEXTBEFORE(TabelaClean14[[#This Row],[CidadeCPF]]," | ")</f>
        <v>#N/A</v>
      </c>
      <c r="L294" s="24" t="e">
        <f>_xlfn.TEXTAFTER(TabelaClean14[[#This Row],[CidadeCPF]]," | ")</f>
        <v>#N/A</v>
      </c>
      <c r="M294" s="26">
        <v>20200</v>
      </c>
      <c r="N294" s="78">
        <v>6500</v>
      </c>
      <c r="O294" s="1" t="s">
        <v>51</v>
      </c>
      <c r="P29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4" s="84">
        <v>1</v>
      </c>
      <c r="R294" s="1" t="str" cm="1">
        <f t="array" ref="R294">_xlfn.IFS(TabelaClean14[[#This Row],[qtde_batalhas]]&lt;=10,"Baixo",TabelaClean14[[#This Row],[qtde_batalhas]]&gt;=26,"Alto",TabelaClean14[[#This Row],[qtde_batalhas]]&lt;26,"Médio")</f>
        <v>Baixo</v>
      </c>
      <c r="S294" s="1" t="str">
        <f>IF(AND(TabelaClean14[[#This Row],[nivel_risco]]="Alto",TabelaClean14[[#This Row],[flag_inadimplente]]="Sim"),"Arriscado","Ok")</f>
        <v>Ok</v>
      </c>
      <c r="T294" s="26">
        <v>98500</v>
      </c>
      <c r="U294" s="81">
        <f>IF(AND(TabelaClean14[[#This Row],[analise_risco]]="Arriscado",TabelaClean14[[#This Row],[analise_credito]]="Reprovado"),0,IF(TabelaClean14[[#This Row],[status]]="Ativo",TabelaClean14[[#This Row],[valor_solicitado]]*1.08,0))</f>
        <v>106380</v>
      </c>
      <c r="W294" s="1"/>
      <c r="Y294" t="s">
        <v>809</v>
      </c>
      <c r="Z294" t="str">
        <f t="shared" si="4"/>
        <v>Null</v>
      </c>
      <c r="AE294" t="s">
        <v>548</v>
      </c>
      <c r="AF294" t="str">
        <f>TEXT(AE294,"000\.000\.000\-00")</f>
        <v>000.000.332-00</v>
      </c>
      <c r="AJ294" s="22">
        <v>12500</v>
      </c>
      <c r="AK294">
        <v>12500</v>
      </c>
      <c r="AM294" s="21">
        <v>44500</v>
      </c>
      <c r="AN294">
        <v>44500</v>
      </c>
      <c r="AO294">
        <v>44500</v>
      </c>
      <c r="BB294" s="26">
        <v>20200</v>
      </c>
      <c r="BC294" s="81">
        <f>IF(AND(TabelaClean14[[#This Row],[analise_risco]]="Arriscado",TabelaClean14[[#This Row],[analise_credito]]="Reprovado"),0,IF(TabelaClean14[[#This Row],[status]]="Ativo",TabelaClean14[[#This Row],[valor_solicitado]]*1.08,0))</f>
        <v>106380</v>
      </c>
    </row>
    <row r="295" spans="1:55">
      <c r="A295" s="24" t="s">
        <v>81</v>
      </c>
      <c r="B295" s="17" t="s">
        <v>960</v>
      </c>
      <c r="C295" s="25" t="s">
        <v>255</v>
      </c>
      <c r="D295" s="54">
        <v>67</v>
      </c>
      <c r="E295" s="30">
        <v>21512</v>
      </c>
      <c r="F295" s="24" t="str">
        <f>TabelaClean14[[#This Row],[CidadeCPF]]</f>
        <v>Braavos</v>
      </c>
      <c r="G295" s="17" t="str">
        <f>TabelaClean14[[#This Row],[RegiaoCPF]]</f>
        <v>Essos</v>
      </c>
      <c r="H295" s="17" t="str">
        <f>_xlfn.XLOOKUP(TabelaClean14[[#This Row],[cpf]],TabelaDirty[cpfclean],TabelaDirty[cidade])</f>
        <v>Braavos</v>
      </c>
      <c r="I295" s="17" t="str">
        <f>_xlfn.XLOOKUP(TabelaClean14[[#This Row],[cpf]],TabelaDirty[cpfclean],TabelaDirty[regiao])</f>
        <v>ESSOS</v>
      </c>
      <c r="J295" s="17" t="str">
        <f>PROPER(TabelaClean14[[#This Row],[Coluna1]])</f>
        <v>Essos</v>
      </c>
      <c r="K295" s="17" t="e">
        <f>_xlfn.TEXTBEFORE(TabelaClean14[[#This Row],[CidadeCPF]]," | ")</f>
        <v>#N/A</v>
      </c>
      <c r="L295" s="24" t="e">
        <f>_xlfn.TEXTAFTER(TabelaClean14[[#This Row],[CidadeCPF]]," | ")</f>
        <v>#N/A</v>
      </c>
      <c r="M295" s="26">
        <v>3200</v>
      </c>
      <c r="N295" s="78">
        <v>6500</v>
      </c>
      <c r="O295" s="1" t="s">
        <v>50</v>
      </c>
      <c r="P29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5" s="84">
        <v>20</v>
      </c>
      <c r="R295" s="1" t="str" cm="1">
        <f t="array" ref="R295">_xlfn.IFS(TabelaClean14[[#This Row],[qtde_batalhas]]&lt;=10,"Baixo",TabelaClean14[[#This Row],[qtde_batalhas]]&gt;=26,"Alto",TabelaClean14[[#This Row],[qtde_batalhas]]&lt;26,"Médio")</f>
        <v>Médio</v>
      </c>
      <c r="S295" s="1" t="str">
        <f>IF(AND(TabelaClean14[[#This Row],[nivel_risco]]="Alto",TabelaClean14[[#This Row],[flag_inadimplente]]="Sim"),"Arriscado","Ok")</f>
        <v>Ok</v>
      </c>
      <c r="T295" s="26">
        <v>52500</v>
      </c>
      <c r="U29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95" s="1"/>
      <c r="Y295" t="s">
        <v>809</v>
      </c>
      <c r="Z295" t="str">
        <f t="shared" si="4"/>
        <v>Null</v>
      </c>
      <c r="AE295" t="s">
        <v>219</v>
      </c>
      <c r="AF295" t="str">
        <f>TEXT(AE295,"000\.000\.000\-00")</f>
        <v>000.000.333-00</v>
      </c>
      <c r="AJ295" s="22">
        <v>20400</v>
      </c>
      <c r="AK295">
        <v>20400</v>
      </c>
      <c r="AM295" s="20">
        <v>0</v>
      </c>
      <c r="AN295">
        <v>0</v>
      </c>
      <c r="AO295">
        <v>0</v>
      </c>
      <c r="BB295" s="26">
        <v>3200</v>
      </c>
      <c r="BC29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96" spans="1:55">
      <c r="A296" s="24" t="s">
        <v>81</v>
      </c>
      <c r="B296" s="25" t="s">
        <v>134</v>
      </c>
      <c r="C296" s="25" t="s">
        <v>927</v>
      </c>
      <c r="D296" s="54">
        <v>55</v>
      </c>
      <c r="E296" s="30">
        <v>25892</v>
      </c>
      <c r="F296" s="24" t="str">
        <f>TabelaClean14[[#This Row],[CidadeCPF]]</f>
        <v>Ponta Tempestade</v>
      </c>
      <c r="G296" s="17" t="str">
        <f>TabelaClean14[[#This Row],[RegiaoCPF]]</f>
        <v>Terras Da Tempestade</v>
      </c>
      <c r="H296" s="17" t="str">
        <f>_xlfn.XLOOKUP(TabelaClean14[[#This Row],[cpf]],TabelaDirty[cpfclean],TabelaDirty[cidade])</f>
        <v>Ponta Tempestade</v>
      </c>
      <c r="I296" s="17" t="str">
        <f>_xlfn.XLOOKUP(TabelaClean14[[#This Row],[cpf]],TabelaDirty[cpfclean],TabelaDirty[regiao])</f>
        <v>TERRAS DA TEMPESTADE</v>
      </c>
      <c r="J296" s="17" t="str">
        <f>PROPER(TabelaClean14[[#This Row],[Coluna1]])</f>
        <v>Terras Da Tempestade</v>
      </c>
      <c r="K296" s="17" t="e">
        <f>_xlfn.TEXTBEFORE(TabelaClean14[[#This Row],[CidadeCPF]]," | ")</f>
        <v>#N/A</v>
      </c>
      <c r="L296" s="24" t="e">
        <f>_xlfn.TEXTAFTER(TabelaClean14[[#This Row],[CidadeCPF]]," | ")</f>
        <v>#N/A</v>
      </c>
      <c r="M296" s="26">
        <v>5300</v>
      </c>
      <c r="N296" s="78">
        <v>6500</v>
      </c>
      <c r="O296" s="1" t="s">
        <v>50</v>
      </c>
      <c r="P29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6" s="84">
        <v>42</v>
      </c>
      <c r="R296" s="1" t="str" cm="1">
        <f t="array" ref="R296">_xlfn.IFS(TabelaClean14[[#This Row],[qtde_batalhas]]&lt;=10,"Baixo",TabelaClean14[[#This Row],[qtde_batalhas]]&gt;=26,"Alto",TabelaClean14[[#This Row],[qtde_batalhas]]&lt;26,"Médio")</f>
        <v>Alto</v>
      </c>
      <c r="S296" s="1" t="str">
        <f>IF(AND(TabelaClean14[[#This Row],[nivel_risco]]="Alto",TabelaClean14[[#This Row],[flag_inadimplente]]="Sim"),"Arriscado","Ok")</f>
        <v>Ok</v>
      </c>
      <c r="T296" s="26">
        <v>96000</v>
      </c>
      <c r="U29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296" s="1"/>
      <c r="Y296" t="s">
        <v>809</v>
      </c>
      <c r="Z296" t="str">
        <f t="shared" si="4"/>
        <v>Null</v>
      </c>
      <c r="AE296" t="s">
        <v>317</v>
      </c>
      <c r="AF296" t="str">
        <f>TEXT(AE296,"000\.000\.000\-00")</f>
        <v>000.000.334-00</v>
      </c>
      <c r="AJ296" s="22">
        <v>27500</v>
      </c>
      <c r="AK296">
        <v>27500</v>
      </c>
      <c r="AM296" s="21">
        <v>14000</v>
      </c>
      <c r="AN296">
        <v>14000</v>
      </c>
      <c r="AO296">
        <v>14000</v>
      </c>
      <c r="BB296" s="26">
        <v>5300</v>
      </c>
      <c r="BC29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297" spans="1:55">
      <c r="A297" s="24" t="s">
        <v>76</v>
      </c>
      <c r="B297" s="17" t="s">
        <v>961</v>
      </c>
      <c r="C297" s="25" t="s">
        <v>192</v>
      </c>
      <c r="D297" s="54">
        <v>44</v>
      </c>
      <c r="E297" s="30">
        <v>29975</v>
      </c>
      <c r="F297" s="24" t="str">
        <f>TabelaClean14[[#This Row],[CidadeCPF]]</f>
        <v>Lannisporto</v>
      </c>
      <c r="G297" s="17" t="str">
        <f>TabelaClean14[[#This Row],[RegiaoCPF]]</f>
        <v>Oeste</v>
      </c>
      <c r="H297" s="17" t="str">
        <f>_xlfn.XLOOKUP(TabelaClean14[[#This Row],[cpf]],TabelaDirty[cpfclean],TabelaDirty[cidade])</f>
        <v>Lannisporto</v>
      </c>
      <c r="I297" s="17" t="str">
        <f>_xlfn.XLOOKUP(TabelaClean14[[#This Row],[cpf]],TabelaDirty[cpfclean],TabelaDirty[regiao])</f>
        <v>oeste</v>
      </c>
      <c r="J297" s="17" t="str">
        <f>PROPER(TabelaClean14[[#This Row],[Coluna1]])</f>
        <v>Oeste</v>
      </c>
      <c r="K297" s="17" t="e">
        <f>_xlfn.TEXTBEFORE(TabelaClean14[[#This Row],[CidadeCPF]]," | ")</f>
        <v>#N/A</v>
      </c>
      <c r="L297" s="24" t="e">
        <f>_xlfn.TEXTAFTER(TabelaClean14[[#This Row],[CidadeCPF]]," | ")</f>
        <v>#N/A</v>
      </c>
      <c r="M297" s="26">
        <v>5300</v>
      </c>
      <c r="N297" s="78">
        <v>6000</v>
      </c>
      <c r="O297" s="1" t="s">
        <v>51</v>
      </c>
      <c r="P29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7" s="84">
        <v>1</v>
      </c>
      <c r="R297" s="1" t="str" cm="1">
        <f t="array" ref="R297">_xlfn.IFS(TabelaClean14[[#This Row],[qtde_batalhas]]&lt;=10,"Baixo",TabelaClean14[[#This Row],[qtde_batalhas]]&gt;=26,"Alto",TabelaClean14[[#This Row],[qtde_batalhas]]&lt;26,"Médio")</f>
        <v>Baixo</v>
      </c>
      <c r="S297" s="1" t="str">
        <f>IF(AND(TabelaClean14[[#This Row],[nivel_risco]]="Alto",TabelaClean14[[#This Row],[flag_inadimplente]]="Sim"),"Arriscado","Ok")</f>
        <v>Ok</v>
      </c>
      <c r="T297" s="26">
        <v>4500</v>
      </c>
      <c r="U297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  <c r="W297" s="1"/>
      <c r="Y297" t="s">
        <v>809</v>
      </c>
      <c r="Z297" t="str">
        <f t="shared" si="4"/>
        <v>Null</v>
      </c>
      <c r="AE297" t="s">
        <v>574</v>
      </c>
      <c r="AF297" t="str">
        <f>TEXT(AE297,"000\.000\.000\-00")</f>
        <v>000.000.335-00</v>
      </c>
      <c r="AJ297" s="22">
        <v>28900</v>
      </c>
      <c r="AK297">
        <v>28900</v>
      </c>
      <c r="AM297" s="20">
        <v>37000</v>
      </c>
      <c r="AN297">
        <v>37000</v>
      </c>
      <c r="AO297">
        <v>37000</v>
      </c>
      <c r="BB297" s="26">
        <v>5300</v>
      </c>
      <c r="BC297" s="81">
        <f>IF(AND(TabelaClean14[[#This Row],[analise_risco]]="Arriscado",TabelaClean14[[#This Row],[analise_credito]]="Reprovado"),0,IF(TabelaClean14[[#This Row],[status]]="Ativo",TabelaClean14[[#This Row],[valor_solicitado]]*1.08,0))</f>
        <v>4860</v>
      </c>
    </row>
    <row r="298" spans="1:55">
      <c r="A298" s="24" t="s">
        <v>76</v>
      </c>
      <c r="B298" s="17" t="s">
        <v>566</v>
      </c>
      <c r="C298" s="25" t="s">
        <v>567</v>
      </c>
      <c r="D298" s="54">
        <v>72</v>
      </c>
      <c r="E298" s="30">
        <v>19623</v>
      </c>
      <c r="F298" s="24" t="str">
        <f>TabelaClean14[[#This Row],[CidadeCPF]]</f>
        <v>Lannisporto</v>
      </c>
      <c r="G298" s="17" t="str">
        <f>TabelaClean14[[#This Row],[RegiaoCPF]]</f>
        <v>Oeste</v>
      </c>
      <c r="H298" s="17" t="str">
        <f>_xlfn.XLOOKUP(TabelaClean14[[#This Row],[cpf]],TabelaDirty[cpfclean],TabelaDirty[cidade])</f>
        <v>Lannisporto</v>
      </c>
      <c r="I298" s="17" t="str">
        <f>_xlfn.XLOOKUP(TabelaClean14[[#This Row],[cpf]],TabelaDirty[cpfclean],TabelaDirty[regiao])</f>
        <v>Oeste</v>
      </c>
      <c r="J298" s="17" t="str">
        <f>PROPER(TabelaClean14[[#This Row],[Coluna1]])</f>
        <v>Oeste</v>
      </c>
      <c r="K298" s="17" t="e">
        <f>_xlfn.TEXTBEFORE(TabelaClean14[[#This Row],[CidadeCPF]]," | ")</f>
        <v>#N/A</v>
      </c>
      <c r="L298" s="24" t="e">
        <f>_xlfn.TEXTAFTER(TabelaClean14[[#This Row],[CidadeCPF]]," | ")</f>
        <v>#N/A</v>
      </c>
      <c r="M298" s="26">
        <v>12600</v>
      </c>
      <c r="N298" s="78">
        <v>5500</v>
      </c>
      <c r="O298" s="1" t="s">
        <v>51</v>
      </c>
      <c r="P29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8" s="84">
        <v>35</v>
      </c>
      <c r="R298" s="1" t="str" cm="1">
        <f t="array" ref="R298">_xlfn.IFS(TabelaClean14[[#This Row],[qtde_batalhas]]&lt;=10,"Baixo",TabelaClean14[[#This Row],[qtde_batalhas]]&gt;=26,"Alto",TabelaClean14[[#This Row],[qtde_batalhas]]&lt;26,"Médio")</f>
        <v>Alto</v>
      </c>
      <c r="S298" s="1" t="str">
        <f>IF(AND(TabelaClean14[[#This Row],[nivel_risco]]="Alto",TabelaClean14[[#This Row],[flag_inadimplente]]="Sim"),"Arriscado","Ok")</f>
        <v>Arriscado</v>
      </c>
      <c r="T298" s="26">
        <v>21000</v>
      </c>
      <c r="U298" s="81">
        <f>IF(AND(TabelaClean14[[#This Row],[analise_risco]]="Arriscado",TabelaClean14[[#This Row],[analise_credito]]="Reprovado"),0,IF(TabelaClean14[[#This Row],[status]]="Ativo",TabelaClean14[[#This Row],[valor_solicitado]]*1.08,0))</f>
        <v>22680</v>
      </c>
      <c r="W298" s="1"/>
      <c r="Y298" t="s">
        <v>809</v>
      </c>
      <c r="Z298" t="str">
        <f t="shared" si="4"/>
        <v>Null</v>
      </c>
      <c r="AE298" t="s">
        <v>78</v>
      </c>
      <c r="AF298" t="str">
        <f>TEXT(AE298,"000\.000\.000\-00")</f>
        <v>000.000.336-00</v>
      </c>
      <c r="AJ298" s="22">
        <v>8700</v>
      </c>
      <c r="AK298">
        <v>8700</v>
      </c>
      <c r="AM298" s="21" t="s">
        <v>232</v>
      </c>
      <c r="AN298" t="s">
        <v>809</v>
      </c>
      <c r="AO298" t="s">
        <v>809</v>
      </c>
      <c r="BB298" s="26">
        <v>12600</v>
      </c>
      <c r="BC298" s="81">
        <f>IF(AND(TabelaClean14[[#This Row],[analise_risco]]="Arriscado",TabelaClean14[[#This Row],[analise_credito]]="Reprovado"),0,IF(TabelaClean14[[#This Row],[status]]="Ativo",TabelaClean14[[#This Row],[valor_solicitado]]*1.08,0))</f>
        <v>22680</v>
      </c>
    </row>
    <row r="299" spans="1:55">
      <c r="A299" s="24" t="s">
        <v>76</v>
      </c>
      <c r="B299" s="17" t="s">
        <v>565</v>
      </c>
      <c r="C299" s="25" t="s">
        <v>928</v>
      </c>
      <c r="D299" s="54">
        <v>35</v>
      </c>
      <c r="E299" s="30">
        <v>33440</v>
      </c>
      <c r="F299" s="24" t="str">
        <f>TabelaClean14[[#This Row],[CidadeCPF]]</f>
        <v>Pyke</v>
      </c>
      <c r="G299" s="17" t="str">
        <f>TabelaClean14[[#This Row],[RegiaoCPF]]</f>
        <v>Ilhas De Ferro</v>
      </c>
      <c r="H299" s="17" t="str">
        <f>_xlfn.XLOOKUP(TabelaClean14[[#This Row],[cpf]],TabelaDirty[cpfclean],TabelaDirty[cidade])</f>
        <v>Pyke</v>
      </c>
      <c r="I299" s="17" t="str">
        <f>_xlfn.XLOOKUP(TabelaClean14[[#This Row],[cpf]],TabelaDirty[cpfclean],TabelaDirty[regiao])</f>
        <v>ILHAS DE FERRO</v>
      </c>
      <c r="J299" s="17" t="str">
        <f>PROPER(TabelaClean14[[#This Row],[Coluna1]])</f>
        <v>Ilhas De Ferro</v>
      </c>
      <c r="K299" s="17" t="e">
        <f>_xlfn.TEXTBEFORE(TabelaClean14[[#This Row],[CidadeCPF]]," | ")</f>
        <v>#N/A</v>
      </c>
      <c r="L299" s="24" t="e">
        <f>_xlfn.TEXTAFTER(TabelaClean14[[#This Row],[CidadeCPF]]," | ")</f>
        <v>#N/A</v>
      </c>
      <c r="M299" s="26">
        <v>2000</v>
      </c>
      <c r="N299" s="78">
        <v>5500</v>
      </c>
      <c r="O299" s="1" t="s">
        <v>50</v>
      </c>
      <c r="P29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299" s="84">
        <v>34</v>
      </c>
      <c r="R299" s="1" t="str" cm="1">
        <f t="array" ref="R299">_xlfn.IFS(TabelaClean14[[#This Row],[qtde_batalhas]]&lt;=10,"Baixo",TabelaClean14[[#This Row],[qtde_batalhas]]&gt;=26,"Alto",TabelaClean14[[#This Row],[qtde_batalhas]]&lt;26,"Médio")</f>
        <v>Alto</v>
      </c>
      <c r="S299" s="1" t="str">
        <f>IF(AND(TabelaClean14[[#This Row],[nivel_risco]]="Alto",TabelaClean14[[#This Row],[flag_inadimplente]]="Sim"),"Arriscado","Ok")</f>
        <v>Ok</v>
      </c>
      <c r="T299" s="26">
        <v>71000</v>
      </c>
      <c r="U299" s="81">
        <f>IF(AND(TabelaClean14[[#This Row],[analise_risco]]="Arriscado",TabelaClean14[[#This Row],[analise_credito]]="Reprovado"),0,IF(TabelaClean14[[#This Row],[status]]="Ativo",TabelaClean14[[#This Row],[valor_solicitado]]*1.08,0))</f>
        <v>76680</v>
      </c>
      <c r="W299" s="1"/>
      <c r="Y299" t="s">
        <v>456</v>
      </c>
      <c r="Z299" t="str">
        <f t="shared" si="4"/>
        <v>Gargalo</v>
      </c>
      <c r="AE299" t="s">
        <v>234</v>
      </c>
      <c r="AF299" t="str">
        <f>TEXT(AE299,"000\.000\.000\-00")</f>
        <v>000.000.338-00</v>
      </c>
      <c r="AJ299" s="22">
        <v>15200</v>
      </c>
      <c r="AK299">
        <v>15200</v>
      </c>
      <c r="AM299" s="20">
        <v>67500</v>
      </c>
      <c r="AN299">
        <v>67500</v>
      </c>
      <c r="AO299">
        <v>67500</v>
      </c>
      <c r="BB299" s="26">
        <v>2000</v>
      </c>
      <c r="BC299" s="81">
        <f>IF(AND(TabelaClean14[[#This Row],[analise_risco]]="Arriscado",TabelaClean14[[#This Row],[analise_credito]]="Reprovado"),0,IF(TabelaClean14[[#This Row],[status]]="Ativo",TabelaClean14[[#This Row],[valor_solicitado]]*1.08,0))</f>
        <v>76680</v>
      </c>
    </row>
    <row r="300" spans="1:55">
      <c r="A300" s="24" t="s">
        <v>81</v>
      </c>
      <c r="B300" s="17" t="s">
        <v>140</v>
      </c>
      <c r="C300" s="25" t="s">
        <v>871</v>
      </c>
      <c r="D300" s="54">
        <v>43</v>
      </c>
      <c r="E300" s="30">
        <v>30391</v>
      </c>
      <c r="F300" s="24" t="str">
        <f>TabelaClean14[[#This Row],[CidadeCPF]]</f>
        <v>Castelo Negro</v>
      </c>
      <c r="G300" s="17" t="str">
        <f>TabelaClean14[[#This Row],[RegiaoCPF]]</f>
        <v>Norte</v>
      </c>
      <c r="H300" s="17" t="str">
        <f>_xlfn.XLOOKUP(TabelaClean14[[#This Row],[cpf]],TabelaDirty[cpfclean],TabelaDirty[cidade])</f>
        <v>Castelo Negro</v>
      </c>
      <c r="I300" s="17" t="str">
        <f>_xlfn.XLOOKUP(TabelaClean14[[#This Row],[cpf]],TabelaDirty[cpfclean],TabelaDirty[regiao])</f>
        <v>Norte</v>
      </c>
      <c r="J300" s="17" t="str">
        <f>PROPER(TabelaClean14[[#This Row],[Coluna1]])</f>
        <v>Norte</v>
      </c>
      <c r="K300" s="17" t="e">
        <f>_xlfn.TEXTBEFORE(TabelaClean14[[#This Row],[CidadeCPF]]," | ")</f>
        <v>#N/A</v>
      </c>
      <c r="L300" s="24" t="e">
        <f>_xlfn.TEXTAFTER(TabelaClean14[[#This Row],[CidadeCPF]]," | ")</f>
        <v>#N/A</v>
      </c>
      <c r="M300" s="26">
        <v>7100</v>
      </c>
      <c r="N300" s="78">
        <v>5500</v>
      </c>
      <c r="O300" s="1" t="s">
        <v>50</v>
      </c>
      <c r="P30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0" s="84">
        <v>23</v>
      </c>
      <c r="R300" s="1" t="str" cm="1">
        <f t="array" ref="R300">_xlfn.IFS(TabelaClean14[[#This Row],[qtde_batalhas]]&lt;=10,"Baixo",TabelaClean14[[#This Row],[qtde_batalhas]]&gt;=26,"Alto",TabelaClean14[[#This Row],[qtde_batalhas]]&lt;26,"Médio")</f>
        <v>Médio</v>
      </c>
      <c r="S300" s="1" t="str">
        <f>IF(AND(TabelaClean14[[#This Row],[nivel_risco]]="Alto",TabelaClean14[[#This Row],[flag_inadimplente]]="Sim"),"Arriscado","Ok")</f>
        <v>Ok</v>
      </c>
      <c r="T300" s="26">
        <v>67000</v>
      </c>
      <c r="U30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00" s="1"/>
      <c r="Y300" t="s">
        <v>809</v>
      </c>
      <c r="Z300" t="str">
        <f t="shared" si="4"/>
        <v>Null</v>
      </c>
      <c r="AE300" t="s">
        <v>212</v>
      </c>
      <c r="AF300" t="str">
        <f>TEXT(AE300,"000\.000\.000\-00")</f>
        <v>000.000.341-00</v>
      </c>
      <c r="AJ300" s="22" t="s">
        <v>785</v>
      </c>
      <c r="AK300">
        <v>11400</v>
      </c>
      <c r="AM300" s="21">
        <v>0</v>
      </c>
      <c r="AN300">
        <v>0</v>
      </c>
      <c r="AO300">
        <v>0</v>
      </c>
      <c r="BB300" s="26">
        <v>7100</v>
      </c>
      <c r="BC30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01" spans="1:55">
      <c r="A301" s="24" t="s">
        <v>76</v>
      </c>
      <c r="B301" s="17" t="s">
        <v>294</v>
      </c>
      <c r="C301" s="25" t="s">
        <v>295</v>
      </c>
      <c r="D301" s="54">
        <v>55</v>
      </c>
      <c r="E301" s="30">
        <v>25874</v>
      </c>
      <c r="F301" s="24" t="str">
        <f>TabelaClean14[[#This Row],[CidadeCPF]]</f>
        <v>Dorne</v>
      </c>
      <c r="G301" s="17" t="str">
        <f>TabelaClean14[[#This Row],[RegiaoCPF]]</f>
        <v>Dorne</v>
      </c>
      <c r="H301" s="17" t="str">
        <f>_xlfn.XLOOKUP(TabelaClean14[[#This Row],[cpf]],TabelaDirty[cpfclean],TabelaDirty[cidade])</f>
        <v>Dorne</v>
      </c>
      <c r="I301" s="17" t="str">
        <f>_xlfn.XLOOKUP(TabelaClean14[[#This Row],[cpf]],TabelaDirty[cpfclean],TabelaDirty[regiao])</f>
        <v>dorne</v>
      </c>
      <c r="J301" s="17" t="str">
        <f>PROPER(TabelaClean14[[#This Row],[Coluna1]])</f>
        <v>Dorne</v>
      </c>
      <c r="K301" s="17" t="e">
        <f>_xlfn.TEXTBEFORE(TabelaClean14[[#This Row],[CidadeCPF]]," | ")</f>
        <v>#N/A</v>
      </c>
      <c r="L301" s="24" t="e">
        <f>_xlfn.TEXTAFTER(TabelaClean14[[#This Row],[CidadeCPF]]," | ")</f>
        <v>#N/A</v>
      </c>
      <c r="M301" s="26">
        <v>29100</v>
      </c>
      <c r="N301" s="78">
        <v>5500</v>
      </c>
      <c r="O301" s="1" t="s">
        <v>50</v>
      </c>
      <c r="P30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1" s="84">
        <v>11</v>
      </c>
      <c r="R301" s="1" t="str" cm="1">
        <f t="array" ref="R301">_xlfn.IFS(TabelaClean14[[#This Row],[qtde_batalhas]]&lt;=10,"Baixo",TabelaClean14[[#This Row],[qtde_batalhas]]&gt;=26,"Alto",TabelaClean14[[#This Row],[qtde_batalhas]]&lt;26,"Médio")</f>
        <v>Médio</v>
      </c>
      <c r="S301" s="1" t="str">
        <f>IF(AND(TabelaClean14[[#This Row],[nivel_risco]]="Alto",TabelaClean14[[#This Row],[flag_inadimplente]]="Sim"),"Arriscado","Ok")</f>
        <v>Ok</v>
      </c>
      <c r="T301" s="26">
        <v>56000</v>
      </c>
      <c r="U301" s="81">
        <f>IF(AND(TabelaClean14[[#This Row],[analise_risco]]="Arriscado",TabelaClean14[[#This Row],[analise_credito]]="Reprovado"),0,IF(TabelaClean14[[#This Row],[status]]="Ativo",TabelaClean14[[#This Row],[valor_solicitado]]*1.08,0))</f>
        <v>60480.000000000007</v>
      </c>
      <c r="W301" s="1"/>
      <c r="Y301" t="s">
        <v>809</v>
      </c>
      <c r="Z301" t="str">
        <f t="shared" si="4"/>
        <v>Null</v>
      </c>
      <c r="AE301" t="s">
        <v>370</v>
      </c>
      <c r="AF301" t="str">
        <f>TEXT(AE301,"000\.000\.000\-00")</f>
        <v>000.000.342-00</v>
      </c>
      <c r="AJ301" s="22">
        <v>28600</v>
      </c>
      <c r="AK301">
        <v>28600</v>
      </c>
      <c r="AM301" s="20">
        <v>67500</v>
      </c>
      <c r="AN301">
        <v>67500</v>
      </c>
      <c r="AO301">
        <v>67500</v>
      </c>
      <c r="BB301" s="26">
        <v>29100</v>
      </c>
      <c r="BC301" s="81">
        <f>IF(AND(TabelaClean14[[#This Row],[analise_risco]]="Arriscado",TabelaClean14[[#This Row],[analise_credito]]="Reprovado"),0,IF(TabelaClean14[[#This Row],[status]]="Ativo",TabelaClean14[[#This Row],[valor_solicitado]]*1.08,0))</f>
        <v>60480.000000000007</v>
      </c>
    </row>
    <row r="302" spans="1:55">
      <c r="A302" s="24" t="s">
        <v>76</v>
      </c>
      <c r="B302" s="17" t="s">
        <v>561</v>
      </c>
      <c r="C302" s="25" t="s">
        <v>562</v>
      </c>
      <c r="D302" s="54">
        <v>22</v>
      </c>
      <c r="E302" s="30">
        <v>38079</v>
      </c>
      <c r="F302" s="24" t="str">
        <f>TabelaClean14[[#This Row],[CidadeCPF]]</f>
        <v>Ponta Tempestade</v>
      </c>
      <c r="G302" s="17" t="str">
        <f>TabelaClean14[[#This Row],[RegiaoCPF]]</f>
        <v>Terras Da Tempestade</v>
      </c>
      <c r="H302" s="17" t="str">
        <f>_xlfn.XLOOKUP(TabelaClean14[[#This Row],[cpf]],TabelaDirty[cpfclean],TabelaDirty[cidade])</f>
        <v>Ponta Tempestade</v>
      </c>
      <c r="I302" s="17" t="str">
        <f>_xlfn.XLOOKUP(TabelaClean14[[#This Row],[cpf]],TabelaDirty[cpfclean],TabelaDirty[regiao])</f>
        <v>Terras da Tempestade</v>
      </c>
      <c r="J302" s="17" t="str">
        <f>PROPER(TabelaClean14[[#This Row],[Coluna1]])</f>
        <v>Terras Da Tempestade</v>
      </c>
      <c r="K302" s="17" t="e">
        <f>_xlfn.TEXTBEFORE(TabelaClean14[[#This Row],[CidadeCPF]]," | ")</f>
        <v>#N/A</v>
      </c>
      <c r="L302" s="24" t="e">
        <f>_xlfn.TEXTAFTER(TabelaClean14[[#This Row],[CidadeCPF]]," | ")</f>
        <v>#N/A</v>
      </c>
      <c r="M302" s="26">
        <v>9200</v>
      </c>
      <c r="N302" s="78">
        <v>5000</v>
      </c>
      <c r="O302" s="1" t="s">
        <v>50</v>
      </c>
      <c r="P30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2" s="84">
        <v>42</v>
      </c>
      <c r="R302" s="1" t="str" cm="1">
        <f t="array" ref="R302">_xlfn.IFS(TabelaClean14[[#This Row],[qtde_batalhas]]&lt;=10,"Baixo",TabelaClean14[[#This Row],[qtde_batalhas]]&gt;=26,"Alto",TabelaClean14[[#This Row],[qtde_batalhas]]&lt;26,"Médio")</f>
        <v>Alto</v>
      </c>
      <c r="S302" s="1" t="str">
        <f>IF(AND(TabelaClean14[[#This Row],[nivel_risco]]="Alto",TabelaClean14[[#This Row],[flag_inadimplente]]="Sim"),"Arriscado","Ok")</f>
        <v>Ok</v>
      </c>
      <c r="T302" s="26">
        <v>63500</v>
      </c>
      <c r="U302" s="81">
        <f>IF(AND(TabelaClean14[[#This Row],[analise_risco]]="Arriscado",TabelaClean14[[#This Row],[analise_credito]]="Reprovado"),0,IF(TabelaClean14[[#This Row],[status]]="Ativo",TabelaClean14[[#This Row],[valor_solicitado]]*1.08,0))</f>
        <v>68580</v>
      </c>
      <c r="W302" s="1"/>
      <c r="Y302" t="s">
        <v>809</v>
      </c>
      <c r="Z302" t="str">
        <f t="shared" si="4"/>
        <v>Null</v>
      </c>
      <c r="AE302" t="s">
        <v>742</v>
      </c>
      <c r="AF302" t="str">
        <f>TEXT(AE302,"000\.000\.000\-00")</f>
        <v>000.000.345-00</v>
      </c>
      <c r="AJ302" s="22">
        <v>16900</v>
      </c>
      <c r="AK302">
        <v>16900</v>
      </c>
      <c r="AM302" s="21">
        <v>42500</v>
      </c>
      <c r="AN302">
        <v>42500</v>
      </c>
      <c r="AO302">
        <v>42500</v>
      </c>
      <c r="BB302" s="26">
        <v>9200</v>
      </c>
      <c r="BC302" s="81">
        <f>IF(AND(TabelaClean14[[#This Row],[analise_risco]]="Arriscado",TabelaClean14[[#This Row],[analise_credito]]="Reprovado"),0,IF(TabelaClean14[[#This Row],[status]]="Ativo",TabelaClean14[[#This Row],[valor_solicitado]]*1.08,0))</f>
        <v>68580</v>
      </c>
    </row>
    <row r="303" spans="1:55">
      <c r="A303" s="24" t="s">
        <v>81</v>
      </c>
      <c r="B303" s="17" t="s">
        <v>779</v>
      </c>
      <c r="C303" s="25" t="s">
        <v>780</v>
      </c>
      <c r="D303" s="54">
        <v>31</v>
      </c>
      <c r="E303" s="30">
        <v>34824</v>
      </c>
      <c r="F303" s="24" t="str">
        <f>TabelaClean14[[#This Row],[CidadeCPF]]</f>
        <v>Solar do Entardecer</v>
      </c>
      <c r="G303" s="17" t="str">
        <f>TabelaClean14[[#This Row],[RegiaoCPF]]</f>
        <v>Terras Da Tempestade</v>
      </c>
      <c r="H303" s="17" t="str">
        <f>_xlfn.XLOOKUP(TabelaClean14[[#This Row],[cpf]],TabelaDirty[cpfclean],TabelaDirty[cidade])</f>
        <v>Solar do Entardecer</v>
      </c>
      <c r="I303" s="17" t="str">
        <f>_xlfn.XLOOKUP(TabelaClean14[[#This Row],[cpf]],TabelaDirty[cpfclean],TabelaDirty[regiao])</f>
        <v>Terras da Tempestade</v>
      </c>
      <c r="J303" s="17" t="str">
        <f>PROPER(TabelaClean14[[#This Row],[Coluna1]])</f>
        <v>Terras Da Tempestade</v>
      </c>
      <c r="K303" s="17" t="e">
        <f>_xlfn.TEXTBEFORE(TabelaClean14[[#This Row],[CidadeCPF]]," | ")</f>
        <v>#N/A</v>
      </c>
      <c r="L303" s="24" t="e">
        <f>_xlfn.TEXTAFTER(TabelaClean14[[#This Row],[CidadeCPF]]," | ")</f>
        <v>#N/A</v>
      </c>
      <c r="M303" s="26">
        <v>29500</v>
      </c>
      <c r="N303" s="78">
        <v>5000</v>
      </c>
      <c r="O303" s="1" t="s">
        <v>50</v>
      </c>
      <c r="P30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3" s="84">
        <v>22</v>
      </c>
      <c r="R303" s="1" t="str" cm="1">
        <f t="array" ref="R303">_xlfn.IFS(TabelaClean14[[#This Row],[qtde_batalhas]]&lt;=10,"Baixo",TabelaClean14[[#This Row],[qtde_batalhas]]&gt;=26,"Alto",TabelaClean14[[#This Row],[qtde_batalhas]]&lt;26,"Médio")</f>
        <v>Médio</v>
      </c>
      <c r="S303" s="1" t="str">
        <f>IF(AND(TabelaClean14[[#This Row],[nivel_risco]]="Alto",TabelaClean14[[#This Row],[flag_inadimplente]]="Sim"),"Arriscado","Ok")</f>
        <v>Ok</v>
      </c>
      <c r="T303" s="26">
        <v>18000</v>
      </c>
      <c r="U30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03" s="1"/>
      <c r="Y303" t="s">
        <v>149</v>
      </c>
      <c r="Z303" t="str">
        <f t="shared" si="4"/>
        <v>Campina</v>
      </c>
      <c r="AE303" t="s">
        <v>164</v>
      </c>
      <c r="AF303" t="str">
        <f>TEXT(AE303,"000\.000\.000\-00")</f>
        <v>000.000.346-00</v>
      </c>
      <c r="AJ303" s="22">
        <v>24100</v>
      </c>
      <c r="AK303">
        <v>24100</v>
      </c>
      <c r="AM303" s="20">
        <v>0</v>
      </c>
      <c r="AN303">
        <v>0</v>
      </c>
      <c r="AO303">
        <v>0</v>
      </c>
      <c r="BB303" s="26">
        <v>29500</v>
      </c>
      <c r="BC30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04" spans="1:55">
      <c r="A304" s="24" t="s">
        <v>81</v>
      </c>
      <c r="B304" s="17" t="s">
        <v>650</v>
      </c>
      <c r="C304" s="25" t="s">
        <v>651</v>
      </c>
      <c r="D304" s="54">
        <v>55</v>
      </c>
      <c r="E304" s="30">
        <v>25848</v>
      </c>
      <c r="F304" s="24" t="str">
        <f>TabelaClean14[[#This Row],[CidadeCPF]]</f>
        <v>Meereen</v>
      </c>
      <c r="G304" s="17" t="str">
        <f>TabelaClean14[[#This Row],[RegiaoCPF]]</f>
        <v>Essos</v>
      </c>
      <c r="H304" s="17" t="str">
        <f>_xlfn.XLOOKUP(TabelaClean14[[#This Row],[cpf]],TabelaDirty[cpfclean],TabelaDirty[cidade])</f>
        <v>Meereen</v>
      </c>
      <c r="I304" s="17" t="str">
        <f>_xlfn.XLOOKUP(TabelaClean14[[#This Row],[cpf]],TabelaDirty[cpfclean],TabelaDirty[regiao])</f>
        <v>Essos</v>
      </c>
      <c r="J304" s="17" t="str">
        <f>PROPER(TabelaClean14[[#This Row],[Coluna1]])</f>
        <v>Essos</v>
      </c>
      <c r="K304" s="17" t="e">
        <f>_xlfn.TEXTBEFORE(TabelaClean14[[#This Row],[CidadeCPF]]," | ")</f>
        <v>#N/A</v>
      </c>
      <c r="L304" s="24" t="e">
        <f>_xlfn.TEXTAFTER(TabelaClean14[[#This Row],[CidadeCPF]]," | ")</f>
        <v>#N/A</v>
      </c>
      <c r="N304" s="78">
        <v>5000</v>
      </c>
      <c r="O304" s="1" t="s">
        <v>50</v>
      </c>
      <c r="P30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4" s="84">
        <v>8</v>
      </c>
      <c r="R304" s="1" t="str" cm="1">
        <f t="array" ref="R304">_xlfn.IFS(TabelaClean14[[#This Row],[qtde_batalhas]]&lt;=10,"Baixo",TabelaClean14[[#This Row],[qtde_batalhas]]&gt;=26,"Alto",TabelaClean14[[#This Row],[qtde_batalhas]]&lt;26,"Médio")</f>
        <v>Baixo</v>
      </c>
      <c r="S304" s="1" t="str">
        <f>IF(AND(TabelaClean14[[#This Row],[nivel_risco]]="Alto",TabelaClean14[[#This Row],[flag_inadimplente]]="Sim"),"Arriscado","Ok")</f>
        <v>Ok</v>
      </c>
      <c r="T304" s="26">
        <v>11000</v>
      </c>
      <c r="U30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04" s="1"/>
      <c r="Y304" t="s">
        <v>809</v>
      </c>
      <c r="Z304" t="str">
        <f t="shared" si="4"/>
        <v>Null</v>
      </c>
      <c r="AE304" t="s">
        <v>703</v>
      </c>
      <c r="AF304" t="str">
        <f>TEXT(AE304,"000\.000\.000\-00")</f>
        <v>000.000.347-00</v>
      </c>
      <c r="AJ304" s="22">
        <v>18500</v>
      </c>
      <c r="AK304">
        <v>18500</v>
      </c>
      <c r="AM304" s="21">
        <v>59000</v>
      </c>
      <c r="AN304">
        <v>59000</v>
      </c>
      <c r="AO304">
        <v>59000</v>
      </c>
      <c r="BC30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05" spans="1:55">
      <c r="A305" s="24" t="s">
        <v>76</v>
      </c>
      <c r="B305" s="17" t="s">
        <v>515</v>
      </c>
      <c r="C305" s="25" t="s">
        <v>516</v>
      </c>
      <c r="D305" s="54">
        <v>60</v>
      </c>
      <c r="E305" s="30">
        <v>24021</v>
      </c>
      <c r="F305" s="24" t="str">
        <f>TabelaClean14[[#This Row],[CidadeCPF]]</f>
        <v>Winterfell</v>
      </c>
      <c r="G305" s="17" t="str">
        <f>TabelaClean14[[#This Row],[RegiaoCPF]]</f>
        <v>Norte</v>
      </c>
      <c r="H305" s="17" t="str">
        <f>_xlfn.XLOOKUP(TabelaClean14[[#This Row],[cpf]],TabelaDirty[cpfclean],TabelaDirty[cidade])</f>
        <v>Winterfell</v>
      </c>
      <c r="I305" s="17" t="str">
        <f>_xlfn.XLOOKUP(TabelaClean14[[#This Row],[cpf]],TabelaDirty[cpfclean],TabelaDirty[regiao])</f>
        <v>NORTE</v>
      </c>
      <c r="J305" s="17" t="str">
        <f>PROPER(TabelaClean14[[#This Row],[Coluna1]])</f>
        <v>Norte</v>
      </c>
      <c r="K305" s="17" t="e">
        <f>_xlfn.TEXTBEFORE(TabelaClean14[[#This Row],[CidadeCPF]]," | ")</f>
        <v>#N/A</v>
      </c>
      <c r="L305" s="24" t="e">
        <f>_xlfn.TEXTAFTER(TabelaClean14[[#This Row],[CidadeCPF]]," | ")</f>
        <v>#N/A</v>
      </c>
      <c r="M305" s="26">
        <v>22900</v>
      </c>
      <c r="N305" s="78">
        <v>4500</v>
      </c>
      <c r="O305" s="1" t="s">
        <v>51</v>
      </c>
      <c r="P30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5" s="84">
        <v>29</v>
      </c>
      <c r="R305" s="1" t="str" cm="1">
        <f t="array" ref="R305">_xlfn.IFS(TabelaClean14[[#This Row],[qtde_batalhas]]&lt;=10,"Baixo",TabelaClean14[[#This Row],[qtde_batalhas]]&gt;=26,"Alto",TabelaClean14[[#This Row],[qtde_batalhas]]&lt;26,"Médio")</f>
        <v>Alto</v>
      </c>
      <c r="S305" s="1" t="str">
        <f>IF(AND(TabelaClean14[[#This Row],[nivel_risco]]="Alto",TabelaClean14[[#This Row],[flag_inadimplente]]="Sim"),"Arriscado","Ok")</f>
        <v>Arriscado</v>
      </c>
      <c r="T305" s="26">
        <v>43500</v>
      </c>
      <c r="U305" s="81">
        <f>IF(AND(TabelaClean14[[#This Row],[analise_risco]]="Arriscado",TabelaClean14[[#This Row],[analise_credito]]="Reprovado"),0,IF(TabelaClean14[[#This Row],[status]]="Ativo",TabelaClean14[[#This Row],[valor_solicitado]]*1.08,0))</f>
        <v>46980</v>
      </c>
      <c r="W305" s="1"/>
      <c r="Y305" t="s">
        <v>809</v>
      </c>
      <c r="Z305" t="str">
        <f t="shared" si="4"/>
        <v>Null</v>
      </c>
      <c r="AE305" t="s">
        <v>693</v>
      </c>
      <c r="AF305" t="str">
        <f>TEXT(AE305,"000\.000\.000\-00")</f>
        <v>000.000.351-00</v>
      </c>
      <c r="AJ305" s="22">
        <v>3900</v>
      </c>
      <c r="AK305">
        <v>3900</v>
      </c>
      <c r="AM305" s="20">
        <v>80000</v>
      </c>
      <c r="AN305">
        <v>80000</v>
      </c>
      <c r="AO305">
        <v>80000</v>
      </c>
      <c r="BB305" s="26">
        <v>22900</v>
      </c>
      <c r="BC305" s="81">
        <f>IF(AND(TabelaClean14[[#This Row],[analise_risco]]="Arriscado",TabelaClean14[[#This Row],[analise_credito]]="Reprovado"),0,IF(TabelaClean14[[#This Row],[status]]="Ativo",TabelaClean14[[#This Row],[valor_solicitado]]*1.08,0))</f>
        <v>46980</v>
      </c>
    </row>
    <row r="306" spans="1:55">
      <c r="A306" s="24" t="s">
        <v>81</v>
      </c>
      <c r="B306" s="17" t="s">
        <v>444</v>
      </c>
      <c r="C306" s="25" t="s">
        <v>850</v>
      </c>
      <c r="D306" s="54">
        <v>51</v>
      </c>
      <c r="E306" s="30">
        <v>27590</v>
      </c>
      <c r="F306" s="24" t="str">
        <f>TabelaClean14[[#This Row],[CidadeCPF]]</f>
        <v>Castelo Negro</v>
      </c>
      <c r="G306" s="17" t="str">
        <f>TabelaClean14[[#This Row],[RegiaoCPF]]</f>
        <v>Norte</v>
      </c>
      <c r="H306" s="17" t="str">
        <f>_xlfn.XLOOKUP(TabelaClean14[[#This Row],[cpf]],TabelaDirty[cpfclean],TabelaDirty[cidade])</f>
        <v>Castelo Negro</v>
      </c>
      <c r="I306" s="17" t="str">
        <f>_xlfn.XLOOKUP(TabelaClean14[[#This Row],[cpf]],TabelaDirty[cpfclean],TabelaDirty[regiao])</f>
        <v>Norte</v>
      </c>
      <c r="J306" s="17" t="str">
        <f>PROPER(TabelaClean14[[#This Row],[Coluna1]])</f>
        <v>Norte</v>
      </c>
      <c r="K306" s="17" t="e">
        <f>_xlfn.TEXTBEFORE(TabelaClean14[[#This Row],[CidadeCPF]]," | ")</f>
        <v>#N/A</v>
      </c>
      <c r="L306" s="24" t="e">
        <f>_xlfn.TEXTAFTER(TabelaClean14[[#This Row],[CidadeCPF]]," | ")</f>
        <v>#N/A</v>
      </c>
      <c r="M306" s="26">
        <v>19400</v>
      </c>
      <c r="N306" s="78">
        <v>4000</v>
      </c>
      <c r="O306" s="1" t="s">
        <v>50</v>
      </c>
      <c r="P30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6" s="84">
        <v>30</v>
      </c>
      <c r="R306" s="1" t="str" cm="1">
        <f t="array" ref="R306">_xlfn.IFS(TabelaClean14[[#This Row],[qtde_batalhas]]&lt;=10,"Baixo",TabelaClean14[[#This Row],[qtde_batalhas]]&gt;=26,"Alto",TabelaClean14[[#This Row],[qtde_batalhas]]&lt;26,"Médio")</f>
        <v>Alto</v>
      </c>
      <c r="S306" s="1" t="str">
        <f>IF(AND(TabelaClean14[[#This Row],[nivel_risco]]="Alto",TabelaClean14[[#This Row],[flag_inadimplente]]="Sim"),"Arriscado","Ok")</f>
        <v>Ok</v>
      </c>
      <c r="T306" s="26">
        <v>38500</v>
      </c>
      <c r="U30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06" s="1"/>
      <c r="Y306" t="s">
        <v>256</v>
      </c>
      <c r="Z306" t="str">
        <f t="shared" si="4"/>
        <v>Essos</v>
      </c>
      <c r="AE306" t="s">
        <v>700</v>
      </c>
      <c r="AF306" t="str">
        <f>TEXT(AE306,"000\.000\.000\-00")</f>
        <v>000.000.353-00</v>
      </c>
      <c r="AJ306" s="22">
        <v>2600</v>
      </c>
      <c r="AK306">
        <v>2600</v>
      </c>
      <c r="AM306" s="21">
        <v>0</v>
      </c>
      <c r="AN306">
        <v>0</v>
      </c>
      <c r="AO306">
        <v>0</v>
      </c>
      <c r="BB306" s="26">
        <v>19400</v>
      </c>
      <c r="BC30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07" spans="1:55">
      <c r="A307" s="24" t="s">
        <v>81</v>
      </c>
      <c r="B307" s="17" t="s">
        <v>152</v>
      </c>
      <c r="C307" s="25" t="s">
        <v>153</v>
      </c>
      <c r="D307" s="54">
        <v>53</v>
      </c>
      <c r="E307" s="30">
        <v>26629</v>
      </c>
      <c r="F307" s="24" t="str">
        <f>TabelaClean14[[#This Row],[CidadeCPF]]</f>
        <v>Ilha dos Ursos</v>
      </c>
      <c r="G307" s="17" t="str">
        <f>TabelaClean14[[#This Row],[RegiaoCPF]]</f>
        <v>Norte</v>
      </c>
      <c r="H307" s="17" t="str">
        <f>_xlfn.XLOOKUP(TabelaClean14[[#This Row],[cpf]],TabelaDirty[cpfclean],TabelaDirty[cidade])</f>
        <v>Ilha dos Ursos</v>
      </c>
      <c r="I307" s="17" t="str">
        <f>_xlfn.XLOOKUP(TabelaClean14[[#This Row],[cpf]],TabelaDirty[cpfclean],TabelaDirty[regiao])</f>
        <v>NORTE</v>
      </c>
      <c r="J307" s="17" t="str">
        <f>PROPER(TabelaClean14[[#This Row],[Coluna1]])</f>
        <v>Norte</v>
      </c>
      <c r="K307" s="17" t="e">
        <f>_xlfn.TEXTBEFORE(TabelaClean14[[#This Row],[CidadeCPF]]," | ")</f>
        <v>#N/A</v>
      </c>
      <c r="L307" s="24" t="e">
        <f>_xlfn.TEXTAFTER(TabelaClean14[[#This Row],[CidadeCPF]]," | ")</f>
        <v>#N/A</v>
      </c>
      <c r="M307" s="26">
        <v>16500</v>
      </c>
      <c r="N307" s="78">
        <v>4000</v>
      </c>
      <c r="O307" s="1" t="s">
        <v>50</v>
      </c>
      <c r="P30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7" s="84">
        <v>14</v>
      </c>
      <c r="R307" s="1" t="str" cm="1">
        <f t="array" ref="R307">_xlfn.IFS(TabelaClean14[[#This Row],[qtde_batalhas]]&lt;=10,"Baixo",TabelaClean14[[#This Row],[qtde_batalhas]]&gt;=26,"Alto",TabelaClean14[[#This Row],[qtde_batalhas]]&lt;26,"Médio")</f>
        <v>Médio</v>
      </c>
      <c r="S307" s="1" t="str">
        <f>IF(AND(TabelaClean14[[#This Row],[nivel_risco]]="Alto",TabelaClean14[[#This Row],[flag_inadimplente]]="Sim"),"Arriscado","Ok")</f>
        <v>Ok</v>
      </c>
      <c r="T307" s="26">
        <v>36000</v>
      </c>
      <c r="U30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07" s="1"/>
      <c r="Y307" t="s">
        <v>809</v>
      </c>
      <c r="Z307" t="str">
        <f t="shared" si="4"/>
        <v>Null</v>
      </c>
      <c r="AE307" t="s">
        <v>516</v>
      </c>
      <c r="AF307" t="str">
        <f>TEXT(AE307,"000\.000\.000\-00")</f>
        <v>000.000.354-00</v>
      </c>
      <c r="AJ307" s="22">
        <v>5400</v>
      </c>
      <c r="AK307">
        <v>5400</v>
      </c>
      <c r="AM307" s="20">
        <v>61000</v>
      </c>
      <c r="AN307">
        <v>61000</v>
      </c>
      <c r="AO307">
        <v>61000</v>
      </c>
      <c r="BB307" s="26">
        <v>16500</v>
      </c>
      <c r="BC30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08" spans="1:55">
      <c r="A308" s="24" t="s">
        <v>81</v>
      </c>
      <c r="B308" s="17" t="s">
        <v>451</v>
      </c>
      <c r="C308" s="25" t="s">
        <v>962</v>
      </c>
      <c r="D308" s="54" t="s">
        <v>809</v>
      </c>
      <c r="E308" s="30">
        <v>19234</v>
      </c>
      <c r="F308" s="24" t="str">
        <f>TabelaClean14[[#This Row],[CidadeCPF]]</f>
        <v>Jardim de Cima</v>
      </c>
      <c r="G308" s="17" t="str">
        <f>TabelaClean14[[#This Row],[RegiaoCPF]]</f>
        <v>Campina</v>
      </c>
      <c r="H308" s="17" t="str">
        <f>_xlfn.XLOOKUP(TabelaClean14[[#This Row],[cpf]],TabelaDirty[cpfclean],TabelaDirty[cidade])</f>
        <v>Jardim de Cima</v>
      </c>
      <c r="I308" s="17" t="str">
        <f>_xlfn.XLOOKUP(TabelaClean14[[#This Row],[cpf]],TabelaDirty[cpfclean],TabelaDirty[regiao])</f>
        <v>Campina</v>
      </c>
      <c r="J308" s="17" t="str">
        <f>PROPER(TabelaClean14[[#This Row],[Coluna1]])</f>
        <v>Campina</v>
      </c>
      <c r="K308" s="17" t="e">
        <f>_xlfn.TEXTBEFORE(TabelaClean14[[#This Row],[CidadeCPF]]," | ")</f>
        <v>#N/A</v>
      </c>
      <c r="L308" s="24" t="e">
        <f>_xlfn.TEXTAFTER(TabelaClean14[[#This Row],[CidadeCPF]]," | ")</f>
        <v>#N/A</v>
      </c>
      <c r="M308" s="26">
        <v>8900</v>
      </c>
      <c r="N308" s="78">
        <v>4000</v>
      </c>
      <c r="O308" s="1" t="s">
        <v>50</v>
      </c>
      <c r="P30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8" s="84">
        <v>38</v>
      </c>
      <c r="R308" s="1" t="str" cm="1">
        <f t="array" ref="R308">_xlfn.IFS(TabelaClean14[[#This Row],[qtde_batalhas]]&lt;=10,"Baixo",TabelaClean14[[#This Row],[qtde_batalhas]]&gt;=26,"Alto",TabelaClean14[[#This Row],[qtde_batalhas]]&lt;26,"Médio")</f>
        <v>Alto</v>
      </c>
      <c r="S308" s="1" t="str">
        <f>IF(AND(TabelaClean14[[#This Row],[nivel_risco]]="Alto",TabelaClean14[[#This Row],[flag_inadimplente]]="Sim"),"Arriscado","Ok")</f>
        <v>Ok</v>
      </c>
      <c r="T308" s="26">
        <v>22500</v>
      </c>
      <c r="U30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08" s="1"/>
      <c r="Y308" t="s">
        <v>809</v>
      </c>
      <c r="Z308" t="str">
        <f t="shared" si="4"/>
        <v>Null</v>
      </c>
      <c r="AE308" t="s">
        <v>732</v>
      </c>
      <c r="AF308" t="str">
        <f>TEXT(AE308,"000\.000\.000\-00")</f>
        <v>000.000.355-00</v>
      </c>
      <c r="AJ308" s="22">
        <v>11600</v>
      </c>
      <c r="AK308">
        <v>11600</v>
      </c>
      <c r="AM308" s="21">
        <v>63500</v>
      </c>
      <c r="AN308">
        <v>63500</v>
      </c>
      <c r="AO308">
        <v>63500</v>
      </c>
      <c r="BB308" s="26">
        <v>8900</v>
      </c>
      <c r="BC30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09" spans="1:55">
      <c r="A309" s="24" t="s">
        <v>76</v>
      </c>
      <c r="B309" s="17" t="s">
        <v>585</v>
      </c>
      <c r="C309" s="25" t="s">
        <v>586</v>
      </c>
      <c r="D309" s="54">
        <v>25</v>
      </c>
      <c r="E309" s="30">
        <v>37056</v>
      </c>
      <c r="F309" s="24" t="str">
        <f>TabelaClean14[[#This Row],[CidadeCPF]]</f>
        <v>Fosso Cailin</v>
      </c>
      <c r="G309" s="17" t="str">
        <f>TabelaClean14[[#This Row],[RegiaoCPF]]</f>
        <v>Norte</v>
      </c>
      <c r="H309" s="17" t="str">
        <f>_xlfn.XLOOKUP(TabelaClean14[[#This Row],[cpf]],TabelaDirty[cpfclean],TabelaDirty[cidade])</f>
        <v>Fosso Cailin</v>
      </c>
      <c r="I309" s="17" t="str">
        <f>_xlfn.XLOOKUP(TabelaClean14[[#This Row],[cpf]],TabelaDirty[cpfclean],TabelaDirty[regiao])</f>
        <v>Norte</v>
      </c>
      <c r="J309" s="17" t="str">
        <f>PROPER(TabelaClean14[[#This Row],[Coluna1]])</f>
        <v>Norte</v>
      </c>
      <c r="K309" s="17" t="e">
        <f>_xlfn.TEXTBEFORE(TabelaClean14[[#This Row],[CidadeCPF]]," | ")</f>
        <v>#N/A</v>
      </c>
      <c r="L309" s="24" t="e">
        <f>_xlfn.TEXTAFTER(TabelaClean14[[#This Row],[CidadeCPF]]," | ")</f>
        <v>#N/A</v>
      </c>
      <c r="M309" s="26">
        <v>25400</v>
      </c>
      <c r="N309" s="78">
        <v>4000</v>
      </c>
      <c r="O309" s="1" t="s">
        <v>50</v>
      </c>
      <c r="P30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09" s="84">
        <v>4</v>
      </c>
      <c r="R309" s="1" t="str" cm="1">
        <f t="array" ref="R309">_xlfn.IFS(TabelaClean14[[#This Row],[qtde_batalhas]]&lt;=10,"Baixo",TabelaClean14[[#This Row],[qtde_batalhas]]&gt;=26,"Alto",TabelaClean14[[#This Row],[qtde_batalhas]]&lt;26,"Médio")</f>
        <v>Baixo</v>
      </c>
      <c r="S309" s="1" t="str">
        <f>IF(AND(TabelaClean14[[#This Row],[nivel_risco]]="Alto",TabelaClean14[[#This Row],[flag_inadimplente]]="Sim"),"Arriscado","Ok")</f>
        <v>Ok</v>
      </c>
      <c r="T309" s="26">
        <v>8500</v>
      </c>
      <c r="U309" s="81">
        <f>IF(AND(TabelaClean14[[#This Row],[analise_risco]]="Arriscado",TabelaClean14[[#This Row],[analise_credito]]="Reprovado"),0,IF(TabelaClean14[[#This Row],[status]]="Ativo",TabelaClean14[[#This Row],[valor_solicitado]]*1.08,0))</f>
        <v>9180</v>
      </c>
      <c r="W309" s="1"/>
      <c r="Y309" t="s">
        <v>809</v>
      </c>
      <c r="Z309" t="str">
        <f t="shared" si="4"/>
        <v>Null</v>
      </c>
      <c r="AE309" t="s">
        <v>790</v>
      </c>
      <c r="AF309" t="str">
        <f>TEXT(AE309,"000\.000\.000\-00")</f>
        <v>000.000.356-00</v>
      </c>
      <c r="AJ309" s="22">
        <v>14100</v>
      </c>
      <c r="AK309">
        <v>14100</v>
      </c>
      <c r="AM309" s="20">
        <v>1500</v>
      </c>
      <c r="AN309">
        <v>1500</v>
      </c>
      <c r="AO309">
        <v>1500</v>
      </c>
      <c r="BB309" s="26">
        <v>25400</v>
      </c>
      <c r="BC309" s="81">
        <f>IF(AND(TabelaClean14[[#This Row],[analise_risco]]="Arriscado",TabelaClean14[[#This Row],[analise_credito]]="Reprovado"),0,IF(TabelaClean14[[#This Row],[status]]="Ativo",TabelaClean14[[#This Row],[valor_solicitado]]*1.08,0))</f>
        <v>9180</v>
      </c>
    </row>
    <row r="310" spans="1:55">
      <c r="A310" s="24" t="s">
        <v>76</v>
      </c>
      <c r="B310" s="17" t="s">
        <v>188</v>
      </c>
      <c r="C310" s="25" t="s">
        <v>189</v>
      </c>
      <c r="D310" s="54">
        <v>42</v>
      </c>
      <c r="E310" s="30">
        <v>30878</v>
      </c>
      <c r="F310" s="24" t="str">
        <f>TabelaClean14[[#This Row],[CidadeCPF]]</f>
        <v>Pyke</v>
      </c>
      <c r="G310" s="17" t="str">
        <f>TabelaClean14[[#This Row],[RegiaoCPF]]</f>
        <v>Ilhas De Ferro</v>
      </c>
      <c r="H310" s="17" t="str">
        <f>_xlfn.XLOOKUP(TabelaClean14[[#This Row],[cpf]],TabelaDirty[cpfclean],TabelaDirty[cidade])</f>
        <v>Pyke</v>
      </c>
      <c r="I310" s="17" t="str">
        <f>_xlfn.XLOOKUP(TabelaClean14[[#This Row],[cpf]],TabelaDirty[cpfclean],TabelaDirty[regiao])</f>
        <v>Ilhas de Ferro</v>
      </c>
      <c r="J310" s="17" t="str">
        <f>PROPER(TabelaClean14[[#This Row],[Coluna1]])</f>
        <v>Ilhas De Ferro</v>
      </c>
      <c r="K310" s="17" t="e">
        <f>_xlfn.TEXTBEFORE(TabelaClean14[[#This Row],[CidadeCPF]]," | ")</f>
        <v>#N/A</v>
      </c>
      <c r="L310" s="24" t="e">
        <f>_xlfn.TEXTAFTER(TabelaClean14[[#This Row],[CidadeCPF]]," | ")</f>
        <v>#N/A</v>
      </c>
      <c r="M310" s="26">
        <v>17500</v>
      </c>
      <c r="N310" s="78">
        <v>3500</v>
      </c>
      <c r="O310" s="1" t="s">
        <v>50</v>
      </c>
      <c r="P31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0" s="84">
        <v>25</v>
      </c>
      <c r="R310" s="1" t="str" cm="1">
        <f t="array" ref="R310">_xlfn.IFS(TabelaClean14[[#This Row],[qtde_batalhas]]&lt;=10,"Baixo",TabelaClean14[[#This Row],[qtde_batalhas]]&gt;=26,"Alto",TabelaClean14[[#This Row],[qtde_batalhas]]&lt;26,"Médio")</f>
        <v>Médio</v>
      </c>
      <c r="S310" s="1" t="str">
        <f>IF(AND(TabelaClean14[[#This Row],[nivel_risco]]="Alto",TabelaClean14[[#This Row],[flag_inadimplente]]="Sim"),"Arriscado","Ok")</f>
        <v>Ok</v>
      </c>
      <c r="T310" s="26">
        <v>35000</v>
      </c>
      <c r="U310" s="81">
        <f>IF(AND(TabelaClean14[[#This Row],[analise_risco]]="Arriscado",TabelaClean14[[#This Row],[analise_credito]]="Reprovado"),0,IF(TabelaClean14[[#This Row],[status]]="Ativo",TabelaClean14[[#This Row],[valor_solicitado]]*1.08,0))</f>
        <v>37800</v>
      </c>
      <c r="W310" s="1"/>
      <c r="Y310" t="s">
        <v>809</v>
      </c>
      <c r="Z310" t="str">
        <f t="shared" si="4"/>
        <v>Null</v>
      </c>
      <c r="AE310" t="s">
        <v>428</v>
      </c>
      <c r="AF310" t="str">
        <f>TEXT(AE310,"000\.000\.000\-00")</f>
        <v>000.000.357-00</v>
      </c>
      <c r="AJ310" s="22" t="s">
        <v>224</v>
      </c>
      <c r="AK310">
        <v>2000</v>
      </c>
      <c r="AM310" s="21">
        <v>51000</v>
      </c>
      <c r="AN310">
        <v>51000</v>
      </c>
      <c r="AO310">
        <v>51000</v>
      </c>
      <c r="BB310" s="26">
        <v>17500</v>
      </c>
      <c r="BC310" s="81">
        <f>IF(AND(TabelaClean14[[#This Row],[analise_risco]]="Arriscado",TabelaClean14[[#This Row],[analise_credito]]="Reprovado"),0,IF(TabelaClean14[[#This Row],[status]]="Ativo",TabelaClean14[[#This Row],[valor_solicitado]]*1.08,0))</f>
        <v>37800</v>
      </c>
    </row>
    <row r="311" spans="1:55">
      <c r="A311" s="24" t="s">
        <v>76</v>
      </c>
      <c r="B311" s="17" t="s">
        <v>194</v>
      </c>
      <c r="C311" s="25" t="s">
        <v>195</v>
      </c>
      <c r="D311" s="54">
        <v>40</v>
      </c>
      <c r="E311" s="30">
        <v>31539</v>
      </c>
      <c r="F311" s="24" t="str">
        <f>TabelaClean14[[#This Row],[CidadeCPF]]</f>
        <v>Fosso Cailin</v>
      </c>
      <c r="G311" s="17" t="str">
        <f>TabelaClean14[[#This Row],[RegiaoCPF]]</f>
        <v>Norte</v>
      </c>
      <c r="H311" s="17" t="str">
        <f>_xlfn.XLOOKUP(TabelaClean14[[#This Row],[cpf]],TabelaDirty[cpfclean],TabelaDirty[cidade])</f>
        <v>Fosso Cailin</v>
      </c>
      <c r="I311" s="17" t="str">
        <f>_xlfn.XLOOKUP(TabelaClean14[[#This Row],[cpf]],TabelaDirty[cpfclean],TabelaDirty[regiao])</f>
        <v>Norte</v>
      </c>
      <c r="J311" s="17" t="str">
        <f>PROPER(TabelaClean14[[#This Row],[Coluna1]])</f>
        <v>Norte</v>
      </c>
      <c r="K311" s="17" t="e">
        <f>_xlfn.TEXTBEFORE(TabelaClean14[[#This Row],[CidadeCPF]]," | ")</f>
        <v>#N/A</v>
      </c>
      <c r="L311" s="24" t="e">
        <f>_xlfn.TEXTAFTER(TabelaClean14[[#This Row],[CidadeCPF]]," | ")</f>
        <v>#N/A</v>
      </c>
      <c r="M311" s="26">
        <v>9900</v>
      </c>
      <c r="N311" s="78">
        <v>3500</v>
      </c>
      <c r="O311" s="1" t="s">
        <v>50</v>
      </c>
      <c r="P31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1" s="84">
        <v>1</v>
      </c>
      <c r="R311" s="1" t="str" cm="1">
        <f t="array" ref="R311">_xlfn.IFS(TabelaClean14[[#This Row],[qtde_batalhas]]&lt;=10,"Baixo",TabelaClean14[[#This Row],[qtde_batalhas]]&gt;=26,"Alto",TabelaClean14[[#This Row],[qtde_batalhas]]&lt;26,"Médio")</f>
        <v>Baixo</v>
      </c>
      <c r="S311" s="1" t="str">
        <f>IF(AND(TabelaClean14[[#This Row],[nivel_risco]]="Alto",TabelaClean14[[#This Row],[flag_inadimplente]]="Sim"),"Arriscado","Ok")</f>
        <v>Ok</v>
      </c>
      <c r="T311" s="26">
        <v>23500</v>
      </c>
      <c r="U311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  <c r="W311" s="1"/>
      <c r="Y311" t="s">
        <v>139</v>
      </c>
      <c r="Z311" t="str">
        <f t="shared" si="4"/>
        <v>Terras Fluviais</v>
      </c>
      <c r="AE311" t="s">
        <v>350</v>
      </c>
      <c r="AF311" t="str">
        <f>TEXT(AE311,"000\.000\.000\-00")</f>
        <v>000.000.359-00</v>
      </c>
      <c r="AJ311" s="22">
        <v>3200</v>
      </c>
      <c r="AK311">
        <v>3200</v>
      </c>
      <c r="AM311" s="20"/>
      <c r="AN311" t="s">
        <v>809</v>
      </c>
      <c r="AO311" t="s">
        <v>809</v>
      </c>
      <c r="BB311" s="26">
        <v>9900</v>
      </c>
      <c r="BC311" s="81">
        <f>IF(AND(TabelaClean14[[#This Row],[analise_risco]]="Arriscado",TabelaClean14[[#This Row],[analise_credito]]="Reprovado"),0,IF(TabelaClean14[[#This Row],[status]]="Ativo",TabelaClean14[[#This Row],[valor_solicitado]]*1.08,0))</f>
        <v>25380</v>
      </c>
    </row>
    <row r="312" spans="1:55">
      <c r="A312" s="24" t="s">
        <v>76</v>
      </c>
      <c r="B312" s="17" t="s">
        <v>665</v>
      </c>
      <c r="C312" s="25" t="s">
        <v>666</v>
      </c>
      <c r="D312" s="54">
        <v>62</v>
      </c>
      <c r="E312" s="30" t="s">
        <v>809</v>
      </c>
      <c r="F312" s="24" t="str">
        <f>TabelaClean14[[#This Row],[CidadeCPF]]</f>
        <v>Jardim de Cima</v>
      </c>
      <c r="G312" s="17" t="str">
        <f>TabelaClean14[[#This Row],[RegiaoCPF]]</f>
        <v>Campina</v>
      </c>
      <c r="H312" s="17" t="str">
        <f>_xlfn.XLOOKUP(TabelaClean14[[#This Row],[cpf]],TabelaDirty[cpfclean],TabelaDirty[cidade])</f>
        <v>Jardim de Cima</v>
      </c>
      <c r="I312" s="17" t="str">
        <f>_xlfn.XLOOKUP(TabelaClean14[[#This Row],[cpf]],TabelaDirty[cpfclean],TabelaDirty[regiao])</f>
        <v>Campina</v>
      </c>
      <c r="J312" s="17" t="str">
        <f>PROPER(TabelaClean14[[#This Row],[Coluna1]])</f>
        <v>Campina</v>
      </c>
      <c r="K312" s="17" t="e">
        <f>_xlfn.TEXTBEFORE(TabelaClean14[[#This Row],[CidadeCPF]]," | ")</f>
        <v>#N/A</v>
      </c>
      <c r="L312" s="24" t="e">
        <f>_xlfn.TEXTAFTER(TabelaClean14[[#This Row],[CidadeCPF]]," | ")</f>
        <v>#N/A</v>
      </c>
      <c r="M312" s="26">
        <v>1900</v>
      </c>
      <c r="N312" s="78">
        <v>3500</v>
      </c>
      <c r="O312" s="1" t="s">
        <v>50</v>
      </c>
      <c r="P31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2" s="84">
        <v>19</v>
      </c>
      <c r="R312" s="1" t="str" cm="1">
        <f t="array" ref="R312">_xlfn.IFS(TabelaClean14[[#This Row],[qtde_batalhas]]&lt;=10,"Baixo",TabelaClean14[[#This Row],[qtde_batalhas]]&gt;=26,"Alto",TabelaClean14[[#This Row],[qtde_batalhas]]&lt;26,"Médio")</f>
        <v>Médio</v>
      </c>
      <c r="S312" s="1" t="str">
        <f>IF(AND(TabelaClean14[[#This Row],[nivel_risco]]="Alto",TabelaClean14[[#This Row],[flag_inadimplente]]="Sim"),"Arriscado","Ok")</f>
        <v>Ok</v>
      </c>
      <c r="T312" s="26">
        <v>62000</v>
      </c>
      <c r="U312" s="81">
        <f>IF(AND(TabelaClean14[[#This Row],[analise_risco]]="Arriscado",TabelaClean14[[#This Row],[analise_credito]]="Reprovado"),0,IF(TabelaClean14[[#This Row],[status]]="Ativo",TabelaClean14[[#This Row],[valor_solicitado]]*1.08,0))</f>
        <v>66960</v>
      </c>
      <c r="W312" s="1"/>
      <c r="Y312" s="18" t="s">
        <v>132</v>
      </c>
      <c r="Z312" t="str">
        <f t="shared" si="4"/>
        <v>Ilhas De Ferro</v>
      </c>
      <c r="AE312" t="s">
        <v>161</v>
      </c>
      <c r="AF312" t="str">
        <f>TEXT(AE312,"000\.000\.000\-00")</f>
        <v>000.000.362-00</v>
      </c>
      <c r="AJ312" s="22" t="s">
        <v>746</v>
      </c>
      <c r="AK312">
        <v>21600</v>
      </c>
      <c r="AM312" s="21">
        <v>73500</v>
      </c>
      <c r="AN312">
        <v>73500</v>
      </c>
      <c r="AO312">
        <v>73500</v>
      </c>
      <c r="BB312" s="26">
        <v>1900</v>
      </c>
      <c r="BC312" s="81">
        <f>IF(AND(TabelaClean14[[#This Row],[analise_risco]]="Arriscado",TabelaClean14[[#This Row],[analise_credito]]="Reprovado"),0,IF(TabelaClean14[[#This Row],[status]]="Ativo",TabelaClean14[[#This Row],[valor_solicitado]]*1.08,0))</f>
        <v>66960</v>
      </c>
    </row>
    <row r="313" spans="1:55">
      <c r="A313" s="24" t="s">
        <v>76</v>
      </c>
      <c r="B313" s="17" t="s">
        <v>101</v>
      </c>
      <c r="C313" s="25" t="s">
        <v>102</v>
      </c>
      <c r="D313" s="54">
        <v>48</v>
      </c>
      <c r="E313" s="30">
        <v>28647</v>
      </c>
      <c r="F313" s="24" t="str">
        <f>TabelaClean14[[#This Row],[CidadeCPF]]</f>
        <v>Lannisporto</v>
      </c>
      <c r="G313" s="17" t="str">
        <f>TabelaClean14[[#This Row],[RegiaoCPF]]</f>
        <v>Oeste</v>
      </c>
      <c r="H313" s="17" t="str">
        <f>_xlfn.XLOOKUP(TabelaClean14[[#This Row],[cpf]],TabelaDirty[cpfclean],TabelaDirty[cidade])</f>
        <v>Lannisporto</v>
      </c>
      <c r="I313" s="17" t="s">
        <v>108</v>
      </c>
      <c r="J313" s="17" t="str">
        <f>PROPER(TabelaClean14[[#This Row],[Coluna1]])</f>
        <v>Oeste</v>
      </c>
      <c r="K313" s="17" t="e">
        <f>_xlfn.TEXTBEFORE(TabelaClean14[[#This Row],[CidadeCPF]]," | ")</f>
        <v>#N/A</v>
      </c>
      <c r="L313" s="24" t="e">
        <f>_xlfn.TEXTAFTER(TabelaClean14[[#This Row],[CidadeCPF]]," | ")</f>
        <v>#N/A</v>
      </c>
      <c r="M313" s="26">
        <v>13200</v>
      </c>
      <c r="N313" s="78">
        <v>3500</v>
      </c>
      <c r="O313" s="1" t="s">
        <v>50</v>
      </c>
      <c r="P31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3" s="84">
        <v>1</v>
      </c>
      <c r="R313" s="1" t="str" cm="1">
        <f t="array" ref="R313">_xlfn.IFS(TabelaClean14[[#This Row],[qtde_batalhas]]&lt;=10,"Baixo",TabelaClean14[[#This Row],[qtde_batalhas]]&gt;=26,"Alto",TabelaClean14[[#This Row],[qtde_batalhas]]&lt;26,"Médio")</f>
        <v>Baixo</v>
      </c>
      <c r="S313" s="1" t="str">
        <f>IF(AND(TabelaClean14[[#This Row],[nivel_risco]]="Alto",TabelaClean14[[#This Row],[flag_inadimplente]]="Sim"),"Arriscado","Ok")</f>
        <v>Ok</v>
      </c>
      <c r="T313" s="26">
        <v>32500</v>
      </c>
      <c r="U313" s="81">
        <f>IF(AND(TabelaClean14[[#This Row],[analise_risco]]="Arriscado",TabelaClean14[[#This Row],[analise_credito]]="Reprovado"),0,IF(TabelaClean14[[#This Row],[status]]="Ativo",TabelaClean14[[#This Row],[valor_solicitado]]*1.08,0))</f>
        <v>35100</v>
      </c>
      <c r="W313" s="1"/>
      <c r="Y313" t="s">
        <v>809</v>
      </c>
      <c r="Z313" t="str">
        <f t="shared" si="4"/>
        <v>Null</v>
      </c>
      <c r="AE313" t="s">
        <v>88</v>
      </c>
      <c r="AF313" t="str">
        <f>TEXT(AE313,"000\.000\.000\-00")</f>
        <v>000.000.363-00</v>
      </c>
      <c r="AJ313" s="22">
        <v>4100</v>
      </c>
      <c r="AK313">
        <v>4100</v>
      </c>
      <c r="AM313" s="20">
        <v>78000</v>
      </c>
      <c r="AN313">
        <v>78000</v>
      </c>
      <c r="AO313">
        <v>78000</v>
      </c>
      <c r="BB313" s="26">
        <v>13200</v>
      </c>
      <c r="BC313" s="81">
        <f>IF(AND(TabelaClean14[[#This Row],[analise_risco]]="Arriscado",TabelaClean14[[#This Row],[analise_credito]]="Reprovado"),0,IF(TabelaClean14[[#This Row],[status]]="Ativo",TabelaClean14[[#This Row],[valor_solicitado]]*1.08,0))</f>
        <v>35100</v>
      </c>
    </row>
    <row r="314" spans="1:55">
      <c r="A314" s="24" t="s">
        <v>76</v>
      </c>
      <c r="B314" s="17" t="s">
        <v>721</v>
      </c>
      <c r="C314" s="25" t="s">
        <v>963</v>
      </c>
      <c r="D314" s="54">
        <v>33</v>
      </c>
      <c r="E314" s="30">
        <v>33892</v>
      </c>
      <c r="F314" s="25" t="s">
        <v>127</v>
      </c>
      <c r="G314" s="25" t="s">
        <v>122</v>
      </c>
      <c r="H314" s="24">
        <v>29200</v>
      </c>
      <c r="I314" s="24">
        <v>3000</v>
      </c>
      <c r="J314" s="24" t="s">
        <v>51</v>
      </c>
      <c r="K314" s="24">
        <v>40</v>
      </c>
      <c r="L314" s="24"/>
      <c r="M314" s="26">
        <v>26000</v>
      </c>
      <c r="N314" s="78">
        <v>3000</v>
      </c>
      <c r="O314" s="1" t="s">
        <v>51</v>
      </c>
      <c r="P314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4" s="84">
        <v>40</v>
      </c>
      <c r="R314" s="76" t="str" cm="1">
        <f t="array" ref="R314">_xlfn.IFS(TabelaClean14[[#This Row],[qtde_batalhas]]&lt;=10,"Baixo",TabelaClean14[[#This Row],[qtde_batalhas]]&gt;=26,"Alto",TabelaClean14[[#This Row],[qtde_batalhas]]&lt;26,"Médio")</f>
        <v>Alto</v>
      </c>
      <c r="S314" s="76" t="str">
        <f>IF(AND(TabelaClean14[[#This Row],[nivel_risco]]="Alto",TabelaClean14[[#This Row],[flag_inadimplente]]="Sim"),"Arriscado","Ok")</f>
        <v>Arriscado</v>
      </c>
      <c r="T314" s="26">
        <v>26000</v>
      </c>
      <c r="U314" s="81">
        <f>IF(AND(TabelaClean14[[#This Row],[analise_risco]]="Arriscado",TabelaClean14[[#This Row],[analise_credito]]="Reprovado"),0,IF(TabelaClean14[[#This Row],[status]]="Ativo",TabelaClean14[[#This Row],[valor_solicitado]]*1.08,0))</f>
        <v>28080.000000000004</v>
      </c>
      <c r="W314" s="1"/>
      <c r="Y314" t="s">
        <v>809</v>
      </c>
      <c r="Z314" t="str">
        <f t="shared" si="4"/>
        <v>Null</v>
      </c>
      <c r="AE314" t="s">
        <v>203</v>
      </c>
      <c r="AF314" t="str">
        <f>TEXT(AE314,"000\.000\.000\-00")</f>
        <v>000.000.364-00</v>
      </c>
      <c r="AJ314" s="22">
        <v>3200</v>
      </c>
      <c r="AK314">
        <v>3200</v>
      </c>
      <c r="AM314" s="21">
        <v>0</v>
      </c>
      <c r="AN314">
        <v>0</v>
      </c>
      <c r="AO314">
        <v>0</v>
      </c>
      <c r="BB314" s="26">
        <v>26000</v>
      </c>
      <c r="BC314" s="81">
        <f>IF(AND(TabelaClean14[[#This Row],[analise_risco]]="Arriscado",TabelaClean14[[#This Row],[analise_credito]]="Reprovado"),0,IF(TabelaClean14[[#This Row],[status]]="Ativo",TabelaClean14[[#This Row],[valor_solicitado]]*1.08,0))</f>
        <v>28080.000000000004</v>
      </c>
    </row>
    <row r="315" spans="1:55">
      <c r="A315" s="24" t="s">
        <v>76</v>
      </c>
      <c r="B315" s="17" t="s">
        <v>425</v>
      </c>
      <c r="C315" s="25" t="s">
        <v>426</v>
      </c>
      <c r="D315" s="54">
        <v>66</v>
      </c>
      <c r="E315" s="30">
        <v>22151</v>
      </c>
      <c r="F315" s="24" t="str">
        <f>TabelaClean14[[#This Row],[CidadeCPF]]</f>
        <v>Vilavelha</v>
      </c>
      <c r="G315" s="17" t="str">
        <f>TabelaClean14[[#This Row],[RegiaoCPF]]</f>
        <v>Campina</v>
      </c>
      <c r="H315" s="17" t="str">
        <f>_xlfn.XLOOKUP(TabelaClean14[[#This Row],[cpf]],TabelaDirty[cpfclean],TabelaDirty[cidade])</f>
        <v>Vilavelha</v>
      </c>
      <c r="I315" s="17" t="str">
        <f>_xlfn.XLOOKUP(TabelaClean14[[#This Row],[cpf]],TabelaDirty[cpfclean],TabelaDirty[regiao])</f>
        <v>Campina</v>
      </c>
      <c r="J315" s="17" t="str">
        <f>PROPER(TabelaClean14[[#This Row],[Coluna1]])</f>
        <v>Campina</v>
      </c>
      <c r="K315" s="17" t="e">
        <f>_xlfn.TEXTBEFORE(TabelaClean14[[#This Row],[CidadeCPF]]," | ")</f>
        <v>#N/A</v>
      </c>
      <c r="L315" s="24" t="e">
        <f>_xlfn.TEXTAFTER(TabelaClean14[[#This Row],[CidadeCPF]]," | ")</f>
        <v>#N/A</v>
      </c>
      <c r="M315" s="26">
        <v>11800</v>
      </c>
      <c r="N315" s="78">
        <v>2000</v>
      </c>
      <c r="O315" s="1" t="s">
        <v>51</v>
      </c>
      <c r="P31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5" s="84">
        <v>23</v>
      </c>
      <c r="R315" s="1" t="str" cm="1">
        <f t="array" ref="R315">_xlfn.IFS(TabelaClean14[[#This Row],[qtde_batalhas]]&lt;=10,"Baixo",TabelaClean14[[#This Row],[qtde_batalhas]]&gt;=26,"Alto",TabelaClean14[[#This Row],[qtde_batalhas]]&lt;26,"Médio")</f>
        <v>Médio</v>
      </c>
      <c r="S315" s="1" t="str">
        <f>IF(AND(TabelaClean14[[#This Row],[nivel_risco]]="Alto",TabelaClean14[[#This Row],[flag_inadimplente]]="Sim"),"Arriscado","Ok")</f>
        <v>Ok</v>
      </c>
      <c r="T315" s="26">
        <v>72500</v>
      </c>
      <c r="U315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  <c r="W315" s="1"/>
      <c r="Y315" t="s">
        <v>149</v>
      </c>
      <c r="Z315" t="str">
        <f t="shared" si="4"/>
        <v>Campina</v>
      </c>
      <c r="AE315" t="s">
        <v>130</v>
      </c>
      <c r="AF315" t="str">
        <f>TEXT(AE315,"000\.000\.000\-00")</f>
        <v>000.000.365-00</v>
      </c>
      <c r="AJ315" s="22" t="s">
        <v>612</v>
      </c>
      <c r="AK315">
        <v>18000</v>
      </c>
      <c r="AM315" s="20">
        <v>49500</v>
      </c>
      <c r="AN315">
        <v>49500</v>
      </c>
      <c r="AO315">
        <v>49500</v>
      </c>
      <c r="BB315" s="26">
        <v>11800</v>
      </c>
      <c r="BC315" s="81">
        <f>IF(AND(TabelaClean14[[#This Row],[analise_risco]]="Arriscado",TabelaClean14[[#This Row],[analise_credito]]="Reprovado"),0,IF(TabelaClean14[[#This Row],[status]]="Ativo",TabelaClean14[[#This Row],[valor_solicitado]]*1.08,0))</f>
        <v>78300</v>
      </c>
    </row>
    <row r="316" spans="1:55">
      <c r="A316" s="24" t="s">
        <v>76</v>
      </c>
      <c r="B316" s="17" t="s">
        <v>694</v>
      </c>
      <c r="C316" s="25" t="s">
        <v>695</v>
      </c>
      <c r="D316" s="54">
        <v>22</v>
      </c>
      <c r="E316" s="30">
        <v>37936</v>
      </c>
      <c r="F316" s="24" t="str">
        <f>TabelaClean14[[#This Row],[CidadeCPF]]</f>
        <v>Ninho da Águia</v>
      </c>
      <c r="G316" s="17" t="str">
        <f>TabelaClean14[[#This Row],[RegiaoCPF]]</f>
        <v>Vale</v>
      </c>
      <c r="H316" s="17" t="str">
        <f>_xlfn.XLOOKUP(TabelaClean14[[#This Row],[cpf]],TabelaDirty[cpfclean],TabelaDirty[cidade])</f>
        <v>Ninho da Águia</v>
      </c>
      <c r="I316" s="17" t="str">
        <f>_xlfn.XLOOKUP(TabelaClean14[[#This Row],[cpf]],TabelaDirty[cpfclean],TabelaDirty[regiao])</f>
        <v>vale</v>
      </c>
      <c r="J316" s="17" t="str">
        <f>PROPER(TabelaClean14[[#This Row],[Coluna1]])</f>
        <v>Vale</v>
      </c>
      <c r="K316" s="17" t="e">
        <f>_xlfn.TEXTBEFORE(TabelaClean14[[#This Row],[CidadeCPF]]," | ")</f>
        <v>#N/A</v>
      </c>
      <c r="L316" s="24" t="e">
        <f>_xlfn.TEXTAFTER(TabelaClean14[[#This Row],[CidadeCPF]]," | ")</f>
        <v>#N/A</v>
      </c>
      <c r="M316" s="26">
        <v>4100</v>
      </c>
      <c r="N316" s="78">
        <v>2000</v>
      </c>
      <c r="O316" s="1" t="s">
        <v>50</v>
      </c>
      <c r="P31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6" s="84">
        <v>8</v>
      </c>
      <c r="R316" s="1" t="str" cm="1">
        <f t="array" ref="R316">_xlfn.IFS(TabelaClean14[[#This Row],[qtde_batalhas]]&lt;=10,"Baixo",TabelaClean14[[#This Row],[qtde_batalhas]]&gt;=26,"Alto",TabelaClean14[[#This Row],[qtde_batalhas]]&lt;26,"Médio")</f>
        <v>Baixo</v>
      </c>
      <c r="S316" s="1" t="str">
        <f>IF(AND(TabelaClean14[[#This Row],[nivel_risco]]="Alto",TabelaClean14[[#This Row],[flag_inadimplente]]="Sim"),"Arriscado","Ok")</f>
        <v>Ok</v>
      </c>
      <c r="T316" s="26">
        <v>4000</v>
      </c>
      <c r="U316" s="81">
        <f>IF(AND(TabelaClean14[[#This Row],[analise_risco]]="Arriscado",TabelaClean14[[#This Row],[analise_credito]]="Reprovado"),0,IF(TabelaClean14[[#This Row],[status]]="Ativo",TabelaClean14[[#This Row],[valor_solicitado]]*1.08,0))</f>
        <v>4320</v>
      </c>
      <c r="W316" s="1"/>
      <c r="Y316" t="s">
        <v>809</v>
      </c>
      <c r="Z316" t="str">
        <f t="shared" si="4"/>
        <v>Null</v>
      </c>
      <c r="AE316" t="s">
        <v>745</v>
      </c>
      <c r="AF316" t="str">
        <f>TEXT(AE316,"000\.000\.000\-00")</f>
        <v>000.000.367-00</v>
      </c>
      <c r="AJ316" s="22">
        <v>25700</v>
      </c>
      <c r="AK316">
        <v>25700</v>
      </c>
      <c r="AM316" s="21">
        <v>35000</v>
      </c>
      <c r="AN316">
        <v>35000</v>
      </c>
      <c r="AO316">
        <v>35000</v>
      </c>
      <c r="BB316" s="26">
        <v>4100</v>
      </c>
      <c r="BC316" s="81">
        <f>IF(AND(TabelaClean14[[#This Row],[analise_risco]]="Arriscado",TabelaClean14[[#This Row],[analise_credito]]="Reprovado"),0,IF(TabelaClean14[[#This Row],[status]]="Ativo",TabelaClean14[[#This Row],[valor_solicitado]]*1.08,0))</f>
        <v>4320</v>
      </c>
    </row>
    <row r="317" spans="1:55">
      <c r="A317" s="24" t="s">
        <v>76</v>
      </c>
      <c r="B317" s="17" t="s">
        <v>964</v>
      </c>
      <c r="C317" s="25" t="s">
        <v>668</v>
      </c>
      <c r="D317" s="54">
        <v>61</v>
      </c>
      <c r="E317" s="30">
        <v>23964</v>
      </c>
      <c r="F317" s="24" t="str">
        <f>TabelaClean14[[#This Row],[CidadeCPF]]</f>
        <v>Ilha dos Ursos</v>
      </c>
      <c r="G317" s="17" t="str">
        <f>TabelaClean14[[#This Row],[RegiaoCPF]]</f>
        <v>Norte</v>
      </c>
      <c r="H317" s="17" t="str">
        <f>_xlfn.XLOOKUP(TabelaClean14[[#This Row],[cpf]],TabelaDirty[cpfclean],TabelaDirty[cidade])</f>
        <v>Ilha dos Ursos</v>
      </c>
      <c r="I317" s="17" t="str">
        <f>_xlfn.XLOOKUP(TabelaClean14[[#This Row],[cpf]],TabelaDirty[cpfclean],TabelaDirty[regiao])</f>
        <v>NORTE</v>
      </c>
      <c r="J317" s="17" t="str">
        <f>PROPER(TabelaClean14[[#This Row],[Coluna1]])</f>
        <v>Norte</v>
      </c>
      <c r="K317" s="17" t="e">
        <f>_xlfn.TEXTBEFORE(TabelaClean14[[#This Row],[CidadeCPF]]," | ")</f>
        <v>#N/A</v>
      </c>
      <c r="L317" s="24" t="e">
        <f>_xlfn.TEXTAFTER(TabelaClean14[[#This Row],[CidadeCPF]]," | ")</f>
        <v>#N/A</v>
      </c>
      <c r="M317" s="26">
        <v>7000</v>
      </c>
      <c r="N317" s="78">
        <v>1500</v>
      </c>
      <c r="O317" s="1" t="s">
        <v>51</v>
      </c>
      <c r="P31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7" s="84">
        <v>32</v>
      </c>
      <c r="R317" s="1" t="str" cm="1">
        <f t="array" ref="R317">_xlfn.IFS(TabelaClean14[[#This Row],[qtde_batalhas]]&lt;=10,"Baixo",TabelaClean14[[#This Row],[qtde_batalhas]]&gt;=26,"Alto",TabelaClean14[[#This Row],[qtde_batalhas]]&lt;26,"Médio")</f>
        <v>Alto</v>
      </c>
      <c r="S317" s="1" t="str">
        <f>IF(AND(TabelaClean14[[#This Row],[nivel_risco]]="Alto",TabelaClean14[[#This Row],[flag_inadimplente]]="Sim"),"Arriscado","Ok")</f>
        <v>Arriscado</v>
      </c>
      <c r="T317" s="26">
        <v>53000</v>
      </c>
      <c r="U317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  <c r="W317" s="1"/>
      <c r="Y317" t="s">
        <v>809</v>
      </c>
      <c r="Z317" t="str">
        <f t="shared" si="4"/>
        <v>Null</v>
      </c>
      <c r="AE317" t="s">
        <v>280</v>
      </c>
      <c r="AF317" t="str">
        <f>TEXT(AE317,"000\.000\.000\-00")</f>
        <v>000.000.372-00</v>
      </c>
      <c r="AJ317" s="22">
        <v>15200</v>
      </c>
      <c r="AK317">
        <v>15200</v>
      </c>
      <c r="AM317" s="20">
        <v>11000</v>
      </c>
      <c r="AN317">
        <v>11000</v>
      </c>
      <c r="AO317">
        <v>11000</v>
      </c>
      <c r="BB317" s="26">
        <v>7000</v>
      </c>
      <c r="BC317" s="81">
        <f>IF(AND(TabelaClean14[[#This Row],[analise_risco]]="Arriscado",TabelaClean14[[#This Row],[analise_credito]]="Reprovado"),0,IF(TabelaClean14[[#This Row],[status]]="Ativo",TabelaClean14[[#This Row],[valor_solicitado]]*1.08,0))</f>
        <v>57240.000000000007</v>
      </c>
    </row>
    <row r="318" spans="1:55">
      <c r="A318" s="24" t="s">
        <v>76</v>
      </c>
      <c r="B318" s="17" t="s">
        <v>669</v>
      </c>
      <c r="C318" s="25" t="s">
        <v>670</v>
      </c>
      <c r="D318" s="54">
        <v>25</v>
      </c>
      <c r="E318" s="30">
        <v>37118</v>
      </c>
      <c r="F318" s="24" t="str">
        <f>TabelaClean14[[#This Row],[CidadeCPF]]</f>
        <v>Jardim de Cima</v>
      </c>
      <c r="G318" s="17" t="str">
        <f>TabelaClean14[[#This Row],[RegiaoCPF]]</f>
        <v>Campina</v>
      </c>
      <c r="H318" s="17" t="str">
        <f>_xlfn.XLOOKUP(TabelaClean14[[#This Row],[cpf]],TabelaDirty[cpfclean],TabelaDirty[cidade])</f>
        <v>Jardim de Cima</v>
      </c>
      <c r="I318" s="17" t="str">
        <f>_xlfn.XLOOKUP(TabelaClean14[[#This Row],[cpf]],TabelaDirty[cpfclean],TabelaDirty[regiao])</f>
        <v>Campina</v>
      </c>
      <c r="J318" s="17" t="str">
        <f>PROPER(TabelaClean14[[#This Row],[Coluna1]])</f>
        <v>Campina</v>
      </c>
      <c r="K318" s="17" t="e">
        <f>_xlfn.TEXTBEFORE(TabelaClean14[[#This Row],[CidadeCPF]]," | ")</f>
        <v>#N/A</v>
      </c>
      <c r="L318" s="24" t="e">
        <f>_xlfn.TEXTAFTER(TabelaClean14[[#This Row],[CidadeCPF]]," | ")</f>
        <v>#N/A</v>
      </c>
      <c r="M318" s="26">
        <v>27300</v>
      </c>
      <c r="N318" s="78">
        <v>1500</v>
      </c>
      <c r="O318" s="1" t="s">
        <v>51</v>
      </c>
      <c r="P31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8" s="84">
        <v>33</v>
      </c>
      <c r="R318" s="1" t="str" cm="1">
        <f t="array" ref="R318">_xlfn.IFS(TabelaClean14[[#This Row],[qtde_batalhas]]&lt;=10,"Baixo",TabelaClean14[[#This Row],[qtde_batalhas]]&gt;=26,"Alto",TabelaClean14[[#This Row],[qtde_batalhas]]&lt;26,"Médio")</f>
        <v>Alto</v>
      </c>
      <c r="S318" s="1" t="str">
        <f>IF(AND(TabelaClean14[[#This Row],[nivel_risco]]="Alto",TabelaClean14[[#This Row],[flag_inadimplente]]="Sim"),"Arriscado","Ok")</f>
        <v>Arriscado</v>
      </c>
      <c r="T318" s="26">
        <v>14000</v>
      </c>
      <c r="U318" s="81">
        <f>IF(AND(TabelaClean14[[#This Row],[analise_risco]]="Arriscado",TabelaClean14[[#This Row],[analise_credito]]="Reprovado"),0,IF(TabelaClean14[[#This Row],[status]]="Ativo",TabelaClean14[[#This Row],[valor_solicitado]]*1.08,0))</f>
        <v>15120.000000000002</v>
      </c>
      <c r="W318" s="1"/>
      <c r="Y318" t="s">
        <v>809</v>
      </c>
      <c r="Z318" t="str">
        <f t="shared" si="4"/>
        <v>Null</v>
      </c>
      <c r="AE318" t="s">
        <v>417</v>
      </c>
      <c r="AF318" t="str">
        <f>TEXT(AE318,"000\.000\.000\-00")</f>
        <v>000.000.373-00</v>
      </c>
      <c r="AJ318" s="22" t="s">
        <v>788</v>
      </c>
      <c r="AK318">
        <v>20800</v>
      </c>
      <c r="AM318" s="21" t="s">
        <v>414</v>
      </c>
      <c r="AN318">
        <v>16000</v>
      </c>
      <c r="AO318">
        <v>16000</v>
      </c>
      <c r="BB318" s="26">
        <v>27300</v>
      </c>
      <c r="BC318" s="81">
        <f>IF(AND(TabelaClean14[[#This Row],[analise_risco]]="Arriscado",TabelaClean14[[#This Row],[analise_credito]]="Reprovado"),0,IF(TabelaClean14[[#This Row],[status]]="Ativo",TabelaClean14[[#This Row],[valor_solicitado]]*1.08,0))</f>
        <v>15120.000000000002</v>
      </c>
    </row>
    <row r="319" spans="1:55">
      <c r="A319" s="24" t="s">
        <v>76</v>
      </c>
      <c r="B319" s="17" t="s">
        <v>270</v>
      </c>
      <c r="C319" s="25" t="s">
        <v>853</v>
      </c>
      <c r="D319" s="54">
        <v>56</v>
      </c>
      <c r="E319" s="30">
        <v>25710</v>
      </c>
      <c r="F319" s="24" t="str">
        <f>TabelaClean14[[#This Row],[CidadeCPF]]</f>
        <v>Fosso Cailin</v>
      </c>
      <c r="G319" s="17" t="str">
        <f>TabelaClean14[[#This Row],[RegiaoCPF]]</f>
        <v>Norte</v>
      </c>
      <c r="H319" s="17" t="str">
        <f>_xlfn.XLOOKUP(TabelaClean14[[#This Row],[cpf]],TabelaDirty[cpfclean],TabelaDirty[cidade])</f>
        <v>Fosso Cailin</v>
      </c>
      <c r="I319" s="17" t="str">
        <f>_xlfn.XLOOKUP(TabelaClean14[[#This Row],[cpf]],TabelaDirty[cpfclean],TabelaDirty[regiao])</f>
        <v>Norte</v>
      </c>
      <c r="J319" s="17" t="str">
        <f>PROPER(TabelaClean14[[#This Row],[Coluna1]])</f>
        <v>Norte</v>
      </c>
      <c r="K319" s="17" t="e">
        <f>_xlfn.TEXTBEFORE(TabelaClean14[[#This Row],[CidadeCPF]]," | ")</f>
        <v>#N/A</v>
      </c>
      <c r="L319" s="24" t="e">
        <f>_xlfn.TEXTAFTER(TabelaClean14[[#This Row],[CidadeCPF]]," | ")</f>
        <v>#N/A</v>
      </c>
      <c r="M319" s="26">
        <v>14100</v>
      </c>
      <c r="N319" s="78">
        <v>1500</v>
      </c>
      <c r="O319" s="1" t="s">
        <v>50</v>
      </c>
      <c r="P31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19" s="84">
        <v>26</v>
      </c>
      <c r="R319" s="1" t="str" cm="1">
        <f t="array" ref="R319">_xlfn.IFS(TabelaClean14[[#This Row],[qtde_batalhas]]&lt;=10,"Baixo",TabelaClean14[[#This Row],[qtde_batalhas]]&gt;=26,"Alto",TabelaClean14[[#This Row],[qtde_batalhas]]&lt;26,"Médio")</f>
        <v>Alto</v>
      </c>
      <c r="S319" s="1" t="str">
        <f>IF(AND(TabelaClean14[[#This Row],[nivel_risco]]="Alto",TabelaClean14[[#This Row],[flag_inadimplente]]="Sim"),"Arriscado","Ok")</f>
        <v>Ok</v>
      </c>
      <c r="T319" s="26">
        <v>36000</v>
      </c>
      <c r="U319" s="81">
        <f>IF(AND(TabelaClean14[[#This Row],[analise_risco]]="Arriscado",TabelaClean14[[#This Row],[analise_credito]]="Reprovado"),0,IF(TabelaClean14[[#This Row],[status]]="Ativo",TabelaClean14[[#This Row],[valor_solicitado]]*1.08,0))</f>
        <v>38880</v>
      </c>
      <c r="W319" s="1"/>
      <c r="Y319" t="s">
        <v>809</v>
      </c>
      <c r="Z319" t="str">
        <f t="shared" si="4"/>
        <v>Null</v>
      </c>
      <c r="AE319" t="s">
        <v>389</v>
      </c>
      <c r="AF319" t="str">
        <f>TEXT(AE319,"000\.000\.000\-00")</f>
        <v>000.000.375-00</v>
      </c>
      <c r="AJ319" s="22" t="s">
        <v>123</v>
      </c>
      <c r="AK319">
        <v>23000</v>
      </c>
      <c r="AM319" s="20">
        <v>44500</v>
      </c>
      <c r="AN319">
        <v>44500</v>
      </c>
      <c r="AO319">
        <v>44500</v>
      </c>
      <c r="BB319" s="26">
        <v>14100</v>
      </c>
      <c r="BC319" s="81">
        <f>IF(AND(TabelaClean14[[#This Row],[analise_risco]]="Arriscado",TabelaClean14[[#This Row],[analise_credito]]="Reprovado"),0,IF(TabelaClean14[[#This Row],[status]]="Ativo",TabelaClean14[[#This Row],[valor_solicitado]]*1.08,0))</f>
        <v>38880</v>
      </c>
    </row>
    <row r="320" spans="1:55">
      <c r="A320" s="24" t="s">
        <v>76</v>
      </c>
      <c r="B320" s="17" t="s">
        <v>325</v>
      </c>
      <c r="C320" s="25" t="s">
        <v>326</v>
      </c>
      <c r="D320" s="54">
        <v>59</v>
      </c>
      <c r="E320" s="30">
        <v>24362</v>
      </c>
      <c r="F320" s="24" t="str">
        <f>TabelaClean14[[#This Row],[CidadeCPF]]</f>
        <v>Winterfell</v>
      </c>
      <c r="G320" s="17" t="str">
        <f>TabelaClean14[[#This Row],[RegiaoCPF]]</f>
        <v>Norte</v>
      </c>
      <c r="H320" s="17" t="str">
        <f>_xlfn.XLOOKUP(TabelaClean14[[#This Row],[cpf]],TabelaDirty[cpfclean],TabelaDirty[cidade])</f>
        <v>Winterfell</v>
      </c>
      <c r="I320" s="17" t="str">
        <f>_xlfn.XLOOKUP(TabelaClean14[[#This Row],[cpf]],TabelaDirty[cpfclean],TabelaDirty[regiao])</f>
        <v>Norte</v>
      </c>
      <c r="J320" s="17" t="str">
        <f>PROPER(TabelaClean14[[#This Row],[Coluna1]])</f>
        <v>Norte</v>
      </c>
      <c r="K320" s="17" t="e">
        <f>_xlfn.TEXTBEFORE(TabelaClean14[[#This Row],[CidadeCPF]]," | ")</f>
        <v>#N/A</v>
      </c>
      <c r="L320" s="24" t="e">
        <f>_xlfn.TEXTAFTER(TabelaClean14[[#This Row],[CidadeCPF]]," | ")</f>
        <v>#N/A</v>
      </c>
      <c r="M320" s="26">
        <v>18900</v>
      </c>
      <c r="N320" s="78">
        <v>1000</v>
      </c>
      <c r="O320" s="1" t="s">
        <v>51</v>
      </c>
      <c r="P32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0" s="84">
        <v>42</v>
      </c>
      <c r="R320" s="1" t="str" cm="1">
        <f t="array" ref="R320">_xlfn.IFS(TabelaClean14[[#This Row],[qtde_batalhas]]&lt;=10,"Baixo",TabelaClean14[[#This Row],[qtde_batalhas]]&gt;=26,"Alto",TabelaClean14[[#This Row],[qtde_batalhas]]&lt;26,"Médio")</f>
        <v>Alto</v>
      </c>
      <c r="S320" s="1" t="str">
        <f>IF(AND(TabelaClean14[[#This Row],[nivel_risco]]="Alto",TabelaClean14[[#This Row],[flag_inadimplente]]="Sim"),"Arriscado","Ok")</f>
        <v>Arriscado</v>
      </c>
      <c r="T320" s="26">
        <v>16500</v>
      </c>
      <c r="U320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  <c r="W320" s="1"/>
      <c r="Y320" t="s">
        <v>456</v>
      </c>
      <c r="Z320" t="str">
        <f t="shared" si="4"/>
        <v>Gargalo</v>
      </c>
      <c r="AE320" t="s">
        <v>409</v>
      </c>
      <c r="AF320" t="str">
        <f>TEXT(AE320,"000\.000\.000\-00")</f>
        <v>000.000.376-00</v>
      </c>
      <c r="AJ320" s="22">
        <v>9100</v>
      </c>
      <c r="AK320">
        <v>9100</v>
      </c>
      <c r="AM320" s="21">
        <v>40500</v>
      </c>
      <c r="AN320">
        <v>40500</v>
      </c>
      <c r="AO320">
        <v>40500</v>
      </c>
      <c r="BB320" s="26">
        <v>18900</v>
      </c>
      <c r="BC320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</row>
    <row r="321" spans="1:55">
      <c r="A321" s="24" t="s">
        <v>81</v>
      </c>
      <c r="B321" s="17" t="s">
        <v>136</v>
      </c>
      <c r="C321" s="25" t="s">
        <v>137</v>
      </c>
      <c r="D321" s="54">
        <v>47</v>
      </c>
      <c r="E321" s="30">
        <v>29064</v>
      </c>
      <c r="F321" s="24" t="str">
        <f>TabelaClean14[[#This Row],[CidadeCPF]]</f>
        <v>Correrrio</v>
      </c>
      <c r="G321" s="17" t="str">
        <f>TabelaClean14[[#This Row],[RegiaoCPF]]</f>
        <v>Terras Fluviais</v>
      </c>
      <c r="H321" s="17" t="str">
        <f>_xlfn.XLOOKUP(TabelaClean14[[#This Row],[cpf]],TabelaDirty[cpfclean],TabelaDirty[cidade])</f>
        <v>Correrrio</v>
      </c>
      <c r="I321" s="17" t="str">
        <f>_xlfn.XLOOKUP(TabelaClean14[[#This Row],[cpf]],TabelaDirty[cpfclean],TabelaDirty[regiao])</f>
        <v>Terras Fluviais</v>
      </c>
      <c r="J321" s="17" t="str">
        <f>PROPER(TabelaClean14[[#This Row],[Coluna1]])</f>
        <v>Terras Fluviais</v>
      </c>
      <c r="K321" s="17" t="e">
        <f>_xlfn.TEXTBEFORE(TabelaClean14[[#This Row],[CidadeCPF]]," | ")</f>
        <v>#N/A</v>
      </c>
      <c r="L321" s="24" t="e">
        <f>_xlfn.TEXTAFTER(TabelaClean14[[#This Row],[CidadeCPF]]," | ")</f>
        <v>#N/A</v>
      </c>
      <c r="M321" s="26">
        <v>13300</v>
      </c>
      <c r="N321" s="78">
        <v>1000</v>
      </c>
      <c r="O321" s="1" t="s">
        <v>51</v>
      </c>
      <c r="P32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1" s="84">
        <v>24</v>
      </c>
      <c r="R321" s="1" t="str" cm="1">
        <f t="array" ref="R321">_xlfn.IFS(TabelaClean14[[#This Row],[qtde_batalhas]]&lt;=10,"Baixo",TabelaClean14[[#This Row],[qtde_batalhas]]&gt;=26,"Alto",TabelaClean14[[#This Row],[qtde_batalhas]]&lt;26,"Médio")</f>
        <v>Médio</v>
      </c>
      <c r="S321" s="1" t="str">
        <f>IF(AND(TabelaClean14[[#This Row],[nivel_risco]]="Alto",TabelaClean14[[#This Row],[flag_inadimplente]]="Sim"),"Arriscado","Ok")</f>
        <v>Ok</v>
      </c>
      <c r="T321" s="26">
        <v>61500</v>
      </c>
      <c r="U3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21" s="1"/>
      <c r="Y321" t="s">
        <v>809</v>
      </c>
      <c r="Z321" t="str">
        <f t="shared" si="4"/>
        <v>Null</v>
      </c>
      <c r="AE321" t="s">
        <v>617</v>
      </c>
      <c r="AF321" t="str">
        <f>TEXT(AE321,"000\.000\.000\-00")</f>
        <v>000.000.378-00</v>
      </c>
      <c r="AJ321" s="22">
        <v>24300</v>
      </c>
      <c r="AK321">
        <v>24300</v>
      </c>
      <c r="AM321" s="20">
        <v>16500</v>
      </c>
      <c r="AN321">
        <v>16500</v>
      </c>
      <c r="AO321">
        <v>16500</v>
      </c>
      <c r="BB321" s="26">
        <v>13300</v>
      </c>
      <c r="BC32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22" spans="1:55">
      <c r="A322" s="24" t="s">
        <v>76</v>
      </c>
      <c r="B322" s="17" t="s">
        <v>336</v>
      </c>
      <c r="C322" s="25" t="s">
        <v>337</v>
      </c>
      <c r="D322" s="54">
        <v>74</v>
      </c>
      <c r="E322" s="30">
        <v>19121</v>
      </c>
      <c r="F322" s="24" t="str">
        <f>TabelaClean14[[#This Row],[CidadeCPF]]</f>
        <v>Castelo Negro</v>
      </c>
      <c r="G322" s="17" t="str">
        <f>TabelaClean14[[#This Row],[RegiaoCPF]]</f>
        <v>Norte</v>
      </c>
      <c r="H322" s="17" t="str">
        <f>_xlfn.XLOOKUP(TabelaClean14[[#This Row],[cpf]],TabelaDirty[cpfclean],TabelaDirty[cidade])</f>
        <v>Castelo Negro</v>
      </c>
      <c r="I322" s="17" t="str">
        <f>_xlfn.XLOOKUP(TabelaClean14[[#This Row],[cpf]],TabelaDirty[cpfclean],TabelaDirty[regiao])</f>
        <v>Norte</v>
      </c>
      <c r="J322" s="17" t="str">
        <f>PROPER(TabelaClean14[[#This Row],[Coluna1]])</f>
        <v>Norte</v>
      </c>
      <c r="K322" s="17" t="e">
        <f>_xlfn.TEXTBEFORE(TabelaClean14[[#This Row],[CidadeCPF]]," | ")</f>
        <v>#N/A</v>
      </c>
      <c r="L322" s="24" t="e">
        <f>_xlfn.TEXTAFTER(TabelaClean14[[#This Row],[CidadeCPF]]," | ")</f>
        <v>#N/A</v>
      </c>
      <c r="M322" s="26">
        <v>7300</v>
      </c>
      <c r="N322" s="78">
        <v>1000</v>
      </c>
      <c r="O322" s="1" t="s">
        <v>50</v>
      </c>
      <c r="P32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2" s="84">
        <v>3</v>
      </c>
      <c r="R322" s="1" t="str" cm="1">
        <f t="array" ref="R322">_xlfn.IFS(TabelaClean14[[#This Row],[qtde_batalhas]]&lt;=10,"Baixo",TabelaClean14[[#This Row],[qtde_batalhas]]&gt;=26,"Alto",TabelaClean14[[#This Row],[qtde_batalhas]]&lt;26,"Médio")</f>
        <v>Baixo</v>
      </c>
      <c r="S322" s="1" t="str">
        <f>IF(AND(TabelaClean14[[#This Row],[nivel_risco]]="Alto",TabelaClean14[[#This Row],[flag_inadimplente]]="Sim"),"Arriscado","Ok")</f>
        <v>Ok</v>
      </c>
      <c r="T322" s="26">
        <v>50500</v>
      </c>
      <c r="U322" s="81">
        <f>IF(AND(TabelaClean14[[#This Row],[analise_risco]]="Arriscado",TabelaClean14[[#This Row],[analise_credito]]="Reprovado"),0,IF(TabelaClean14[[#This Row],[status]]="Ativo",TabelaClean14[[#This Row],[valor_solicitado]]*1.08,0))</f>
        <v>54540</v>
      </c>
      <c r="W322" s="1"/>
      <c r="Y322" t="s">
        <v>809</v>
      </c>
      <c r="Z322" t="str">
        <f t="shared" si="4"/>
        <v>Null</v>
      </c>
      <c r="AE322" t="s">
        <v>623</v>
      </c>
      <c r="AF322" t="str">
        <f>TEXT(AE322,"000\.000\.000\-00")</f>
        <v>000.000.379-00</v>
      </c>
      <c r="AJ322" s="22">
        <v>20600</v>
      </c>
      <c r="AK322">
        <v>20600</v>
      </c>
      <c r="AM322" s="21">
        <v>8000</v>
      </c>
      <c r="AN322">
        <v>8000</v>
      </c>
      <c r="AO322">
        <v>8000</v>
      </c>
      <c r="BB322" s="26">
        <v>7300</v>
      </c>
      <c r="BC322" s="81">
        <f>IF(AND(TabelaClean14[[#This Row],[analise_risco]]="Arriscado",TabelaClean14[[#This Row],[analise_credito]]="Reprovado"),0,IF(TabelaClean14[[#This Row],[status]]="Ativo",TabelaClean14[[#This Row],[valor_solicitado]]*1.08,0))</f>
        <v>54540</v>
      </c>
    </row>
    <row r="323" spans="1:55">
      <c r="A323" s="24" t="s">
        <v>81</v>
      </c>
      <c r="B323" s="17" t="s">
        <v>136</v>
      </c>
      <c r="C323" s="25" t="s">
        <v>965</v>
      </c>
      <c r="D323" s="54">
        <v>47</v>
      </c>
      <c r="E323" s="30">
        <v>29064</v>
      </c>
      <c r="F323" s="25" t="s">
        <v>138</v>
      </c>
      <c r="G323" s="25" t="s">
        <v>139</v>
      </c>
      <c r="H323" s="24">
        <v>13300</v>
      </c>
      <c r="I323" s="24">
        <v>1000</v>
      </c>
      <c r="J323" s="24" t="s">
        <v>51</v>
      </c>
      <c r="K323" s="24"/>
      <c r="L323" s="24"/>
      <c r="M323" s="26">
        <v>39500</v>
      </c>
      <c r="N323" s="78">
        <v>1000</v>
      </c>
      <c r="O323" s="1" t="s">
        <v>51</v>
      </c>
      <c r="P32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323" s="76" t="str" cm="1">
        <f t="array" ref="R323">_xlfn.IFS(TabelaClean14[[#This Row],[qtde_batalhas]]&lt;=10,"Baixo",TabelaClean14[[#This Row],[qtde_batalhas]]&gt;=26,"Alto",TabelaClean14[[#This Row],[qtde_batalhas]]&lt;26,"Médio")</f>
        <v>Baixo</v>
      </c>
      <c r="S323" s="76" t="str">
        <f>IF(AND(TabelaClean14[[#This Row],[nivel_risco]]="Alto",TabelaClean14[[#This Row],[flag_inadimplente]]="Sim"),"Arriscado","Ok")</f>
        <v>Ok</v>
      </c>
      <c r="T323" s="26">
        <v>39500</v>
      </c>
      <c r="U32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23" s="1"/>
      <c r="Y323" t="s">
        <v>155</v>
      </c>
      <c r="Z323" t="str">
        <f t="shared" si="4"/>
        <v>Norte</v>
      </c>
      <c r="AE323" t="s">
        <v>628</v>
      </c>
      <c r="AF323" t="str">
        <f>TEXT(AE323,"000\.000\.000\-00")</f>
        <v>000.000.380-00</v>
      </c>
      <c r="AJ323" s="22">
        <v>2100</v>
      </c>
      <c r="AK323">
        <v>2100</v>
      </c>
      <c r="AM323" s="20">
        <v>79500</v>
      </c>
      <c r="AN323">
        <v>79500</v>
      </c>
      <c r="AO323">
        <v>79500</v>
      </c>
      <c r="BB323" s="26">
        <v>39500</v>
      </c>
      <c r="BC323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24" spans="1:55">
      <c r="A324" s="24" t="s">
        <v>76</v>
      </c>
      <c r="B324" s="17" t="s">
        <v>131</v>
      </c>
      <c r="C324" s="25" t="s">
        <v>966</v>
      </c>
      <c r="D324" s="54" t="s">
        <v>809</v>
      </c>
      <c r="E324" s="30">
        <v>32260</v>
      </c>
      <c r="F324" s="24" t="str">
        <f>TabelaClean14[[#This Row],[CidadeCPF]]</f>
        <v>Pyke</v>
      </c>
      <c r="G324" s="17" t="str">
        <f>TabelaClean14[[#This Row],[RegiaoCPF]]</f>
        <v>Ilhas De Ferro</v>
      </c>
      <c r="H324" s="17" t="str">
        <f>_xlfn.XLOOKUP(TabelaClean14[[#This Row],[cpf]],TabelaDirty[cpfclean],TabelaDirty[cidade])</f>
        <v>Pyke</v>
      </c>
      <c r="I324" s="17" t="str">
        <f>_xlfn.XLOOKUP(TabelaClean14[[#This Row],[cpf]],TabelaDirty[cpfclean],TabelaDirty[regiao])</f>
        <v>Ilhas de Ferro</v>
      </c>
      <c r="J324" s="17" t="str">
        <f>PROPER(TabelaClean14[[#This Row],[Coluna1]])</f>
        <v>Ilhas De Ferro</v>
      </c>
      <c r="K324" s="17" t="e">
        <f>_xlfn.TEXTBEFORE(TabelaClean14[[#This Row],[CidadeCPF]]," | ")</f>
        <v>#N/A</v>
      </c>
      <c r="L324" s="24" t="e">
        <f>_xlfn.TEXTAFTER(TabelaClean14[[#This Row],[CidadeCPF]]," | ")</f>
        <v>#N/A</v>
      </c>
      <c r="M324" s="26">
        <v>17600</v>
      </c>
      <c r="N324" s="78">
        <v>0</v>
      </c>
      <c r="O324" s="1" t="s">
        <v>51</v>
      </c>
      <c r="P32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4" s="84">
        <v>31</v>
      </c>
      <c r="R324" s="1" t="str" cm="1">
        <f t="array" ref="R324">_xlfn.IFS(TabelaClean14[[#This Row],[qtde_batalhas]]&lt;=10,"Baixo",TabelaClean14[[#This Row],[qtde_batalhas]]&gt;=26,"Alto",TabelaClean14[[#This Row],[qtde_batalhas]]&lt;26,"Médio")</f>
        <v>Alto</v>
      </c>
      <c r="S324" s="1" t="str">
        <f>IF(AND(TabelaClean14[[#This Row],[nivel_risco]]="Alto",TabelaClean14[[#This Row],[flag_inadimplente]]="Sim"),"Arriscado","Ok")</f>
        <v>Arriscado</v>
      </c>
      <c r="T324" s="26">
        <v>47500</v>
      </c>
      <c r="U324" s="81">
        <f>IF(AND(TabelaClean14[[#This Row],[analise_risco]]="Arriscado",TabelaClean14[[#This Row],[analise_credito]]="Reprovado"),0,IF(TabelaClean14[[#This Row],[status]]="Ativo",TabelaClean14[[#This Row],[valor_solicitado]]*1.08,0))</f>
        <v>51300</v>
      </c>
      <c r="W324" s="1"/>
      <c r="Y324" t="s">
        <v>142</v>
      </c>
      <c r="Z324" t="str">
        <f t="shared" ref="Z324:Z326" si="5">PROPER(Y324)</f>
        <v>Norte</v>
      </c>
      <c r="AF324" t="str">
        <f>TEXT(AE324,"000\.000\.000\-00")</f>
        <v>000.000.000-00</v>
      </c>
      <c r="AJ324" s="22">
        <v>11500</v>
      </c>
      <c r="AK324">
        <v>11500</v>
      </c>
      <c r="AM324" s="21">
        <v>17500</v>
      </c>
      <c r="AN324">
        <v>17500</v>
      </c>
      <c r="AO324">
        <v>17500</v>
      </c>
      <c r="BB324" s="26">
        <v>17600</v>
      </c>
      <c r="BC324" s="81">
        <f>IF(AND(TabelaClean14[[#This Row],[analise_risco]]="Arriscado",TabelaClean14[[#This Row],[analise_credito]]="Reprovado"),0,IF(TabelaClean14[[#This Row],[status]]="Ativo",TabelaClean14[[#This Row],[valor_solicitado]]*1.08,0))</f>
        <v>51300</v>
      </c>
    </row>
    <row r="325" spans="1:55">
      <c r="A325" s="24" t="s">
        <v>76</v>
      </c>
      <c r="B325" s="17" t="s">
        <v>77</v>
      </c>
      <c r="C325" s="25" t="s">
        <v>78</v>
      </c>
      <c r="D325" s="54">
        <v>32</v>
      </c>
      <c r="E325" s="30">
        <v>34347</v>
      </c>
      <c r="F325" s="24" t="str">
        <f>TabelaClean14[[#This Row],[CidadeCPF]]</f>
        <v>Ninho da Águia</v>
      </c>
      <c r="G325" s="17" t="str">
        <f>TabelaClean14[[#This Row],[RegiaoCPF]]</f>
        <v>Vale</v>
      </c>
      <c r="H325" s="17" t="str">
        <f>_xlfn.XLOOKUP(TabelaClean14[[#This Row],[cpf]],TabelaDirty[cpfclean],TabelaDirty[cidade])</f>
        <v>Ninho da Águia</v>
      </c>
      <c r="I325" s="17" t="str">
        <f>_xlfn.XLOOKUP(TabelaClean14[[#This Row],[cpf]],TabelaDirty[cpfclean],TabelaDirty[regiao])</f>
        <v>Vale</v>
      </c>
      <c r="J325" s="17" t="str">
        <f>PROPER(TabelaClean14[[#This Row],[Coluna1]])</f>
        <v>Vale</v>
      </c>
      <c r="K325" s="17" t="e">
        <f>_xlfn.TEXTBEFORE(TabelaClean14[[#This Row],[CidadeCPF]]," | ")</f>
        <v>#N/A</v>
      </c>
      <c r="L325" s="24" t="e">
        <f>_xlfn.TEXTAFTER(TabelaClean14[[#This Row],[CidadeCPF]]," | ")</f>
        <v>#N/A</v>
      </c>
      <c r="M325" s="26">
        <v>15600</v>
      </c>
      <c r="N325" s="78">
        <v>0</v>
      </c>
      <c r="O325" s="1" t="s">
        <v>51</v>
      </c>
      <c r="P32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5" s="84">
        <v>34</v>
      </c>
      <c r="R325" s="1" t="str" cm="1">
        <f t="array" ref="R325">_xlfn.IFS(TabelaClean14[[#This Row],[qtde_batalhas]]&lt;=10,"Baixo",TabelaClean14[[#This Row],[qtde_batalhas]]&gt;=26,"Alto",TabelaClean14[[#This Row],[qtde_batalhas]]&lt;26,"Médio")</f>
        <v>Alto</v>
      </c>
      <c r="S325" s="1" t="str">
        <f>IF(AND(TabelaClean14[[#This Row],[nivel_risco]]="Alto",TabelaClean14[[#This Row],[flag_inadimplente]]="Sim"),"Arriscado","Ok")</f>
        <v>Arriscado</v>
      </c>
      <c r="T325" s="26">
        <v>16000</v>
      </c>
      <c r="U325" s="81">
        <f>IF(AND(TabelaClean14[[#This Row],[analise_risco]]="Arriscado",TabelaClean14[[#This Row],[analise_credito]]="Reprovado"),0,IF(TabelaClean14[[#This Row],[status]]="Ativo",TabelaClean14[[#This Row],[valor_solicitado]]*1.08,0))</f>
        <v>17280</v>
      </c>
      <c r="V325"/>
      <c r="W325"/>
      <c r="Y325" t="s">
        <v>809</v>
      </c>
      <c r="Z325" t="str">
        <f t="shared" si="5"/>
        <v>Null</v>
      </c>
      <c r="AF325" t="str">
        <f>TEXT(AE325,"000\.000\.000\-00")</f>
        <v>000.000.000-00</v>
      </c>
      <c r="AJ325" s="22">
        <v>3400</v>
      </c>
      <c r="AK325">
        <v>3400</v>
      </c>
      <c r="AM325" s="20">
        <v>0</v>
      </c>
      <c r="AN325">
        <v>0</v>
      </c>
      <c r="AO325">
        <v>0</v>
      </c>
      <c r="BB325" s="26">
        <v>15600</v>
      </c>
      <c r="BC325" s="81">
        <f>IF(AND(TabelaClean14[[#This Row],[analise_risco]]="Arriscado",TabelaClean14[[#This Row],[analise_credito]]="Reprovado"),0,IF(TabelaClean14[[#This Row],[status]]="Ativo",TabelaClean14[[#This Row],[valor_solicitado]]*1.08,0))</f>
        <v>17280</v>
      </c>
    </row>
    <row r="326" spans="1:55">
      <c r="A326" s="24" t="s">
        <v>76</v>
      </c>
      <c r="B326" s="17" t="s">
        <v>218</v>
      </c>
      <c r="C326" s="25" t="s">
        <v>219</v>
      </c>
      <c r="D326" s="54">
        <v>21</v>
      </c>
      <c r="E326" s="30">
        <v>38323</v>
      </c>
      <c r="F326" s="24" t="str">
        <f>TabelaClean14[[#This Row],[CidadeCPF]]</f>
        <v>Correrrio</v>
      </c>
      <c r="G326" s="17" t="str">
        <f>TabelaClean14[[#This Row],[RegiaoCPF]]</f>
        <v>Terras Fluviais</v>
      </c>
      <c r="H326" s="17" t="str">
        <f>_xlfn.XLOOKUP(TabelaClean14[[#This Row],[cpf]],TabelaDirty[cpfclean],TabelaDirty[cidade])</f>
        <v>Correrrio</v>
      </c>
      <c r="I326" s="17" t="str">
        <f>_xlfn.XLOOKUP(TabelaClean14[[#This Row],[cpf]],TabelaDirty[cpfclean],TabelaDirty[regiao])</f>
        <v>Terras Fluviais</v>
      </c>
      <c r="J326" s="17" t="str">
        <f>PROPER(TabelaClean14[[#This Row],[Coluna1]])</f>
        <v>Terras Fluviais</v>
      </c>
      <c r="K326" s="17" t="e">
        <f>_xlfn.TEXTBEFORE(TabelaClean14[[#This Row],[CidadeCPF]]," | ")</f>
        <v>#N/A</v>
      </c>
      <c r="L326" s="24" t="e">
        <f>_xlfn.TEXTAFTER(TabelaClean14[[#This Row],[CidadeCPF]]," | ")</f>
        <v>#N/A</v>
      </c>
      <c r="M326" s="26">
        <v>3800</v>
      </c>
      <c r="N326" s="78">
        <v>0</v>
      </c>
      <c r="O326" s="1" t="s">
        <v>50</v>
      </c>
      <c r="P32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6" s="84">
        <v>25</v>
      </c>
      <c r="R326" s="1" t="str" cm="1">
        <f t="array" ref="R326">_xlfn.IFS(TabelaClean14[[#This Row],[qtde_batalhas]]&lt;=10,"Baixo",TabelaClean14[[#This Row],[qtde_batalhas]]&gt;=26,"Alto",TabelaClean14[[#This Row],[qtde_batalhas]]&lt;26,"Médio")</f>
        <v>Médio</v>
      </c>
      <c r="S326" s="1" t="str">
        <f>IF(AND(TabelaClean14[[#This Row],[nivel_risco]]="Alto",TabelaClean14[[#This Row],[flag_inadimplente]]="Sim"),"Arriscado","Ok")</f>
        <v>Ok</v>
      </c>
      <c r="T326" s="26">
        <v>50000</v>
      </c>
      <c r="U326" s="81">
        <f>IF(AND(TabelaClean14[[#This Row],[analise_risco]]="Arriscado",TabelaClean14[[#This Row],[analise_credito]]="Reprovado"),0,IF(TabelaClean14[[#This Row],[status]]="Ativo",TabelaClean14[[#This Row],[valor_solicitado]]*1.08,0))</f>
        <v>54000</v>
      </c>
      <c r="V326"/>
      <c r="W326"/>
      <c r="Y326" t="s">
        <v>809</v>
      </c>
      <c r="Z326" t="str">
        <f t="shared" si="5"/>
        <v>Null</v>
      </c>
      <c r="AF326" t="str">
        <f>TEXT(AE326,"000\.000\.000\-00")</f>
        <v>000.000.000-00</v>
      </c>
      <c r="AJ326" s="22" t="s">
        <v>114</v>
      </c>
      <c r="AK326">
        <v>18200</v>
      </c>
      <c r="AM326" s="21" t="s">
        <v>115</v>
      </c>
      <c r="AN326">
        <v>31000</v>
      </c>
      <c r="AO326">
        <v>31000</v>
      </c>
      <c r="BB326" s="26">
        <v>3800</v>
      </c>
      <c r="BC326" s="81">
        <f>IF(AND(TabelaClean14[[#This Row],[analise_risco]]="Arriscado",TabelaClean14[[#This Row],[analise_credito]]="Reprovado"),0,IF(TabelaClean14[[#This Row],[status]]="Ativo",TabelaClean14[[#This Row],[valor_solicitado]]*1.08,0))</f>
        <v>54000</v>
      </c>
    </row>
    <row r="327" spans="1:55">
      <c r="A327" s="24" t="s">
        <v>76</v>
      </c>
      <c r="B327" s="17" t="s">
        <v>429</v>
      </c>
      <c r="C327" s="25" t="s">
        <v>430</v>
      </c>
      <c r="D327" s="54">
        <v>22</v>
      </c>
      <c r="E327" s="30">
        <v>37904</v>
      </c>
      <c r="F327" s="24" t="str">
        <f>TabelaClean14[[#This Row],[CidadeCPF]]</f>
        <v>Ponta Tempestade</v>
      </c>
      <c r="G327" s="17" t="str">
        <f>TabelaClean14[[#This Row],[RegiaoCPF]]</f>
        <v>Terras Da Tempestade</v>
      </c>
      <c r="H327" s="17" t="str">
        <f>_xlfn.XLOOKUP(TabelaClean14[[#This Row],[cpf]],TabelaDirty[cpfclean],TabelaDirty[cidade])</f>
        <v>Ponta Tempestade</v>
      </c>
      <c r="I327" s="17" t="str">
        <f>_xlfn.XLOOKUP(TabelaClean14[[#This Row],[cpf]],TabelaDirty[cpfclean],TabelaDirty[regiao])</f>
        <v>Terras da Tempestade</v>
      </c>
      <c r="J327" s="17" t="str">
        <f>PROPER(TabelaClean14[[#This Row],[Coluna1]])</f>
        <v>Terras Da Tempestade</v>
      </c>
      <c r="K327" s="17" t="e">
        <f>_xlfn.TEXTBEFORE(TabelaClean14[[#This Row],[CidadeCPF]]," | ")</f>
        <v>#N/A</v>
      </c>
      <c r="L327" s="24" t="e">
        <f>_xlfn.TEXTAFTER(TabelaClean14[[#This Row],[CidadeCPF]]," | ")</f>
        <v>#N/A</v>
      </c>
      <c r="M327" s="26">
        <v>2300</v>
      </c>
      <c r="N327" s="78">
        <v>0</v>
      </c>
      <c r="O327" s="1" t="s">
        <v>51</v>
      </c>
      <c r="P32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7" s="84">
        <v>29</v>
      </c>
      <c r="R327" s="1" t="str" cm="1">
        <f t="array" ref="R327">_xlfn.IFS(TabelaClean14[[#This Row],[qtde_batalhas]]&lt;=10,"Baixo",TabelaClean14[[#This Row],[qtde_batalhas]]&gt;=26,"Alto",TabelaClean14[[#This Row],[qtde_batalhas]]&lt;26,"Médio")</f>
        <v>Alto</v>
      </c>
      <c r="S327" s="1" t="str">
        <f>IF(AND(TabelaClean14[[#This Row],[nivel_risco]]="Alto",TabelaClean14[[#This Row],[flag_inadimplente]]="Sim"),"Arriscado","Ok")</f>
        <v>Arriscado</v>
      </c>
      <c r="T327" s="26">
        <v>51500</v>
      </c>
      <c r="U327" s="81">
        <f>IF(AND(TabelaClean14[[#This Row],[analise_risco]]="Arriscado",TabelaClean14[[#This Row],[analise_credito]]="Reprovado"),0,IF(TabelaClean14[[#This Row],[status]]="Ativo",TabelaClean14[[#This Row],[valor_solicitado]]*1.08,0))</f>
        <v>55620.000000000007</v>
      </c>
      <c r="W327" s="1"/>
      <c r="Y327" s="16"/>
      <c r="BB327" s="26">
        <v>2300</v>
      </c>
      <c r="BC327" s="81">
        <f>IF(AND(TabelaClean14[[#This Row],[analise_risco]]="Arriscado",TabelaClean14[[#This Row],[analise_credito]]="Reprovado"),0,IF(TabelaClean14[[#This Row],[status]]="Ativo",TabelaClean14[[#This Row],[valor_solicitado]]*1.08,0))</f>
        <v>55620.000000000007</v>
      </c>
    </row>
    <row r="328" spans="1:55">
      <c r="A328" s="24" t="s">
        <v>76</v>
      </c>
      <c r="B328" s="17" t="s">
        <v>750</v>
      </c>
      <c r="C328" s="25" t="s">
        <v>751</v>
      </c>
      <c r="D328" s="54">
        <v>69</v>
      </c>
      <c r="E328" s="30" t="s">
        <v>809</v>
      </c>
      <c r="F328" s="24" t="str">
        <f>TabelaClean14[[#This Row],[CidadeCPF]]</f>
        <v>Solar do Entardecer</v>
      </c>
      <c r="G328" s="17" t="str">
        <f>TabelaClean14[[#This Row],[RegiaoCPF]]</f>
        <v>Terras Da Tempestade</v>
      </c>
      <c r="H328" s="17" t="str">
        <f>_xlfn.XLOOKUP(TabelaClean14[[#This Row],[cpf]],TabelaDirty[cpfclean],TabelaDirty[cidade])</f>
        <v>Solar do Entardecer</v>
      </c>
      <c r="I328" s="17" t="str">
        <f>_xlfn.XLOOKUP(TabelaClean14[[#This Row],[cpf]],TabelaDirty[cpfclean],TabelaDirty[regiao])</f>
        <v>terras da tempestade</v>
      </c>
      <c r="J328" s="17" t="str">
        <f>PROPER(TabelaClean14[[#This Row],[Coluna1]])</f>
        <v>Terras Da Tempestade</v>
      </c>
      <c r="K328" s="17" t="e">
        <f>_xlfn.TEXTBEFORE(TabelaClean14[[#This Row],[CidadeCPF]]," | ")</f>
        <v>#N/A</v>
      </c>
      <c r="L328" s="24" t="e">
        <f>_xlfn.TEXTAFTER(TabelaClean14[[#This Row],[CidadeCPF]]," | ")</f>
        <v>#N/A</v>
      </c>
      <c r="M328" s="26">
        <v>11400</v>
      </c>
      <c r="N328" s="78">
        <v>0</v>
      </c>
      <c r="O328" s="1" t="s">
        <v>51</v>
      </c>
      <c r="P32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8" s="84">
        <v>13</v>
      </c>
      <c r="R328" s="1" t="str" cm="1">
        <f t="array" ref="R328">_xlfn.IFS(TabelaClean14[[#This Row],[qtde_batalhas]]&lt;=10,"Baixo",TabelaClean14[[#This Row],[qtde_batalhas]]&gt;=26,"Alto",TabelaClean14[[#This Row],[qtde_batalhas]]&lt;26,"Médio")</f>
        <v>Médio</v>
      </c>
      <c r="S328" s="1" t="str">
        <f>IF(AND(TabelaClean14[[#This Row],[nivel_risco]]="Alto",TabelaClean14[[#This Row],[flag_inadimplente]]="Sim"),"Arriscado","Ok")</f>
        <v>Ok</v>
      </c>
      <c r="T328" s="26">
        <v>79000</v>
      </c>
      <c r="U328" s="81">
        <f>IF(AND(TabelaClean14[[#This Row],[analise_risco]]="Arriscado",TabelaClean14[[#This Row],[analise_credito]]="Reprovado"),0,IF(TabelaClean14[[#This Row],[status]]="Ativo",TabelaClean14[[#This Row],[valor_solicitado]]*1.08,0))</f>
        <v>85320</v>
      </c>
      <c r="W328" s="1"/>
      <c r="Y328" s="16"/>
      <c r="BB328" s="26">
        <v>11400</v>
      </c>
      <c r="BC328" s="81">
        <f>IF(AND(TabelaClean14[[#This Row],[analise_risco]]="Arriscado",TabelaClean14[[#This Row],[analise_credito]]="Reprovado"),0,IF(TabelaClean14[[#This Row],[status]]="Ativo",TabelaClean14[[#This Row],[valor_solicitado]]*1.08,0))</f>
        <v>85320</v>
      </c>
    </row>
    <row r="329" spans="1:55">
      <c r="A329" s="24" t="s">
        <v>76</v>
      </c>
      <c r="B329" s="17" t="s">
        <v>559</v>
      </c>
      <c r="C329" s="25" t="s">
        <v>560</v>
      </c>
      <c r="D329" s="54">
        <v>69</v>
      </c>
      <c r="E329" s="30" t="s">
        <v>809</v>
      </c>
      <c r="F329" s="24" t="str">
        <f>TabelaClean14[[#This Row],[CidadeCPF]]</f>
        <v>Braavos</v>
      </c>
      <c r="G329" s="17" t="str">
        <f>TabelaClean14[[#This Row],[RegiaoCPF]]</f>
        <v>Essos</v>
      </c>
      <c r="H329" s="17" t="str">
        <f>_xlfn.XLOOKUP(TabelaClean14[[#This Row],[cpf]],TabelaDirty[cpfclean],TabelaDirty[cidade])</f>
        <v>Braavos</v>
      </c>
      <c r="I329" s="17" t="str">
        <f>_xlfn.XLOOKUP(TabelaClean14[[#This Row],[cpf]],TabelaDirty[cpfclean],TabelaDirty[regiao])</f>
        <v>Essos</v>
      </c>
      <c r="J329" s="17" t="str">
        <f>PROPER(TabelaClean14[[#This Row],[Coluna1]])</f>
        <v>Essos</v>
      </c>
      <c r="K329" s="17" t="e">
        <f>_xlfn.TEXTBEFORE(TabelaClean14[[#This Row],[CidadeCPF]]," | ")</f>
        <v>#N/A</v>
      </c>
      <c r="L329" s="24" t="e">
        <f>_xlfn.TEXTAFTER(TabelaClean14[[#This Row],[CidadeCPF]]," | ")</f>
        <v>#N/A</v>
      </c>
      <c r="M329" s="26">
        <v>4500</v>
      </c>
      <c r="N329" s="78">
        <v>0</v>
      </c>
      <c r="O329" s="1" t="s">
        <v>51</v>
      </c>
      <c r="P32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29" s="84">
        <v>32</v>
      </c>
      <c r="R329" s="1" t="str" cm="1">
        <f t="array" ref="R329">_xlfn.IFS(TabelaClean14[[#This Row],[qtde_batalhas]]&lt;=10,"Baixo",TabelaClean14[[#This Row],[qtde_batalhas]]&gt;=26,"Alto",TabelaClean14[[#This Row],[qtde_batalhas]]&lt;26,"Médio")</f>
        <v>Alto</v>
      </c>
      <c r="S329" s="1" t="str">
        <f>IF(AND(TabelaClean14[[#This Row],[nivel_risco]]="Alto",TabelaClean14[[#This Row],[flag_inadimplente]]="Sim"),"Arriscado","Ok")</f>
        <v>Arriscado</v>
      </c>
      <c r="T329" s="26">
        <v>56500</v>
      </c>
      <c r="U329" s="81">
        <f>IF(AND(TabelaClean14[[#This Row],[analise_risco]]="Arriscado",TabelaClean14[[#This Row],[analise_credito]]="Reprovado"),0,IF(TabelaClean14[[#This Row],[status]]="Ativo",TabelaClean14[[#This Row],[valor_solicitado]]*1.08,0))</f>
        <v>61020.000000000007</v>
      </c>
      <c r="W329" s="1"/>
      <c r="Y329" s="16"/>
      <c r="BB329" s="26">
        <v>4500</v>
      </c>
      <c r="BC329" s="81">
        <f>IF(AND(TabelaClean14[[#This Row],[analise_risco]]="Arriscado",TabelaClean14[[#This Row],[analise_credito]]="Reprovado"),0,IF(TabelaClean14[[#This Row],[status]]="Ativo",TabelaClean14[[#This Row],[valor_solicitado]]*1.08,0))</f>
        <v>61020.000000000007</v>
      </c>
    </row>
    <row r="330" spans="1:55">
      <c r="A330" s="29" t="s">
        <v>809</v>
      </c>
      <c r="B330" s="17" t="s">
        <v>967</v>
      </c>
      <c r="C330" s="25" t="s">
        <v>200</v>
      </c>
      <c r="D330" s="54">
        <v>63</v>
      </c>
      <c r="E330" s="30">
        <v>22974</v>
      </c>
      <c r="F330" s="24" t="str">
        <f>TabelaClean14[[#This Row],[CidadeCPF]]</f>
        <v>Dorne</v>
      </c>
      <c r="G330" s="17" t="str">
        <f>TabelaClean14[[#This Row],[RegiaoCPF]]</f>
        <v>Dorne</v>
      </c>
      <c r="H330" s="17" t="str">
        <f>_xlfn.XLOOKUP(TabelaClean14[[#This Row],[cpf]],TabelaDirty[cpfclean],TabelaDirty[cidade])</f>
        <v>Dorne</v>
      </c>
      <c r="I330" s="17" t="str">
        <f>_xlfn.XLOOKUP(TabelaClean14[[#This Row],[cpf]],TabelaDirty[cpfclean],TabelaDirty[regiao])</f>
        <v>DORNE</v>
      </c>
      <c r="J330" s="17" t="str">
        <f>PROPER(TabelaClean14[[#This Row],[Coluna1]])</f>
        <v>Dorne</v>
      </c>
      <c r="K330" s="17" t="e">
        <f>_xlfn.TEXTBEFORE(TabelaClean14[[#This Row],[CidadeCPF]]," | ")</f>
        <v>#N/A</v>
      </c>
      <c r="L330" s="24" t="e">
        <f>_xlfn.TEXTAFTER(TabelaClean14[[#This Row],[CidadeCPF]]," | ")</f>
        <v>#N/A</v>
      </c>
      <c r="M330" s="26">
        <v>14700</v>
      </c>
      <c r="N330" s="78">
        <v>0</v>
      </c>
      <c r="O330" s="1" t="s">
        <v>51</v>
      </c>
      <c r="P33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0" s="84">
        <v>40</v>
      </c>
      <c r="R330" s="1" t="str" cm="1">
        <f t="array" ref="R330">_xlfn.IFS(TabelaClean14[[#This Row],[qtde_batalhas]]&lt;=10,"Baixo",TabelaClean14[[#This Row],[qtde_batalhas]]&gt;=26,"Alto",TabelaClean14[[#This Row],[qtde_batalhas]]&lt;26,"Médio")</f>
        <v>Alto</v>
      </c>
      <c r="S330" s="1" t="str">
        <f>IF(AND(TabelaClean14[[#This Row],[nivel_risco]]="Alto",TabelaClean14[[#This Row],[flag_inadimplente]]="Sim"),"Arriscado","Ok")</f>
        <v>Arriscado</v>
      </c>
      <c r="T330" s="26">
        <v>83500</v>
      </c>
      <c r="U33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30" s="1"/>
      <c r="Y330" s="16"/>
      <c r="BB330" s="26">
        <v>14700</v>
      </c>
      <c r="BC33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31" spans="1:55">
      <c r="A331" s="24" t="s">
        <v>81</v>
      </c>
      <c r="B331" s="17" t="s">
        <v>772</v>
      </c>
      <c r="C331" s="25" t="s">
        <v>841</v>
      </c>
      <c r="D331" s="54">
        <v>27</v>
      </c>
      <c r="E331" s="30">
        <v>36151</v>
      </c>
      <c r="F331" s="24" t="str">
        <f>TabelaClean14[[#This Row],[CidadeCPF]]</f>
        <v>Winterfell</v>
      </c>
      <c r="G331" s="17" t="str">
        <f>TabelaClean14[[#This Row],[RegiaoCPF]]</f>
        <v>Norte</v>
      </c>
      <c r="H331" s="17" t="str">
        <f>_xlfn.XLOOKUP(TabelaClean14[[#This Row],[cpf]],TabelaDirty[cpfclean],TabelaDirty[cidade])</f>
        <v>Winterfell</v>
      </c>
      <c r="I331" s="17" t="str">
        <f>_xlfn.XLOOKUP(TabelaClean14[[#This Row],[cpf]],TabelaDirty[cpfclean],TabelaDirty[regiao])</f>
        <v>Norte</v>
      </c>
      <c r="J331" s="17" t="str">
        <f>PROPER(TabelaClean14[[#This Row],[Coluna1]])</f>
        <v>Norte</v>
      </c>
      <c r="K331" s="17" t="e">
        <f>_xlfn.TEXTBEFORE(TabelaClean14[[#This Row],[CidadeCPF]]," | ")</f>
        <v>#N/A</v>
      </c>
      <c r="L331" s="24" t="e">
        <f>_xlfn.TEXTAFTER(TabelaClean14[[#This Row],[CidadeCPF]]," | ")</f>
        <v>#N/A</v>
      </c>
      <c r="M331" s="26">
        <v>25900</v>
      </c>
      <c r="N331" s="78">
        <v>0</v>
      </c>
      <c r="O331" s="1" t="s">
        <v>51</v>
      </c>
      <c r="P33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1" s="84">
        <v>10</v>
      </c>
      <c r="R331" s="1" t="str" cm="1">
        <f t="array" ref="R331">_xlfn.IFS(TabelaClean14[[#This Row],[qtde_batalhas]]&lt;=10,"Baixo",TabelaClean14[[#This Row],[qtde_batalhas]]&gt;=26,"Alto",TabelaClean14[[#This Row],[qtde_batalhas]]&lt;26,"Médio")</f>
        <v>Baixo</v>
      </c>
      <c r="S331" s="1" t="str">
        <f>IF(AND(TabelaClean14[[#This Row],[nivel_risco]]="Alto",TabelaClean14[[#This Row],[flag_inadimplente]]="Sim"),"Arriscado","Ok")</f>
        <v>Ok</v>
      </c>
      <c r="T331" s="26">
        <v>5000</v>
      </c>
      <c r="U33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31" s="1"/>
      <c r="Y331" s="16"/>
      <c r="BB331" s="26">
        <v>25900</v>
      </c>
      <c r="BC33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32" spans="1:55">
      <c r="A332" s="24" t="s">
        <v>76</v>
      </c>
      <c r="B332" s="17" t="s">
        <v>752</v>
      </c>
      <c r="C332" s="25" t="s">
        <v>753</v>
      </c>
      <c r="D332" s="54">
        <v>62</v>
      </c>
      <c r="E332" s="30">
        <v>23317</v>
      </c>
      <c r="F332" s="24" t="str">
        <f>TabelaClean14[[#This Row],[CidadeCPF]]</f>
        <v>Winterfell</v>
      </c>
      <c r="G332" s="17" t="str">
        <f>TabelaClean14[[#This Row],[RegiaoCPF]]</f>
        <v>Norte</v>
      </c>
      <c r="H332" s="17" t="str">
        <f>_xlfn.XLOOKUP(TabelaClean14[[#This Row],[cpf]],TabelaDirty[cpfclean],TabelaDirty[cidade])</f>
        <v>Winterfell</v>
      </c>
      <c r="I332" s="17" t="str">
        <f>_xlfn.XLOOKUP(TabelaClean14[[#This Row],[cpf]],TabelaDirty[cpfclean],TabelaDirty[regiao])</f>
        <v>Norte</v>
      </c>
      <c r="J332" s="17" t="str">
        <f>PROPER(TabelaClean14[[#This Row],[Coluna1]])</f>
        <v>Norte</v>
      </c>
      <c r="K332" s="17" t="e">
        <f>_xlfn.TEXTBEFORE(TabelaClean14[[#This Row],[CidadeCPF]]," | ")</f>
        <v>#N/A</v>
      </c>
      <c r="L332" s="24" t="e">
        <f>_xlfn.TEXTAFTER(TabelaClean14[[#This Row],[CidadeCPF]]," | ")</f>
        <v>#N/A</v>
      </c>
      <c r="M332" s="26">
        <v>10500</v>
      </c>
      <c r="N332" s="78">
        <v>0</v>
      </c>
      <c r="O332" s="1" t="s">
        <v>51</v>
      </c>
      <c r="P33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2" s="84">
        <v>4</v>
      </c>
      <c r="R332" s="1" t="str" cm="1">
        <f t="array" ref="R332">_xlfn.IFS(TabelaClean14[[#This Row],[qtde_batalhas]]&lt;=10,"Baixo",TabelaClean14[[#This Row],[qtde_batalhas]]&gt;=26,"Alto",TabelaClean14[[#This Row],[qtde_batalhas]]&lt;26,"Médio")</f>
        <v>Baixo</v>
      </c>
      <c r="S332" s="1" t="str">
        <f>IF(AND(TabelaClean14[[#This Row],[nivel_risco]]="Alto",TabelaClean14[[#This Row],[flag_inadimplente]]="Sim"),"Arriscado","Ok")</f>
        <v>Ok</v>
      </c>
      <c r="T332" s="26">
        <v>54500</v>
      </c>
      <c r="U332" s="81">
        <f>IF(AND(TabelaClean14[[#This Row],[analise_risco]]="Arriscado",TabelaClean14[[#This Row],[analise_credito]]="Reprovado"),0,IF(TabelaClean14[[#This Row],[status]]="Ativo",TabelaClean14[[#This Row],[valor_solicitado]]*1.08,0))</f>
        <v>58860.000000000007</v>
      </c>
      <c r="W332" s="1"/>
      <c r="Y332" s="16"/>
      <c r="BB332" s="26">
        <v>10500</v>
      </c>
      <c r="BC332" s="81">
        <f>IF(AND(TabelaClean14[[#This Row],[analise_risco]]="Arriscado",TabelaClean14[[#This Row],[analise_credito]]="Reprovado"),0,IF(TabelaClean14[[#This Row],[status]]="Ativo",TabelaClean14[[#This Row],[valor_solicitado]]*1.08,0))</f>
        <v>58860.000000000007</v>
      </c>
    </row>
    <row r="333" spans="1:55">
      <c r="A333" s="24" t="s">
        <v>76</v>
      </c>
      <c r="B333" s="17" t="s">
        <v>777</v>
      </c>
      <c r="C333" s="25" t="s">
        <v>968</v>
      </c>
      <c r="D333" s="54">
        <v>20</v>
      </c>
      <c r="E333" s="30">
        <v>38894</v>
      </c>
      <c r="F333" s="24" t="str">
        <f>TabelaClean14[[#This Row],[CidadeCPF]]</f>
        <v>Ilha dos Ursos</v>
      </c>
      <c r="G333" s="17" t="str">
        <f>TabelaClean14[[#This Row],[RegiaoCPF]]</f>
        <v>Norte</v>
      </c>
      <c r="H333" s="17" t="str">
        <f>_xlfn.XLOOKUP(TabelaClean14[[#This Row],[cpf]],TabelaDirty[cpfclean],TabelaDirty[cidade])</f>
        <v>Ilha dos Ursos</v>
      </c>
      <c r="I333" s="17" t="str">
        <f>_xlfn.XLOOKUP(TabelaClean14[[#This Row],[cpf]],TabelaDirty[cpfclean],TabelaDirty[regiao])</f>
        <v>norte</v>
      </c>
      <c r="J333" s="17" t="str">
        <f>PROPER(TabelaClean14[[#This Row],[Coluna1]])</f>
        <v>Norte</v>
      </c>
      <c r="K333" s="17" t="e">
        <f>_xlfn.TEXTBEFORE(TabelaClean14[[#This Row],[CidadeCPF]]," | ")</f>
        <v>#N/A</v>
      </c>
      <c r="L333" s="24" t="e">
        <f>_xlfn.TEXTAFTER(TabelaClean14[[#This Row],[CidadeCPF]]," | ")</f>
        <v>#N/A</v>
      </c>
      <c r="M333" s="26">
        <v>24900</v>
      </c>
      <c r="N333" s="78">
        <v>0</v>
      </c>
      <c r="O333" s="1" t="s">
        <v>51</v>
      </c>
      <c r="P33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3" s="84">
        <v>14</v>
      </c>
      <c r="R333" s="1" t="str" cm="1">
        <f t="array" ref="R333">_xlfn.IFS(TabelaClean14[[#This Row],[qtde_batalhas]]&lt;=10,"Baixo",TabelaClean14[[#This Row],[qtde_batalhas]]&gt;=26,"Alto",TabelaClean14[[#This Row],[qtde_batalhas]]&lt;26,"Médio")</f>
        <v>Médio</v>
      </c>
      <c r="S333" s="1" t="str">
        <f>IF(AND(TabelaClean14[[#This Row],[nivel_risco]]="Alto",TabelaClean14[[#This Row],[flag_inadimplente]]="Sim"),"Arriscado","Ok")</f>
        <v>Ok</v>
      </c>
      <c r="T333" s="26">
        <v>49500</v>
      </c>
      <c r="U333" s="81">
        <f>IF(AND(TabelaClean14[[#This Row],[analise_risco]]="Arriscado",TabelaClean14[[#This Row],[analise_credito]]="Reprovado"),0,IF(TabelaClean14[[#This Row],[status]]="Ativo",TabelaClean14[[#This Row],[valor_solicitado]]*1.08,0))</f>
        <v>53460</v>
      </c>
      <c r="W333" s="1"/>
      <c r="Y333" s="16"/>
      <c r="BB333" s="26">
        <v>24900</v>
      </c>
      <c r="BC333" s="81">
        <f>IF(AND(TabelaClean14[[#This Row],[analise_risco]]="Arriscado",TabelaClean14[[#This Row],[analise_credito]]="Reprovado"),0,IF(TabelaClean14[[#This Row],[status]]="Ativo",TabelaClean14[[#This Row],[valor_solicitado]]*1.08,0))</f>
        <v>53460</v>
      </c>
    </row>
    <row r="334" spans="1:55">
      <c r="A334" s="24" t="s">
        <v>76</v>
      </c>
      <c r="B334" s="17" t="s">
        <v>405</v>
      </c>
      <c r="C334" s="25" t="s">
        <v>969</v>
      </c>
      <c r="D334" s="54">
        <v>23</v>
      </c>
      <c r="E334" s="30">
        <v>37566</v>
      </c>
      <c r="F334" s="24" t="str">
        <f>TabelaClean14[[#This Row],[CidadeCPF]]</f>
        <v>Braavos</v>
      </c>
      <c r="G334" s="17" t="str">
        <f>TabelaClean14[[#This Row],[RegiaoCPF]]</f>
        <v>Essos</v>
      </c>
      <c r="H334" s="17" t="str">
        <f>_xlfn.XLOOKUP(TabelaClean14[[#This Row],[cpf]],TabelaDirty[cpfclean],TabelaDirty[cidade])</f>
        <v>Braavos</v>
      </c>
      <c r="I334" s="17" t="str">
        <f>_xlfn.XLOOKUP(TabelaClean14[[#This Row],[cpf]],TabelaDirty[cpfclean],TabelaDirty[regiao])</f>
        <v>ESSOS</v>
      </c>
      <c r="J334" s="17" t="str">
        <f>PROPER(TabelaClean14[[#This Row],[Coluna1]])</f>
        <v>Essos</v>
      </c>
      <c r="K334" s="17" t="e">
        <f>_xlfn.TEXTBEFORE(TabelaClean14[[#This Row],[CidadeCPF]]," | ")</f>
        <v>#N/A</v>
      </c>
      <c r="L334" s="24" t="e">
        <f>_xlfn.TEXTAFTER(TabelaClean14[[#This Row],[CidadeCPF]]," | ")</f>
        <v>#N/A</v>
      </c>
      <c r="M334" s="26">
        <v>2600</v>
      </c>
      <c r="N334" s="78">
        <v>0</v>
      </c>
      <c r="O334" s="1" t="s">
        <v>51</v>
      </c>
      <c r="P33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4" s="84">
        <v>30</v>
      </c>
      <c r="R334" s="1" t="str" cm="1">
        <f t="array" ref="R334">_xlfn.IFS(TabelaClean14[[#This Row],[qtde_batalhas]]&lt;=10,"Baixo",TabelaClean14[[#This Row],[qtde_batalhas]]&gt;=26,"Alto",TabelaClean14[[#This Row],[qtde_batalhas]]&lt;26,"Médio")</f>
        <v>Alto</v>
      </c>
      <c r="S334" s="1" t="str">
        <f>IF(AND(TabelaClean14[[#This Row],[nivel_risco]]="Alto",TabelaClean14[[#This Row],[flag_inadimplente]]="Sim"),"Arriscado","Ok")</f>
        <v>Arriscado</v>
      </c>
      <c r="T334" s="26">
        <v>11000</v>
      </c>
      <c r="U334" s="81">
        <f>IF(AND(TabelaClean14[[#This Row],[analise_risco]]="Arriscado",TabelaClean14[[#This Row],[analise_credito]]="Reprovado"),0,IF(TabelaClean14[[#This Row],[status]]="Ativo",TabelaClean14[[#This Row],[valor_solicitado]]*1.08,0))</f>
        <v>11880</v>
      </c>
      <c r="W334" s="1"/>
      <c r="Y334" s="16"/>
      <c r="BB334" s="26">
        <v>2600</v>
      </c>
      <c r="BC334" s="81">
        <f>IF(AND(TabelaClean14[[#This Row],[analise_risco]]="Arriscado",TabelaClean14[[#This Row],[analise_credito]]="Reprovado"),0,IF(TabelaClean14[[#This Row],[status]]="Ativo",TabelaClean14[[#This Row],[valor_solicitado]]*1.08,0))</f>
        <v>11880</v>
      </c>
    </row>
    <row r="335" spans="1:55">
      <c r="A335" s="24" t="s">
        <v>81</v>
      </c>
      <c r="B335" s="17" t="s">
        <v>163</v>
      </c>
      <c r="C335" s="25" t="s">
        <v>164</v>
      </c>
      <c r="D335" s="54">
        <v>62</v>
      </c>
      <c r="E335" s="30">
        <v>23259</v>
      </c>
      <c r="F335" s="24" t="str">
        <f>TabelaClean14[[#This Row],[CidadeCPF]]</f>
        <v>Pedra do Dragão</v>
      </c>
      <c r="G335" s="17" t="str">
        <f>TabelaClean14[[#This Row],[RegiaoCPF]]</f>
        <v>Terras Da Coroa</v>
      </c>
      <c r="H335" s="17" t="str">
        <f>_xlfn.XLOOKUP(TabelaClean14[[#This Row],[cpf]],TabelaDirty[cpfclean],TabelaDirty[cidade])</f>
        <v>Pedra do Dragão</v>
      </c>
      <c r="I335" s="17" t="str">
        <f>_xlfn.XLOOKUP(TabelaClean14[[#This Row],[cpf]],TabelaDirty[cpfclean],TabelaDirty[regiao])</f>
        <v>TERRAS DA COROA</v>
      </c>
      <c r="J335" s="17" t="str">
        <f>PROPER(TabelaClean14[[#This Row],[Coluna1]])</f>
        <v>Terras Da Coroa</v>
      </c>
      <c r="K335" s="17" t="e">
        <f>_xlfn.TEXTBEFORE(TabelaClean14[[#This Row],[CidadeCPF]]," | ")</f>
        <v>#N/A</v>
      </c>
      <c r="L335" s="24" t="e">
        <f>_xlfn.TEXTAFTER(TabelaClean14[[#This Row],[CidadeCPF]]," | ")</f>
        <v>#N/A</v>
      </c>
      <c r="N335" s="78">
        <v>0</v>
      </c>
      <c r="O335" s="1" t="s">
        <v>51</v>
      </c>
      <c r="P33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5" s="84">
        <v>1</v>
      </c>
      <c r="R335" s="1" t="str" cm="1">
        <f t="array" ref="R335">_xlfn.IFS(TabelaClean14[[#This Row],[qtde_batalhas]]&lt;=10,"Baixo",TabelaClean14[[#This Row],[qtde_batalhas]]&gt;=26,"Alto",TabelaClean14[[#This Row],[qtde_batalhas]]&lt;26,"Médio")</f>
        <v>Baixo</v>
      </c>
      <c r="S335" s="1" t="str">
        <f>IF(AND(TabelaClean14[[#This Row],[nivel_risco]]="Alto",TabelaClean14[[#This Row],[flag_inadimplente]]="Sim"),"Arriscado","Ok")</f>
        <v>Ok</v>
      </c>
      <c r="T335" s="26">
        <v>12000</v>
      </c>
      <c r="U33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35" s="1"/>
      <c r="Y335" s="16"/>
      <c r="BC33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36" spans="1:55">
      <c r="A336" s="24" t="s">
        <v>76</v>
      </c>
      <c r="B336" s="17" t="s">
        <v>230</v>
      </c>
      <c r="C336" s="25" t="s">
        <v>231</v>
      </c>
      <c r="D336" s="54">
        <v>48</v>
      </c>
      <c r="E336" s="30">
        <v>28430</v>
      </c>
      <c r="F336" s="24" t="str">
        <f>TabelaClean14[[#This Row],[CidadeCPF]]</f>
        <v>Pyke</v>
      </c>
      <c r="G336" s="17" t="str">
        <f>TabelaClean14[[#This Row],[RegiaoCPF]]</f>
        <v>Ilhas De Ferro</v>
      </c>
      <c r="H336" s="17" t="str">
        <f>_xlfn.XLOOKUP(TabelaClean14[[#This Row],[cpf]],TabelaDirty[cpfclean],TabelaDirty[cidade])</f>
        <v>Pyke</v>
      </c>
      <c r="I336" s="17" t="str">
        <f>_xlfn.XLOOKUP(TabelaClean14[[#This Row],[cpf]],TabelaDirty[cpfclean],TabelaDirty[regiao])</f>
        <v>Ilhas De Ferro</v>
      </c>
      <c r="J336" s="17" t="str">
        <f>PROPER(TabelaClean14[[#This Row],[Coluna1]])</f>
        <v>Ilhas De Ferro</v>
      </c>
      <c r="K336" s="17" t="e">
        <f>_xlfn.TEXTBEFORE(TabelaClean14[[#This Row],[CidadeCPF]]," | ")</f>
        <v>#N/A</v>
      </c>
      <c r="L336" s="24" t="e">
        <f>_xlfn.TEXTAFTER(TabelaClean14[[#This Row],[CidadeCPF]]," | ")</f>
        <v>#N/A</v>
      </c>
      <c r="M336" s="26">
        <v>4500</v>
      </c>
      <c r="N336" s="78">
        <v>0</v>
      </c>
      <c r="O336" s="1" t="s">
        <v>50</v>
      </c>
      <c r="P33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6" s="84">
        <v>3</v>
      </c>
      <c r="R336" s="1" t="str" cm="1">
        <f t="array" ref="R336">_xlfn.IFS(TabelaClean14[[#This Row],[qtde_batalhas]]&lt;=10,"Baixo",TabelaClean14[[#This Row],[qtde_batalhas]]&gt;=26,"Alto",TabelaClean14[[#This Row],[qtde_batalhas]]&lt;26,"Médio")</f>
        <v>Baixo</v>
      </c>
      <c r="S336" s="1" t="str">
        <f>IF(AND(TabelaClean14[[#This Row],[nivel_risco]]="Alto",TabelaClean14[[#This Row],[flag_inadimplente]]="Sim"),"Arriscado","Ok")</f>
        <v>Ok</v>
      </c>
      <c r="T336" s="26">
        <v>48500</v>
      </c>
      <c r="U336" s="81">
        <f>IF(AND(TabelaClean14[[#This Row],[analise_risco]]="Arriscado",TabelaClean14[[#This Row],[analise_credito]]="Reprovado"),0,IF(TabelaClean14[[#This Row],[status]]="Ativo",TabelaClean14[[#This Row],[valor_solicitado]]*1.08,0))</f>
        <v>52380</v>
      </c>
      <c r="W336" s="1"/>
      <c r="Y336" s="16"/>
      <c r="BB336" s="26">
        <v>4500</v>
      </c>
      <c r="BC336" s="81">
        <f>IF(AND(TabelaClean14[[#This Row],[analise_risco]]="Arriscado",TabelaClean14[[#This Row],[analise_credito]]="Reprovado"),0,IF(TabelaClean14[[#This Row],[status]]="Ativo",TabelaClean14[[#This Row],[valor_solicitado]]*1.08,0))</f>
        <v>52380</v>
      </c>
    </row>
    <row r="337" spans="1:55">
      <c r="A337" s="24" t="s">
        <v>76</v>
      </c>
      <c r="B337" s="17" t="s">
        <v>281</v>
      </c>
      <c r="C337" s="25" t="s">
        <v>282</v>
      </c>
      <c r="D337" s="54">
        <v>24</v>
      </c>
      <c r="E337" s="30">
        <v>37259</v>
      </c>
      <c r="F337" s="24" t="str">
        <f>TabelaClean14[[#This Row],[CidadeCPF]]</f>
        <v>Dorne</v>
      </c>
      <c r="G337" s="17" t="str">
        <f>TabelaClean14[[#This Row],[RegiaoCPF]]</f>
        <v>Dorne</v>
      </c>
      <c r="H337" s="17" t="str">
        <f>_xlfn.XLOOKUP(TabelaClean14[[#This Row],[cpf]],TabelaDirty[cpfclean],TabelaDirty[cidade])</f>
        <v>Dorne</v>
      </c>
      <c r="I337" s="17" t="str">
        <f>_xlfn.XLOOKUP(TabelaClean14[[#This Row],[cpf]],TabelaDirty[cpfclean],TabelaDirty[regiao])</f>
        <v>Dorne</v>
      </c>
      <c r="J337" s="17" t="str">
        <f>PROPER(TabelaClean14[[#This Row],[Coluna1]])</f>
        <v>Dorne</v>
      </c>
      <c r="K337" s="17" t="e">
        <f>_xlfn.TEXTBEFORE(TabelaClean14[[#This Row],[CidadeCPF]]," | ")</f>
        <v>#N/A</v>
      </c>
      <c r="L337" s="24" t="e">
        <f>_xlfn.TEXTAFTER(TabelaClean14[[#This Row],[CidadeCPF]]," | ")</f>
        <v>#N/A</v>
      </c>
      <c r="M337" s="26">
        <v>25200</v>
      </c>
      <c r="N337" s="78">
        <v>0</v>
      </c>
      <c r="O337" s="1" t="s">
        <v>50</v>
      </c>
      <c r="P33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7" s="84">
        <v>10</v>
      </c>
      <c r="R337" s="1" t="str" cm="1">
        <f t="array" ref="R337">_xlfn.IFS(TabelaClean14[[#This Row],[qtde_batalhas]]&lt;=10,"Baixo",TabelaClean14[[#This Row],[qtde_batalhas]]&gt;=26,"Alto",TabelaClean14[[#This Row],[qtde_batalhas]]&lt;26,"Médio")</f>
        <v>Baixo</v>
      </c>
      <c r="S337" s="1" t="str">
        <f>IF(AND(TabelaClean14[[#This Row],[nivel_risco]]="Alto",TabelaClean14[[#This Row],[flag_inadimplente]]="Sim"),"Arriscado","Ok")</f>
        <v>Ok</v>
      </c>
      <c r="T337" s="26">
        <v>69500</v>
      </c>
      <c r="U337" s="81">
        <f>IF(AND(TabelaClean14[[#This Row],[analise_risco]]="Arriscado",TabelaClean14[[#This Row],[analise_credito]]="Reprovado"),0,IF(TabelaClean14[[#This Row],[status]]="Ativo",TabelaClean14[[#This Row],[valor_solicitado]]*1.08,0))</f>
        <v>75060</v>
      </c>
      <c r="W337" s="1"/>
      <c r="Y337" s="16"/>
      <c r="BB337" s="26">
        <v>25200</v>
      </c>
      <c r="BC337" s="81">
        <f>IF(AND(TabelaClean14[[#This Row],[analise_risco]]="Arriscado",TabelaClean14[[#This Row],[analise_credito]]="Reprovado"),0,IF(TabelaClean14[[#This Row],[status]]="Ativo",TabelaClean14[[#This Row],[valor_solicitado]]*1.08,0))</f>
        <v>75060</v>
      </c>
    </row>
    <row r="338" spans="1:55">
      <c r="A338" s="24" t="s">
        <v>76</v>
      </c>
      <c r="B338" s="17" t="s">
        <v>600</v>
      </c>
      <c r="C338" s="25" t="s">
        <v>601</v>
      </c>
      <c r="D338" s="54">
        <v>25</v>
      </c>
      <c r="E338" s="30">
        <v>37026</v>
      </c>
      <c r="F338" s="24" t="str">
        <f>TabelaClean14[[#This Row],[CidadeCPF]]</f>
        <v>Solar do Entardecer</v>
      </c>
      <c r="G338" s="17" t="str">
        <f>TabelaClean14[[#This Row],[RegiaoCPF]]</f>
        <v>Terras Da Tempestade</v>
      </c>
      <c r="H338" s="17" t="str">
        <f>_xlfn.XLOOKUP(TabelaClean14[[#This Row],[cpf]],TabelaDirty[cpfclean],TabelaDirty[cidade])</f>
        <v>Solar do Entardecer</v>
      </c>
      <c r="I338" s="17" t="str">
        <f>_xlfn.XLOOKUP(TabelaClean14[[#This Row],[cpf]],TabelaDirty[cpfclean],TabelaDirty[regiao])</f>
        <v>Terras da Tempestade</v>
      </c>
      <c r="J338" s="17" t="str">
        <f>PROPER(TabelaClean14[[#This Row],[Coluna1]])</f>
        <v>Terras Da Tempestade</v>
      </c>
      <c r="K338" s="17" t="e">
        <f>_xlfn.TEXTBEFORE(TabelaClean14[[#This Row],[CidadeCPF]]," | ")</f>
        <v>#N/A</v>
      </c>
      <c r="L338" s="24" t="e">
        <f>_xlfn.TEXTAFTER(TabelaClean14[[#This Row],[CidadeCPF]]," | ")</f>
        <v>#N/A</v>
      </c>
      <c r="M338" s="26">
        <v>28200</v>
      </c>
      <c r="N338" s="78">
        <v>0</v>
      </c>
      <c r="O338" s="1" t="s">
        <v>50</v>
      </c>
      <c r="P33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8" s="84">
        <v>29</v>
      </c>
      <c r="R338" s="1" t="str" cm="1">
        <f t="array" ref="R338">_xlfn.IFS(TabelaClean14[[#This Row],[qtde_batalhas]]&lt;=10,"Baixo",TabelaClean14[[#This Row],[qtde_batalhas]]&gt;=26,"Alto",TabelaClean14[[#This Row],[qtde_batalhas]]&lt;26,"Médio")</f>
        <v>Alto</v>
      </c>
      <c r="S338" s="1" t="str">
        <f>IF(AND(TabelaClean14[[#This Row],[nivel_risco]]="Alto",TabelaClean14[[#This Row],[flag_inadimplente]]="Sim"),"Arriscado","Ok")</f>
        <v>Ok</v>
      </c>
      <c r="T338" s="26">
        <v>92500</v>
      </c>
      <c r="U338" s="81">
        <f>IF(AND(TabelaClean14[[#This Row],[analise_risco]]="Arriscado",TabelaClean14[[#This Row],[analise_credito]]="Reprovado"),0,IF(TabelaClean14[[#This Row],[status]]="Ativo",TabelaClean14[[#This Row],[valor_solicitado]]*1.08,0))</f>
        <v>99900</v>
      </c>
      <c r="W338" s="1"/>
      <c r="Y338" s="16"/>
      <c r="BB338" s="26">
        <v>28200</v>
      </c>
      <c r="BC338" s="81">
        <f>IF(AND(TabelaClean14[[#This Row],[analise_risco]]="Arriscado",TabelaClean14[[#This Row],[analise_credito]]="Reprovado"),0,IF(TabelaClean14[[#This Row],[status]]="Ativo",TabelaClean14[[#This Row],[valor_solicitado]]*1.08,0))</f>
        <v>99900</v>
      </c>
    </row>
    <row r="339" spans="1:55">
      <c r="A339" s="24" t="s">
        <v>76</v>
      </c>
      <c r="B339" s="17" t="s">
        <v>970</v>
      </c>
      <c r="C339" s="25" t="s">
        <v>782</v>
      </c>
      <c r="D339" s="54">
        <v>32</v>
      </c>
      <c r="E339" s="30">
        <v>34508</v>
      </c>
      <c r="F339" s="24" t="str">
        <f>TabelaClean14[[#This Row],[CidadeCPF]]</f>
        <v>Dorne</v>
      </c>
      <c r="G339" s="17" t="str">
        <f>TabelaClean14[[#This Row],[RegiaoCPF]]</f>
        <v>Dorne</v>
      </c>
      <c r="H339" s="17" t="str">
        <f>_xlfn.XLOOKUP(TabelaClean14[[#This Row],[cpf]],TabelaDirty[cpfclean],TabelaDirty[cidade])</f>
        <v>Dorne</v>
      </c>
      <c r="I339" s="17" t="str">
        <f>_xlfn.XLOOKUP(TabelaClean14[[#This Row],[cpf]],TabelaDirty[cpfclean],TabelaDirty[regiao])</f>
        <v>Dorne</v>
      </c>
      <c r="J339" s="17" t="str">
        <f>PROPER(TabelaClean14[[#This Row],[Coluna1]])</f>
        <v>Dorne</v>
      </c>
      <c r="K339" s="17" t="e">
        <f>_xlfn.TEXTBEFORE(TabelaClean14[[#This Row],[CidadeCPF]]," | ")</f>
        <v>#N/A</v>
      </c>
      <c r="L339" s="24" t="e">
        <f>_xlfn.TEXTAFTER(TabelaClean14[[#This Row],[CidadeCPF]]," | ")</f>
        <v>#N/A</v>
      </c>
      <c r="M339" s="26">
        <v>9800</v>
      </c>
      <c r="N339" s="78">
        <v>0</v>
      </c>
      <c r="O339" s="1" t="s">
        <v>50</v>
      </c>
      <c r="P33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39" s="84">
        <v>23</v>
      </c>
      <c r="R339" s="1" t="str" cm="1">
        <f t="array" ref="R339">_xlfn.IFS(TabelaClean14[[#This Row],[qtde_batalhas]]&lt;=10,"Baixo",TabelaClean14[[#This Row],[qtde_batalhas]]&gt;=26,"Alto",TabelaClean14[[#This Row],[qtde_batalhas]]&lt;26,"Médio")</f>
        <v>Médio</v>
      </c>
      <c r="S339" s="1" t="str">
        <f>IF(AND(TabelaClean14[[#This Row],[nivel_risco]]="Alto",TabelaClean14[[#This Row],[flag_inadimplente]]="Sim"),"Arriscado","Ok")</f>
        <v>Ok</v>
      </c>
      <c r="T339" s="26">
        <v>68000</v>
      </c>
      <c r="U339" s="81">
        <f>IF(AND(TabelaClean14[[#This Row],[analise_risco]]="Arriscado",TabelaClean14[[#This Row],[analise_credito]]="Reprovado"),0,IF(TabelaClean14[[#This Row],[status]]="Ativo",TabelaClean14[[#This Row],[valor_solicitado]]*1.08,0))</f>
        <v>73440</v>
      </c>
      <c r="W339" s="1"/>
      <c r="Y339" s="16"/>
      <c r="BB339" s="26">
        <v>9800</v>
      </c>
      <c r="BC339" s="81">
        <f>IF(AND(TabelaClean14[[#This Row],[analise_risco]]="Arriscado",TabelaClean14[[#This Row],[analise_credito]]="Reprovado"),0,IF(TabelaClean14[[#This Row],[status]]="Ativo",TabelaClean14[[#This Row],[valor_solicitado]]*1.08,0))</f>
        <v>73440</v>
      </c>
    </row>
    <row r="340" spans="1:55">
      <c r="A340" s="24" t="s">
        <v>81</v>
      </c>
      <c r="B340" s="17" t="s">
        <v>287</v>
      </c>
      <c r="C340" s="25" t="s">
        <v>288</v>
      </c>
      <c r="D340" s="54">
        <v>70</v>
      </c>
      <c r="E340" s="30">
        <v>20502</v>
      </c>
      <c r="F340" s="24" t="str">
        <f>TabelaClean14[[#This Row],[CidadeCPF]]</f>
        <v>Lannisporto</v>
      </c>
      <c r="G340" s="17" t="str">
        <f>TabelaClean14[[#This Row],[RegiaoCPF]]</f>
        <v>Oeste</v>
      </c>
      <c r="H340" s="17" t="str">
        <f>_xlfn.XLOOKUP(TabelaClean14[[#This Row],[cpf]],TabelaDirty[cpfclean],TabelaDirty[cidade])</f>
        <v>Lannisporto</v>
      </c>
      <c r="I340" s="17" t="str">
        <f>_xlfn.XLOOKUP(TabelaClean14[[#This Row],[cpf]],TabelaDirty[cpfclean],TabelaDirty[regiao])</f>
        <v>Oeste</v>
      </c>
      <c r="J340" s="17" t="str">
        <f>PROPER(TabelaClean14[[#This Row],[Coluna1]])</f>
        <v>Oeste</v>
      </c>
      <c r="K340" s="17" t="e">
        <f>_xlfn.TEXTBEFORE(TabelaClean14[[#This Row],[CidadeCPF]]," | ")</f>
        <v>#N/A</v>
      </c>
      <c r="L340" s="24" t="e">
        <f>_xlfn.TEXTAFTER(TabelaClean14[[#This Row],[CidadeCPF]]," | ")</f>
        <v>#N/A</v>
      </c>
      <c r="M340" s="26">
        <v>2500</v>
      </c>
      <c r="N340" s="78">
        <v>0</v>
      </c>
      <c r="O340" s="1" t="s">
        <v>50</v>
      </c>
      <c r="P34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0" s="84">
        <v>38</v>
      </c>
      <c r="R340" s="1" t="str" cm="1">
        <f t="array" ref="R340">_xlfn.IFS(TabelaClean14[[#This Row],[qtde_batalhas]]&lt;=10,"Baixo",TabelaClean14[[#This Row],[qtde_batalhas]]&gt;=26,"Alto",TabelaClean14[[#This Row],[qtde_batalhas]]&lt;26,"Médio")</f>
        <v>Alto</v>
      </c>
      <c r="S340" s="1" t="str">
        <f>IF(AND(TabelaClean14[[#This Row],[nivel_risco]]="Alto",TabelaClean14[[#This Row],[flag_inadimplente]]="Sim"),"Arriscado","Ok")</f>
        <v>Ok</v>
      </c>
      <c r="T340" s="26">
        <v>44500</v>
      </c>
      <c r="U34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40" s="1"/>
      <c r="Y340" s="16"/>
      <c r="BB340" s="26">
        <v>2500</v>
      </c>
      <c r="BC34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41" spans="1:55">
      <c r="A341" s="24" t="s">
        <v>76</v>
      </c>
      <c r="B341" s="17" t="s">
        <v>592</v>
      </c>
      <c r="C341" s="25" t="s">
        <v>593</v>
      </c>
      <c r="D341" s="54">
        <v>65</v>
      </c>
      <c r="E341" s="30">
        <v>22366</v>
      </c>
      <c r="F341" s="24" t="str">
        <f>TabelaClean14[[#This Row],[CidadeCPF]]</f>
        <v>Jardim de Cima</v>
      </c>
      <c r="G341" s="17" t="str">
        <f>TabelaClean14[[#This Row],[RegiaoCPF]]</f>
        <v>Campina</v>
      </c>
      <c r="H341" s="17" t="str">
        <f>_xlfn.XLOOKUP(TabelaClean14[[#This Row],[cpf]],TabelaDirty[cpfclean],TabelaDirty[cidade])</f>
        <v>Jardim de Cima</v>
      </c>
      <c r="I341" s="17" t="str">
        <f>_xlfn.XLOOKUP(TabelaClean14[[#This Row],[cpf]],TabelaDirty[cpfclean],TabelaDirty[regiao])</f>
        <v>campina</v>
      </c>
      <c r="J341" s="17" t="str">
        <f>PROPER(TabelaClean14[[#This Row],[Coluna1]])</f>
        <v>Campina</v>
      </c>
      <c r="K341" s="17" t="e">
        <f>_xlfn.TEXTBEFORE(TabelaClean14[[#This Row],[CidadeCPF]]," | ")</f>
        <v>#N/A</v>
      </c>
      <c r="L341" s="24" t="e">
        <f>_xlfn.TEXTAFTER(TabelaClean14[[#This Row],[CidadeCPF]]," | ")</f>
        <v>#N/A</v>
      </c>
      <c r="M341" s="26">
        <v>18000</v>
      </c>
      <c r="N341" s="78">
        <v>0</v>
      </c>
      <c r="O341" s="1" t="s">
        <v>50</v>
      </c>
      <c r="P34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1" s="84">
        <v>27</v>
      </c>
      <c r="R341" s="1" t="str" cm="1">
        <f t="array" ref="R341">_xlfn.IFS(TabelaClean14[[#This Row],[qtde_batalhas]]&lt;=10,"Baixo",TabelaClean14[[#This Row],[qtde_batalhas]]&gt;=26,"Alto",TabelaClean14[[#This Row],[qtde_batalhas]]&lt;26,"Médio")</f>
        <v>Alto</v>
      </c>
      <c r="S341" s="1" t="str">
        <f>IF(AND(TabelaClean14[[#This Row],[nivel_risco]]="Alto",TabelaClean14[[#This Row],[flag_inadimplente]]="Sim"),"Arriscado","Ok")</f>
        <v>Ok</v>
      </c>
      <c r="T341" s="26">
        <v>38500</v>
      </c>
      <c r="U341" s="81">
        <f>IF(AND(TabelaClean14[[#This Row],[analise_risco]]="Arriscado",TabelaClean14[[#This Row],[analise_credito]]="Reprovado"),0,IF(TabelaClean14[[#This Row],[status]]="Ativo",TabelaClean14[[#This Row],[valor_solicitado]]*1.08,0))</f>
        <v>41580</v>
      </c>
      <c r="W341" s="1"/>
      <c r="Y341" s="16"/>
      <c r="BB341" s="26">
        <v>18000</v>
      </c>
      <c r="BC341" s="81">
        <f>IF(AND(TabelaClean14[[#This Row],[analise_risco]]="Arriscado",TabelaClean14[[#This Row],[analise_credito]]="Reprovado"),0,IF(TabelaClean14[[#This Row],[status]]="Ativo",TabelaClean14[[#This Row],[valor_solicitado]]*1.08,0))</f>
        <v>41580</v>
      </c>
    </row>
    <row r="342" spans="1:55">
      <c r="A342" s="24" t="s">
        <v>81</v>
      </c>
      <c r="B342" s="17" t="s">
        <v>712</v>
      </c>
      <c r="C342" s="25" t="s">
        <v>858</v>
      </c>
      <c r="D342" s="54">
        <v>35</v>
      </c>
      <c r="E342" s="30">
        <v>33417</v>
      </c>
      <c r="F342" s="24" t="str">
        <f>TabelaClean14[[#This Row],[CidadeCPF]]</f>
        <v>Jardim de Cima</v>
      </c>
      <c r="G342" s="17" t="str">
        <f>TabelaClean14[[#This Row],[RegiaoCPF]]</f>
        <v>Campina</v>
      </c>
      <c r="H342" s="17" t="str">
        <f>_xlfn.XLOOKUP(TabelaClean14[[#This Row],[cpf]],TabelaDirty[cpfclean],TabelaDirty[cidade])</f>
        <v>Jardim de Cima</v>
      </c>
      <c r="I342" s="17" t="str">
        <f>_xlfn.XLOOKUP(TabelaClean14[[#This Row],[cpf]],TabelaDirty[cpfclean],TabelaDirty[regiao])</f>
        <v>campina</v>
      </c>
      <c r="J342" s="17" t="str">
        <f>PROPER(TabelaClean14[[#This Row],[Coluna1]])</f>
        <v>Campina</v>
      </c>
      <c r="K342" s="17" t="e">
        <f>_xlfn.TEXTBEFORE(TabelaClean14[[#This Row],[CidadeCPF]]," | ")</f>
        <v>#N/A</v>
      </c>
      <c r="L342" s="24" t="e">
        <f>_xlfn.TEXTAFTER(TabelaClean14[[#This Row],[CidadeCPF]]," | ")</f>
        <v>#N/A</v>
      </c>
      <c r="M342" s="26">
        <v>12400</v>
      </c>
      <c r="N342" s="78">
        <v>0</v>
      </c>
      <c r="O342" s="1" t="s">
        <v>50</v>
      </c>
      <c r="P34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2" s="84">
        <v>3</v>
      </c>
      <c r="R342" s="1" t="str" cm="1">
        <f t="array" ref="R342">_xlfn.IFS(TabelaClean14[[#This Row],[qtde_batalhas]]&lt;=10,"Baixo",TabelaClean14[[#This Row],[qtde_batalhas]]&gt;=26,"Alto",TabelaClean14[[#This Row],[qtde_batalhas]]&lt;26,"Médio")</f>
        <v>Baixo</v>
      </c>
      <c r="S342" s="1" t="str">
        <f>IF(AND(TabelaClean14[[#This Row],[nivel_risco]]="Alto",TabelaClean14[[#This Row],[flag_inadimplente]]="Sim"),"Arriscado","Ok")</f>
        <v>Ok</v>
      </c>
      <c r="T342" s="26">
        <v>83500</v>
      </c>
      <c r="U34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42" s="1"/>
      <c r="Y342" s="16"/>
      <c r="BB342" s="26">
        <v>12400</v>
      </c>
      <c r="BC342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43" spans="1:55">
      <c r="A343" s="24" t="s">
        <v>76</v>
      </c>
      <c r="B343" s="17" t="s">
        <v>672</v>
      </c>
      <c r="C343" s="25" t="s">
        <v>673</v>
      </c>
      <c r="D343" s="54">
        <v>52</v>
      </c>
      <c r="E343" s="30">
        <v>27088</v>
      </c>
      <c r="F343" s="24" t="str">
        <f>TabelaClean14[[#This Row],[CidadeCPF]]</f>
        <v>Ponta Tempestade</v>
      </c>
      <c r="G343" s="17" t="str">
        <f>TabelaClean14[[#This Row],[RegiaoCPF]]</f>
        <v>Terras Da Tempestade</v>
      </c>
      <c r="H343" s="17" t="str">
        <f>_xlfn.XLOOKUP(TabelaClean14[[#This Row],[cpf]],TabelaDirty[cpfclean],TabelaDirty[cidade])</f>
        <v>Ponta Tempestade</v>
      </c>
      <c r="I343" s="17" t="str">
        <f>_xlfn.XLOOKUP(TabelaClean14[[#This Row],[cpf]],TabelaDirty[cpfclean],TabelaDirty[regiao])</f>
        <v>Terras Da Tempestade</v>
      </c>
      <c r="J343" s="17" t="str">
        <f>PROPER(TabelaClean14[[#This Row],[Coluna1]])</f>
        <v>Terras Da Tempestade</v>
      </c>
      <c r="K343" s="17" t="e">
        <f>_xlfn.TEXTBEFORE(TabelaClean14[[#This Row],[CidadeCPF]]," | ")</f>
        <v>#N/A</v>
      </c>
      <c r="L343" s="24" t="e">
        <f>_xlfn.TEXTAFTER(TabelaClean14[[#This Row],[CidadeCPF]]," | ")</f>
        <v>#N/A</v>
      </c>
      <c r="M343" s="26">
        <v>24900</v>
      </c>
      <c r="N343" s="78">
        <v>0</v>
      </c>
      <c r="O343" s="1" t="s">
        <v>50</v>
      </c>
      <c r="P34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3" s="84">
        <v>24</v>
      </c>
      <c r="R343" s="1" t="str" cm="1">
        <f t="array" ref="R343">_xlfn.IFS(TabelaClean14[[#This Row],[qtde_batalhas]]&lt;=10,"Baixo",TabelaClean14[[#This Row],[qtde_batalhas]]&gt;=26,"Alto",TabelaClean14[[#This Row],[qtde_batalhas]]&lt;26,"Médio")</f>
        <v>Médio</v>
      </c>
      <c r="S343" s="1" t="str">
        <f>IF(AND(TabelaClean14[[#This Row],[nivel_risco]]="Alto",TabelaClean14[[#This Row],[flag_inadimplente]]="Sim"),"Arriscado","Ok")</f>
        <v>Ok</v>
      </c>
      <c r="T343" s="26">
        <v>16000</v>
      </c>
      <c r="U343" s="81">
        <f>IF(AND(TabelaClean14[[#This Row],[analise_risco]]="Arriscado",TabelaClean14[[#This Row],[analise_credito]]="Reprovado"),0,IF(TabelaClean14[[#This Row],[status]]="Ativo",TabelaClean14[[#This Row],[valor_solicitado]]*1.08,0))</f>
        <v>17280</v>
      </c>
      <c r="W343" s="1"/>
      <c r="Y343" s="16"/>
      <c r="BB343" s="26">
        <v>24900</v>
      </c>
      <c r="BC343" s="81">
        <f>IF(AND(TabelaClean14[[#This Row],[analise_risco]]="Arriscado",TabelaClean14[[#This Row],[analise_credito]]="Reprovado"),0,IF(TabelaClean14[[#This Row],[status]]="Ativo",TabelaClean14[[#This Row],[valor_solicitado]]*1.08,0))</f>
        <v>17280</v>
      </c>
    </row>
    <row r="344" spans="1:55">
      <c r="A344" s="24" t="s">
        <v>81</v>
      </c>
      <c r="B344" s="17" t="s">
        <v>676</v>
      </c>
      <c r="C344" s="25" t="s">
        <v>677</v>
      </c>
      <c r="D344" s="54">
        <v>48</v>
      </c>
      <c r="E344" s="30">
        <v>28737</v>
      </c>
      <c r="F344" s="24" t="str">
        <f>TabelaClean14[[#This Row],[CidadeCPF]]</f>
        <v>Porto Real</v>
      </c>
      <c r="G344" s="17" t="str">
        <f>TabelaClean14[[#This Row],[RegiaoCPF]]</f>
        <v>Terras Da Coroa</v>
      </c>
      <c r="H344" s="17" t="str">
        <f>_xlfn.XLOOKUP(TabelaClean14[[#This Row],[cpf]],TabelaDirty[cpfclean],TabelaDirty[cidade])</f>
        <v>Porto Real</v>
      </c>
      <c r="I344" s="17" t="str">
        <f>_xlfn.XLOOKUP(TabelaClean14[[#This Row],[cpf]],TabelaDirty[cpfclean],TabelaDirty[regiao])</f>
        <v>Terras da Coroa</v>
      </c>
      <c r="J344" s="17" t="str">
        <f>PROPER(TabelaClean14[[#This Row],[Coluna1]])</f>
        <v>Terras Da Coroa</v>
      </c>
      <c r="K344" s="17" t="e">
        <f>_xlfn.TEXTBEFORE(TabelaClean14[[#This Row],[CidadeCPF]]," | ")</f>
        <v>#N/A</v>
      </c>
      <c r="L344" s="24" t="e">
        <f>_xlfn.TEXTAFTER(TabelaClean14[[#This Row],[CidadeCPF]]," | ")</f>
        <v>#N/A</v>
      </c>
      <c r="M344" s="26">
        <v>12400</v>
      </c>
      <c r="N344" s="78">
        <v>0</v>
      </c>
      <c r="O344" s="1" t="s">
        <v>50</v>
      </c>
      <c r="P34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4" s="84">
        <v>25</v>
      </c>
      <c r="R344" s="1" t="str" cm="1">
        <f t="array" ref="R344">_xlfn.IFS(TabelaClean14[[#This Row],[qtde_batalhas]]&lt;=10,"Baixo",TabelaClean14[[#This Row],[qtde_batalhas]]&gt;=26,"Alto",TabelaClean14[[#This Row],[qtde_batalhas]]&lt;26,"Médio")</f>
        <v>Médio</v>
      </c>
      <c r="S344" s="1" t="str">
        <f>IF(AND(TabelaClean14[[#This Row],[nivel_risco]]="Alto",TabelaClean14[[#This Row],[flag_inadimplente]]="Sim"),"Arriscado","Ok")</f>
        <v>Ok</v>
      </c>
      <c r="T344" s="26">
        <v>65500</v>
      </c>
      <c r="U34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44" s="1"/>
      <c r="Y344" s="16"/>
      <c r="BB344" s="26">
        <v>12400</v>
      </c>
      <c r="BC34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45" spans="1:55">
      <c r="A345" s="29" t="s">
        <v>809</v>
      </c>
      <c r="B345" s="17" t="s">
        <v>208</v>
      </c>
      <c r="C345" s="25" t="s">
        <v>209</v>
      </c>
      <c r="D345" s="54">
        <v>63</v>
      </c>
      <c r="E345" s="30">
        <v>23231</v>
      </c>
      <c r="F345" s="24" t="str">
        <f>TabelaClean14[[#This Row],[CidadeCPF]]</f>
        <v>Winterfell</v>
      </c>
      <c r="G345" s="17" t="str">
        <f>TabelaClean14[[#This Row],[RegiaoCPF]]</f>
        <v>Norte</v>
      </c>
      <c r="H345" s="17" t="str">
        <f>_xlfn.XLOOKUP(TabelaClean14[[#This Row],[cpf]],TabelaDirty[cpfclean],TabelaDirty[cidade])</f>
        <v>Winterfell</v>
      </c>
      <c r="I345" s="17" t="str">
        <f>_xlfn.XLOOKUP(TabelaClean14[[#This Row],[cpf]],TabelaDirty[cpfclean],TabelaDirty[regiao])</f>
        <v>Norte</v>
      </c>
      <c r="J345" s="17" t="str">
        <f>PROPER(TabelaClean14[[#This Row],[Coluna1]])</f>
        <v>Norte</v>
      </c>
      <c r="K345" s="17" t="e">
        <f>_xlfn.TEXTBEFORE(TabelaClean14[[#This Row],[CidadeCPF]]," | ")</f>
        <v>#N/A</v>
      </c>
      <c r="L345" s="24" t="e">
        <f>_xlfn.TEXTAFTER(TabelaClean14[[#This Row],[CidadeCPF]]," | ")</f>
        <v>#N/A</v>
      </c>
      <c r="M345" s="26">
        <v>16800</v>
      </c>
      <c r="N345" s="78">
        <v>0</v>
      </c>
      <c r="O345" s="1" t="s">
        <v>50</v>
      </c>
      <c r="P34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5" s="84">
        <v>32</v>
      </c>
      <c r="R345" s="1" t="str" cm="1">
        <f t="array" ref="R345">_xlfn.IFS(TabelaClean14[[#This Row],[qtde_batalhas]]&lt;=10,"Baixo",TabelaClean14[[#This Row],[qtde_batalhas]]&gt;=26,"Alto",TabelaClean14[[#This Row],[qtde_batalhas]]&lt;26,"Médio")</f>
        <v>Alto</v>
      </c>
      <c r="S345" s="1" t="str">
        <f>IF(AND(TabelaClean14[[#This Row],[nivel_risco]]="Alto",TabelaClean14[[#This Row],[flag_inadimplente]]="Sim"),"Arriscado","Ok")</f>
        <v>Ok</v>
      </c>
      <c r="T345" s="26">
        <v>61500</v>
      </c>
      <c r="U34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45" s="1"/>
      <c r="Y345" s="16"/>
      <c r="BB345" s="26">
        <v>16800</v>
      </c>
      <c r="BC34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46" spans="1:55">
      <c r="A346" s="24" t="s">
        <v>76</v>
      </c>
      <c r="B346" s="17" t="s">
        <v>499</v>
      </c>
      <c r="C346" s="25" t="s">
        <v>500</v>
      </c>
      <c r="D346" s="54" t="s">
        <v>809</v>
      </c>
      <c r="E346" s="30">
        <v>19168</v>
      </c>
      <c r="F346" s="24" t="str">
        <f>TabelaClean14[[#This Row],[CidadeCPF]]</f>
        <v>Pyke</v>
      </c>
      <c r="G346" s="17" t="str">
        <f>TabelaClean14[[#This Row],[RegiaoCPF]]</f>
        <v>Ilhas De Ferro</v>
      </c>
      <c r="H346" s="17" t="str">
        <f>_xlfn.XLOOKUP(TabelaClean14[[#This Row],[cpf]],TabelaDirty[cpfclean],TabelaDirty[cidade])</f>
        <v>Pyke</v>
      </c>
      <c r="I346" s="17" t="str">
        <f>_xlfn.XLOOKUP(TabelaClean14[[#This Row],[cpf]],TabelaDirty[cpfclean],TabelaDirty[regiao])</f>
        <v>Ilhas de Ferro</v>
      </c>
      <c r="J346" s="17" t="str">
        <f>PROPER(TabelaClean14[[#This Row],[Coluna1]])</f>
        <v>Ilhas De Ferro</v>
      </c>
      <c r="K346" s="17" t="e">
        <f>_xlfn.TEXTBEFORE(TabelaClean14[[#This Row],[CidadeCPF]]," | ")</f>
        <v>#N/A</v>
      </c>
      <c r="L346" s="24" t="e">
        <f>_xlfn.TEXTAFTER(TabelaClean14[[#This Row],[CidadeCPF]]," | ")</f>
        <v>#N/A</v>
      </c>
      <c r="M346" s="26">
        <v>25000</v>
      </c>
      <c r="N346" s="78">
        <v>0</v>
      </c>
      <c r="O346" s="1" t="s">
        <v>50</v>
      </c>
      <c r="P34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6" s="84">
        <v>3</v>
      </c>
      <c r="R346" s="1" t="str" cm="1">
        <f t="array" ref="R346">_xlfn.IFS(TabelaClean14[[#This Row],[qtde_batalhas]]&lt;=10,"Baixo",TabelaClean14[[#This Row],[qtde_batalhas]]&gt;=26,"Alto",TabelaClean14[[#This Row],[qtde_batalhas]]&lt;26,"Médio")</f>
        <v>Baixo</v>
      </c>
      <c r="S346" s="1" t="str">
        <f>IF(AND(TabelaClean14[[#This Row],[nivel_risco]]="Alto",TabelaClean14[[#This Row],[flag_inadimplente]]="Sim"),"Arriscado","Ok")</f>
        <v>Ok</v>
      </c>
      <c r="T346" s="26">
        <v>2500</v>
      </c>
      <c r="U346" s="81">
        <f>IF(AND(TabelaClean14[[#This Row],[analise_risco]]="Arriscado",TabelaClean14[[#This Row],[analise_credito]]="Reprovado"),0,IF(TabelaClean14[[#This Row],[status]]="Ativo",TabelaClean14[[#This Row],[valor_solicitado]]*1.08,0))</f>
        <v>2700</v>
      </c>
      <c r="W346" s="1"/>
      <c r="Y346" s="16"/>
      <c r="BB346" s="26">
        <v>25000</v>
      </c>
      <c r="BC346" s="81">
        <f>IF(AND(TabelaClean14[[#This Row],[analise_risco]]="Arriscado",TabelaClean14[[#This Row],[analise_credito]]="Reprovado"),0,IF(TabelaClean14[[#This Row],[status]]="Ativo",TabelaClean14[[#This Row],[valor_solicitado]]*1.08,0))</f>
        <v>2700</v>
      </c>
    </row>
    <row r="347" spans="1:55">
      <c r="A347" s="29" t="s">
        <v>809</v>
      </c>
      <c r="B347" s="17" t="s">
        <v>971</v>
      </c>
      <c r="C347" s="25" t="s">
        <v>203</v>
      </c>
      <c r="D347" s="54">
        <v>22</v>
      </c>
      <c r="E347" s="30" t="s">
        <v>809</v>
      </c>
      <c r="F347" s="24" t="str">
        <f>TabelaClean14[[#This Row],[CidadeCPF]]</f>
        <v>Meereen</v>
      </c>
      <c r="G347" s="17" t="str">
        <f>TabelaClean14[[#This Row],[RegiaoCPF]]</f>
        <v>Essos</v>
      </c>
      <c r="H347" s="17" t="str">
        <f>_xlfn.XLOOKUP(TabelaClean14[[#This Row],[cpf]],TabelaDirty[cpfclean],TabelaDirty[cidade])</f>
        <v>Meereen</v>
      </c>
      <c r="I347" s="17" t="str">
        <f>_xlfn.XLOOKUP(TabelaClean14[[#This Row],[cpf]],TabelaDirty[cpfclean],TabelaDirty[regiao])</f>
        <v>Essos</v>
      </c>
      <c r="J347" s="17" t="str">
        <f>PROPER(TabelaClean14[[#This Row],[Coluna1]])</f>
        <v>Essos</v>
      </c>
      <c r="K347" s="17" t="e">
        <f>_xlfn.TEXTBEFORE(TabelaClean14[[#This Row],[CidadeCPF]]," | ")</f>
        <v>#N/A</v>
      </c>
      <c r="L347" s="24" t="e">
        <f>_xlfn.TEXTAFTER(TabelaClean14[[#This Row],[CidadeCPF]]," | ")</f>
        <v>#N/A</v>
      </c>
      <c r="M347" s="26">
        <v>14400</v>
      </c>
      <c r="N347" s="78">
        <v>0</v>
      </c>
      <c r="O347" s="1" t="s">
        <v>50</v>
      </c>
      <c r="P34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7" s="84">
        <v>27</v>
      </c>
      <c r="R347" s="1" t="str" cm="1">
        <f t="array" ref="R347">_xlfn.IFS(TabelaClean14[[#This Row],[qtde_batalhas]]&lt;=10,"Baixo",TabelaClean14[[#This Row],[qtde_batalhas]]&gt;=26,"Alto",TabelaClean14[[#This Row],[qtde_batalhas]]&lt;26,"Médio")</f>
        <v>Alto</v>
      </c>
      <c r="S347" s="1" t="str">
        <f>IF(AND(TabelaClean14[[#This Row],[nivel_risco]]="Alto",TabelaClean14[[#This Row],[flag_inadimplente]]="Sim"),"Arriscado","Ok")</f>
        <v>Ok</v>
      </c>
      <c r="T347" s="26">
        <v>33500</v>
      </c>
      <c r="U34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47" s="1"/>
      <c r="Y347" s="16"/>
      <c r="BB347" s="26">
        <v>14400</v>
      </c>
      <c r="BC347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48" spans="1:55">
      <c r="A348" s="29" t="s">
        <v>809</v>
      </c>
      <c r="B348" s="17" t="s">
        <v>205</v>
      </c>
      <c r="C348" s="25" t="s">
        <v>206</v>
      </c>
      <c r="D348" s="54">
        <v>39</v>
      </c>
      <c r="E348" s="30">
        <v>31879</v>
      </c>
      <c r="F348" s="24" t="str">
        <f>TabelaClean14[[#This Row],[CidadeCPF]]</f>
        <v>Vilavelha</v>
      </c>
      <c r="G348" s="17" t="str">
        <f>TabelaClean14[[#This Row],[RegiaoCPF]]</f>
        <v>Campina</v>
      </c>
      <c r="H348" s="17" t="str">
        <f>_xlfn.XLOOKUP(TabelaClean14[[#This Row],[cpf]],TabelaDirty[cpfclean],TabelaDirty[cidade])</f>
        <v>Vilavelha</v>
      </c>
      <c r="I348" s="17" t="str">
        <f>_xlfn.XLOOKUP(TabelaClean14[[#This Row],[cpf]],TabelaDirty[cpfclean],TabelaDirty[regiao])</f>
        <v>Campina</v>
      </c>
      <c r="J348" s="17" t="str">
        <f>PROPER(TabelaClean14[[#This Row],[Coluna1]])</f>
        <v>Campina</v>
      </c>
      <c r="K348" s="17" t="e">
        <f>_xlfn.TEXTBEFORE(TabelaClean14[[#This Row],[CidadeCPF]]," | ")</f>
        <v>#N/A</v>
      </c>
      <c r="L348" s="24" t="e">
        <f>_xlfn.TEXTAFTER(TabelaClean14[[#This Row],[CidadeCPF]]," | ")</f>
        <v>#N/A</v>
      </c>
      <c r="M348" s="26">
        <v>29900</v>
      </c>
      <c r="N348" s="78">
        <v>0</v>
      </c>
      <c r="O348" s="1" t="s">
        <v>50</v>
      </c>
      <c r="P34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8" s="84">
        <v>39</v>
      </c>
      <c r="R348" s="1" t="str" cm="1">
        <f t="array" ref="R348">_xlfn.IFS(TabelaClean14[[#This Row],[qtde_batalhas]]&lt;=10,"Baixo",TabelaClean14[[#This Row],[qtde_batalhas]]&gt;=26,"Alto",TabelaClean14[[#This Row],[qtde_batalhas]]&lt;26,"Médio")</f>
        <v>Alto</v>
      </c>
      <c r="S348" s="1" t="str">
        <f>IF(AND(TabelaClean14[[#This Row],[nivel_risco]]="Alto",TabelaClean14[[#This Row],[flag_inadimplente]]="Sim"),"Arriscado","Ok")</f>
        <v>Ok</v>
      </c>
      <c r="T348" s="26">
        <v>75000</v>
      </c>
      <c r="U34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48" s="1"/>
      <c r="Y348" s="16"/>
      <c r="BB348" s="26">
        <v>29900</v>
      </c>
      <c r="BC34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49" spans="1:55">
      <c r="A349" s="24" t="s">
        <v>81</v>
      </c>
      <c r="B349" s="17" t="s">
        <v>591</v>
      </c>
      <c r="C349" s="25" t="s">
        <v>972</v>
      </c>
      <c r="D349" s="54">
        <v>57</v>
      </c>
      <c r="E349" s="30">
        <v>25206</v>
      </c>
      <c r="F349" s="24" t="str">
        <f>TabelaClean14[[#This Row],[CidadeCPF]]</f>
        <v>Correrrio</v>
      </c>
      <c r="G349" s="17" t="str">
        <f>TabelaClean14[[#This Row],[RegiaoCPF]]</f>
        <v>Terras Fluviais</v>
      </c>
      <c r="H349" s="17" t="str">
        <f>_xlfn.XLOOKUP(TabelaClean14[[#This Row],[cpf]],TabelaDirty[cpfclean],TabelaDirty[cidade])</f>
        <v>Correrrio</v>
      </c>
      <c r="I349" s="17" t="str">
        <f>_xlfn.XLOOKUP(TabelaClean14[[#This Row],[cpf]],TabelaDirty[cpfclean],TabelaDirty[regiao])</f>
        <v>terras fluviais</v>
      </c>
      <c r="J349" s="17" t="str">
        <f>PROPER(TabelaClean14[[#This Row],[Coluna1]])</f>
        <v>Terras Fluviais</v>
      </c>
      <c r="K349" s="17" t="e">
        <f>_xlfn.TEXTBEFORE(TabelaClean14[[#This Row],[CidadeCPF]]," | ")</f>
        <v>#N/A</v>
      </c>
      <c r="L349" s="24" t="e">
        <f>_xlfn.TEXTAFTER(TabelaClean14[[#This Row],[CidadeCPF]]," | ")</f>
        <v>#N/A</v>
      </c>
      <c r="M349" s="26">
        <v>3400</v>
      </c>
      <c r="N349" s="78">
        <v>0</v>
      </c>
      <c r="O349" s="1" t="s">
        <v>50</v>
      </c>
      <c r="P34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49" s="84">
        <v>20</v>
      </c>
      <c r="R349" s="1" t="str" cm="1">
        <f t="array" ref="R349">_xlfn.IFS(TabelaClean14[[#This Row],[qtde_batalhas]]&lt;=10,"Baixo",TabelaClean14[[#This Row],[qtde_batalhas]]&gt;=26,"Alto",TabelaClean14[[#This Row],[qtde_batalhas]]&lt;26,"Médio")</f>
        <v>Médio</v>
      </c>
      <c r="S349" s="1" t="str">
        <f>IF(AND(TabelaClean14[[#This Row],[nivel_risco]]="Alto",TabelaClean14[[#This Row],[flag_inadimplente]]="Sim"),"Arriscado","Ok")</f>
        <v>Ok</v>
      </c>
      <c r="T349" s="26">
        <v>19500</v>
      </c>
      <c r="U34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49" s="1"/>
      <c r="Y349" s="16"/>
      <c r="BB349" s="26">
        <v>3400</v>
      </c>
      <c r="BC349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50" spans="1:55">
      <c r="A350" s="24" t="s">
        <v>81</v>
      </c>
      <c r="B350" s="17" t="s">
        <v>973</v>
      </c>
      <c r="C350" s="25" t="s">
        <v>328</v>
      </c>
      <c r="D350" s="54" t="s">
        <v>809</v>
      </c>
      <c r="E350" s="30">
        <v>19672</v>
      </c>
      <c r="F350" s="24" t="str">
        <f>TabelaClean14[[#This Row],[CidadeCPF]]</f>
        <v>Dorne</v>
      </c>
      <c r="G350" s="17" t="str">
        <f>TabelaClean14[[#This Row],[RegiaoCPF]]</f>
        <v>Dorne</v>
      </c>
      <c r="H350" s="17" t="str">
        <f>_xlfn.XLOOKUP(TabelaClean14[[#This Row],[cpf]],TabelaDirty[cpfclean],TabelaDirty[cidade])</f>
        <v>Dorne</v>
      </c>
      <c r="I350" s="17" t="str">
        <f>_xlfn.XLOOKUP(TabelaClean14[[#This Row],[cpf]],TabelaDirty[cpfclean],TabelaDirty[regiao])</f>
        <v>Dorne</v>
      </c>
      <c r="J350" s="17" t="str">
        <f>PROPER(TabelaClean14[[#This Row],[Coluna1]])</f>
        <v>Dorne</v>
      </c>
      <c r="K350" s="17" t="e">
        <f>_xlfn.TEXTBEFORE(TabelaClean14[[#This Row],[CidadeCPF]]," | ")</f>
        <v>#N/A</v>
      </c>
      <c r="L350" s="24" t="e">
        <f>_xlfn.TEXTAFTER(TabelaClean14[[#This Row],[CidadeCPF]]," | ")</f>
        <v>#N/A</v>
      </c>
      <c r="M350" s="26">
        <v>21000</v>
      </c>
      <c r="N350" s="78">
        <v>0</v>
      </c>
      <c r="O350" s="1" t="s">
        <v>50</v>
      </c>
      <c r="P35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0" s="84">
        <v>11</v>
      </c>
      <c r="R350" s="1" t="str" cm="1">
        <f t="array" ref="R350">_xlfn.IFS(TabelaClean14[[#This Row],[qtde_batalhas]]&lt;=10,"Baixo",TabelaClean14[[#This Row],[qtde_batalhas]]&gt;=26,"Alto",TabelaClean14[[#This Row],[qtde_batalhas]]&lt;26,"Médio")</f>
        <v>Médio</v>
      </c>
      <c r="S350" s="1" t="str">
        <f>IF(AND(TabelaClean14[[#This Row],[nivel_risco]]="Alto",TabelaClean14[[#This Row],[flag_inadimplente]]="Sim"),"Arriscado","Ok")</f>
        <v>Ok</v>
      </c>
      <c r="T350" s="26">
        <v>75500</v>
      </c>
      <c r="U35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50" s="1"/>
      <c r="Y350" s="16"/>
      <c r="BB350" s="26">
        <v>21000</v>
      </c>
      <c r="BC35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51" spans="1:55">
      <c r="A351" s="24" t="s">
        <v>76</v>
      </c>
      <c r="B351" s="17" t="s">
        <v>713</v>
      </c>
      <c r="C351" s="25" t="s">
        <v>714</v>
      </c>
      <c r="D351" s="54">
        <v>64</v>
      </c>
      <c r="E351" s="30">
        <v>22845</v>
      </c>
      <c r="F351" s="24" t="str">
        <f>TabelaClean14[[#This Row],[CidadeCPF]]</f>
        <v>Fosso Cailin</v>
      </c>
      <c r="G351" s="17" t="str">
        <f>TabelaClean14[[#This Row],[RegiaoCPF]]</f>
        <v>Norte</v>
      </c>
      <c r="H351" s="17" t="str">
        <f>_xlfn.XLOOKUP(TabelaClean14[[#This Row],[cpf]],TabelaDirty[cpfclean],TabelaDirty[cidade])</f>
        <v>Fosso Cailin</v>
      </c>
      <c r="I351" s="17" t="str">
        <f>_xlfn.XLOOKUP(TabelaClean14[[#This Row],[cpf]],TabelaDirty[cpfclean],TabelaDirty[regiao])</f>
        <v>norte</v>
      </c>
      <c r="J351" s="17" t="str">
        <f>PROPER(TabelaClean14[[#This Row],[Coluna1]])</f>
        <v>Norte</v>
      </c>
      <c r="K351" s="17" t="e">
        <f>_xlfn.TEXTBEFORE(TabelaClean14[[#This Row],[CidadeCPF]]," | ")</f>
        <v>#N/A</v>
      </c>
      <c r="L351" s="24" t="e">
        <f>_xlfn.TEXTAFTER(TabelaClean14[[#This Row],[CidadeCPF]]," | ")</f>
        <v>#N/A</v>
      </c>
      <c r="M351" s="26">
        <v>12700</v>
      </c>
      <c r="N351" s="78">
        <v>0</v>
      </c>
      <c r="O351" s="1" t="s">
        <v>50</v>
      </c>
      <c r="P35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1" s="84">
        <v>21</v>
      </c>
      <c r="R351" s="1" t="str" cm="1">
        <f t="array" ref="R351">_xlfn.IFS(TabelaClean14[[#This Row],[qtde_batalhas]]&lt;=10,"Baixo",TabelaClean14[[#This Row],[qtde_batalhas]]&gt;=26,"Alto",TabelaClean14[[#This Row],[qtde_batalhas]]&lt;26,"Médio")</f>
        <v>Médio</v>
      </c>
      <c r="S351" s="1" t="str">
        <f>IF(AND(TabelaClean14[[#This Row],[nivel_risco]]="Alto",TabelaClean14[[#This Row],[flag_inadimplente]]="Sim"),"Arriscado","Ok")</f>
        <v>Ok</v>
      </c>
      <c r="T351" s="26">
        <v>50500</v>
      </c>
      <c r="U351" s="81">
        <f>IF(AND(TabelaClean14[[#This Row],[analise_risco]]="Arriscado",TabelaClean14[[#This Row],[analise_credito]]="Reprovado"),0,IF(TabelaClean14[[#This Row],[status]]="Ativo",TabelaClean14[[#This Row],[valor_solicitado]]*1.08,0))</f>
        <v>54540</v>
      </c>
      <c r="W351" s="1"/>
      <c r="Y351" s="16"/>
      <c r="BB351" s="26">
        <v>12700</v>
      </c>
      <c r="BC351" s="81">
        <f>IF(AND(TabelaClean14[[#This Row],[analise_risco]]="Arriscado",TabelaClean14[[#This Row],[analise_credito]]="Reprovado"),0,IF(TabelaClean14[[#This Row],[status]]="Ativo",TabelaClean14[[#This Row],[valor_solicitado]]*1.08,0))</f>
        <v>54540</v>
      </c>
    </row>
    <row r="352" spans="1:55">
      <c r="A352" s="24" t="s">
        <v>76</v>
      </c>
      <c r="B352" s="17" t="s">
        <v>766</v>
      </c>
      <c r="C352" s="25" t="s">
        <v>767</v>
      </c>
      <c r="D352" s="54">
        <v>60</v>
      </c>
      <c r="E352" s="30">
        <v>24202</v>
      </c>
      <c r="F352" s="24" t="str">
        <f>TabelaClean14[[#This Row],[CidadeCPF]]</f>
        <v>Solar do Entardecer</v>
      </c>
      <c r="G352" s="17" t="str">
        <f>TabelaClean14[[#This Row],[RegiaoCPF]]</f>
        <v>Terras Da Tempestade</v>
      </c>
      <c r="H352" s="17" t="str">
        <f>_xlfn.XLOOKUP(TabelaClean14[[#This Row],[cpf]],TabelaDirty[cpfclean],TabelaDirty[cidade])</f>
        <v>Solar do Entardecer</v>
      </c>
      <c r="I352" s="17" t="str">
        <f>_xlfn.XLOOKUP(TabelaClean14[[#This Row],[cpf]],TabelaDirty[cpfclean],TabelaDirty[regiao])</f>
        <v>Terras da Tempestade</v>
      </c>
      <c r="J352" s="17" t="str">
        <f>PROPER(TabelaClean14[[#This Row],[Coluna1]])</f>
        <v>Terras Da Tempestade</v>
      </c>
      <c r="K352" s="17" t="e">
        <f>_xlfn.TEXTBEFORE(TabelaClean14[[#This Row],[CidadeCPF]]," | ")</f>
        <v>#N/A</v>
      </c>
      <c r="L352" s="24" t="e">
        <f>_xlfn.TEXTAFTER(TabelaClean14[[#This Row],[CidadeCPF]]," | ")</f>
        <v>#N/A</v>
      </c>
      <c r="M352" s="26">
        <v>5500</v>
      </c>
      <c r="N352" s="78">
        <v>0</v>
      </c>
      <c r="O352" s="1" t="s">
        <v>50</v>
      </c>
      <c r="P35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2" s="84">
        <v>26</v>
      </c>
      <c r="R352" s="1" t="str" cm="1">
        <f t="array" ref="R352">_xlfn.IFS(TabelaClean14[[#This Row],[qtde_batalhas]]&lt;=10,"Baixo",TabelaClean14[[#This Row],[qtde_batalhas]]&gt;=26,"Alto",TabelaClean14[[#This Row],[qtde_batalhas]]&lt;26,"Médio")</f>
        <v>Alto</v>
      </c>
      <c r="S352" s="1" t="str">
        <f>IF(AND(TabelaClean14[[#This Row],[nivel_risco]]="Alto",TabelaClean14[[#This Row],[flag_inadimplente]]="Sim"),"Arriscado","Ok")</f>
        <v>Ok</v>
      </c>
      <c r="T352" s="26">
        <v>52500</v>
      </c>
      <c r="U352" s="81">
        <f>IF(AND(TabelaClean14[[#This Row],[analise_risco]]="Arriscado",TabelaClean14[[#This Row],[analise_credito]]="Reprovado"),0,IF(TabelaClean14[[#This Row],[status]]="Ativo",TabelaClean14[[#This Row],[valor_solicitado]]*1.08,0))</f>
        <v>56700.000000000007</v>
      </c>
      <c r="W352" s="1"/>
      <c r="Y352" s="16"/>
      <c r="BB352" s="26">
        <v>5500</v>
      </c>
      <c r="BC352" s="81">
        <f>IF(AND(TabelaClean14[[#This Row],[analise_risco]]="Arriscado",TabelaClean14[[#This Row],[analise_credito]]="Reprovado"),0,IF(TabelaClean14[[#This Row],[status]]="Ativo",TabelaClean14[[#This Row],[valor_solicitado]]*1.08,0))</f>
        <v>56700.000000000007</v>
      </c>
    </row>
    <row r="353" spans="1:55">
      <c r="A353" s="24" t="s">
        <v>76</v>
      </c>
      <c r="B353" s="17" t="s">
        <v>706</v>
      </c>
      <c r="C353" s="25" t="s">
        <v>974</v>
      </c>
      <c r="D353" s="54">
        <v>73</v>
      </c>
      <c r="E353" s="30">
        <v>19323</v>
      </c>
      <c r="F353" s="24" t="str">
        <f>TabelaClean14[[#This Row],[CidadeCPF]]</f>
        <v>Atalaia da Água Cinzenta</v>
      </c>
      <c r="G353" s="17" t="str">
        <f>TabelaClean14[[#This Row],[RegiaoCPF]]</f>
        <v>Gargalo</v>
      </c>
      <c r="H353" s="17" t="str">
        <f>_xlfn.XLOOKUP(TabelaClean14[[#This Row],[cpf]],TabelaDirty[cpfclean],TabelaDirty[cidade])</f>
        <v>Atalaia da Água Cinzenta</v>
      </c>
      <c r="I353" s="17" t="str">
        <f>_xlfn.XLOOKUP(TabelaClean14[[#This Row],[cpf]],TabelaDirty[cpfclean],TabelaDirty[regiao])</f>
        <v>Gargalo</v>
      </c>
      <c r="J353" s="17" t="str">
        <f>PROPER(TabelaClean14[[#This Row],[Coluna1]])</f>
        <v>Gargalo</v>
      </c>
      <c r="K353" s="17" t="e">
        <f>_xlfn.TEXTBEFORE(TabelaClean14[[#This Row],[CidadeCPF]]," | ")</f>
        <v>#N/A</v>
      </c>
      <c r="L353" s="24" t="e">
        <f>_xlfn.TEXTAFTER(TabelaClean14[[#This Row],[CidadeCPF]]," | ")</f>
        <v>#N/A</v>
      </c>
      <c r="M353" s="26">
        <v>18100</v>
      </c>
      <c r="N353" s="78">
        <v>0</v>
      </c>
      <c r="O353" s="1" t="s">
        <v>50</v>
      </c>
      <c r="P35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3" s="84">
        <v>36</v>
      </c>
      <c r="R353" s="1" t="str" cm="1">
        <f t="array" ref="R353">_xlfn.IFS(TabelaClean14[[#This Row],[qtde_batalhas]]&lt;=10,"Baixo",TabelaClean14[[#This Row],[qtde_batalhas]]&gt;=26,"Alto",TabelaClean14[[#This Row],[qtde_batalhas]]&lt;26,"Médio")</f>
        <v>Alto</v>
      </c>
      <c r="S353" s="1" t="str">
        <f>IF(AND(TabelaClean14[[#This Row],[nivel_risco]]="Alto",TabelaClean14[[#This Row],[flag_inadimplente]]="Sim"),"Arriscado","Ok")</f>
        <v>Ok</v>
      </c>
      <c r="T353" s="26">
        <v>89000</v>
      </c>
      <c r="U353" s="81">
        <f>IF(AND(TabelaClean14[[#This Row],[analise_risco]]="Arriscado",TabelaClean14[[#This Row],[analise_credito]]="Reprovado"),0,IF(TabelaClean14[[#This Row],[status]]="Ativo",TabelaClean14[[#This Row],[valor_solicitado]]*1.08,0))</f>
        <v>96120</v>
      </c>
      <c r="W353" s="1"/>
      <c r="Y353" s="16"/>
      <c r="BB353" s="26">
        <v>18100</v>
      </c>
      <c r="BC353" s="81">
        <f>IF(AND(TabelaClean14[[#This Row],[analise_risco]]="Arriscado",TabelaClean14[[#This Row],[analise_credito]]="Reprovado"),0,IF(TabelaClean14[[#This Row],[status]]="Ativo",TabelaClean14[[#This Row],[valor_solicitado]]*1.08,0))</f>
        <v>96120</v>
      </c>
    </row>
    <row r="354" spans="1:55">
      <c r="A354" s="24" t="s">
        <v>81</v>
      </c>
      <c r="B354" s="17" t="s">
        <v>364</v>
      </c>
      <c r="C354" s="25" t="s">
        <v>975</v>
      </c>
      <c r="D354" s="54" t="s">
        <v>976</v>
      </c>
      <c r="E354" s="30">
        <v>34387</v>
      </c>
      <c r="F354" s="24" t="s">
        <v>812</v>
      </c>
      <c r="G354" s="17" t="str">
        <f>TabelaClean14[[#This Row],[RegiaoCPF]]</f>
        <v>Null</v>
      </c>
      <c r="H354" s="17" t="e">
        <f>_xlfn.XLOOKUP(TabelaClean14[[#This Row],[cpf]],TabelaDirty[cpfclean],TabelaDirty[cidade])</f>
        <v>#N/A</v>
      </c>
      <c r="I354" s="17" t="e">
        <f>_xlfn.XLOOKUP(TabelaClean14[[#This Row],[cpf]],TabelaDirty[cpfclean],TabelaDirty[regiao])</f>
        <v>#N/A</v>
      </c>
      <c r="J354" s="17" t="s">
        <v>812</v>
      </c>
      <c r="K354" s="17" t="e">
        <f>_xlfn.TEXTBEFORE(TabelaClean14[[#This Row],[CidadeCPF]]," | ")</f>
        <v>#N/A</v>
      </c>
      <c r="L354" s="24" t="e">
        <f>_xlfn.TEXTAFTER(TabelaClean14[[#This Row],[CidadeCPF]]," | ")</f>
        <v>#N/A</v>
      </c>
      <c r="M354" s="26">
        <v>20500</v>
      </c>
      <c r="N354" s="78">
        <v>0</v>
      </c>
      <c r="O354" s="1" t="s">
        <v>50</v>
      </c>
      <c r="P35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4" s="84">
        <v>41</v>
      </c>
      <c r="R354" s="1" t="str" cm="1">
        <f t="array" ref="R354">_xlfn.IFS(TabelaClean14[[#This Row],[qtde_batalhas]]&lt;=10,"Baixo",TabelaClean14[[#This Row],[qtde_batalhas]]&gt;=26,"Alto",TabelaClean14[[#This Row],[qtde_batalhas]]&lt;26,"Médio")</f>
        <v>Alto</v>
      </c>
      <c r="S354" s="1" t="str">
        <f>IF(AND(TabelaClean14[[#This Row],[nivel_risco]]="Alto",TabelaClean14[[#This Row],[flag_inadimplente]]="Sim"),"Arriscado","Ok")</f>
        <v>Ok</v>
      </c>
      <c r="T354" s="26">
        <v>54500</v>
      </c>
      <c r="U35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54" s="1"/>
      <c r="Y354" s="16"/>
      <c r="BB354" s="26">
        <v>20500</v>
      </c>
      <c r="BC354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55" spans="1:55">
      <c r="A355" s="24" t="s">
        <v>76</v>
      </c>
      <c r="B355" s="17" t="s">
        <v>271</v>
      </c>
      <c r="C355" s="25" t="s">
        <v>272</v>
      </c>
      <c r="D355" s="54">
        <v>33</v>
      </c>
      <c r="E355" s="30">
        <v>34027</v>
      </c>
      <c r="F355" s="24" t="str">
        <f>TabelaClean14[[#This Row],[CidadeCPF]]</f>
        <v>Braavos</v>
      </c>
      <c r="G355" s="17" t="str">
        <f>TabelaClean14[[#This Row],[RegiaoCPF]]</f>
        <v>Essos</v>
      </c>
      <c r="H355" s="17" t="str">
        <f>_xlfn.XLOOKUP(TabelaClean14[[#This Row],[cpf]],TabelaDirty[cpfclean],TabelaDirty[cidade])</f>
        <v>Braavos</v>
      </c>
      <c r="I355" s="17" t="str">
        <f>_xlfn.XLOOKUP(TabelaClean14[[#This Row],[cpf]],TabelaDirty[cpfclean],TabelaDirty[regiao])</f>
        <v>essos</v>
      </c>
      <c r="J355" s="17" t="str">
        <f>PROPER(TabelaClean14[[#This Row],[Coluna1]])</f>
        <v>Essos</v>
      </c>
      <c r="K355" s="17" t="e">
        <f>_xlfn.TEXTBEFORE(TabelaClean14[[#This Row],[CidadeCPF]]," | ")</f>
        <v>#N/A</v>
      </c>
      <c r="L355" s="24" t="e">
        <f>_xlfn.TEXTAFTER(TabelaClean14[[#This Row],[CidadeCPF]]," | ")</f>
        <v>#N/A</v>
      </c>
      <c r="M355" s="26">
        <v>3400</v>
      </c>
      <c r="N355" s="78">
        <v>0</v>
      </c>
      <c r="O355" s="1" t="s">
        <v>50</v>
      </c>
      <c r="P35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5" s="84">
        <v>13</v>
      </c>
      <c r="R355" s="1" t="str" cm="1">
        <f t="array" ref="R355">_xlfn.IFS(TabelaClean14[[#This Row],[qtde_batalhas]]&lt;=10,"Baixo",TabelaClean14[[#This Row],[qtde_batalhas]]&gt;=26,"Alto",TabelaClean14[[#This Row],[qtde_batalhas]]&lt;26,"Médio")</f>
        <v>Médio</v>
      </c>
      <c r="S355" s="1" t="str">
        <f>IF(AND(TabelaClean14[[#This Row],[nivel_risco]]="Alto",TabelaClean14[[#This Row],[flag_inadimplente]]="Sim"),"Arriscado","Ok")</f>
        <v>Ok</v>
      </c>
      <c r="T355" s="26">
        <v>70000</v>
      </c>
      <c r="U355" s="81">
        <f>IF(AND(TabelaClean14[[#This Row],[analise_risco]]="Arriscado",TabelaClean14[[#This Row],[analise_credito]]="Reprovado"),0,IF(TabelaClean14[[#This Row],[status]]="Ativo",TabelaClean14[[#This Row],[valor_solicitado]]*1.08,0))</f>
        <v>75600</v>
      </c>
      <c r="W355" s="1"/>
      <c r="Y355" s="16"/>
      <c r="BB355" s="26">
        <v>3400</v>
      </c>
      <c r="BC355" s="81">
        <f>IF(AND(TabelaClean14[[#This Row],[analise_risco]]="Arriscado",TabelaClean14[[#This Row],[analise_credito]]="Reprovado"),0,IF(TabelaClean14[[#This Row],[status]]="Ativo",TabelaClean14[[#This Row],[valor_solicitado]]*1.08,0))</f>
        <v>75600</v>
      </c>
    </row>
    <row r="356" spans="1:55">
      <c r="A356" s="24" t="s">
        <v>76</v>
      </c>
      <c r="B356" s="17" t="s">
        <v>536</v>
      </c>
      <c r="C356" s="25" t="s">
        <v>977</v>
      </c>
      <c r="D356" s="54" t="s">
        <v>809</v>
      </c>
      <c r="E356" s="30">
        <v>31337</v>
      </c>
      <c r="F356" s="24" t="str">
        <f>TabelaClean14[[#This Row],[CidadeCPF]]</f>
        <v>Harrenhal</v>
      </c>
      <c r="G356" s="17" t="str">
        <f>TabelaClean14[[#This Row],[RegiaoCPF]]</f>
        <v>Terras Fluviais</v>
      </c>
      <c r="H356" s="17" t="str">
        <f>_xlfn.XLOOKUP(TabelaClean14[[#This Row],[cpf]],TabelaDirty[cpfclean],TabelaDirty[cidade])</f>
        <v>Harrenhal</v>
      </c>
      <c r="I356" s="17" t="str">
        <f>_xlfn.XLOOKUP(TabelaClean14[[#This Row],[cpf]],TabelaDirty[cpfclean],TabelaDirty[regiao])</f>
        <v>Terras Fluviais</v>
      </c>
      <c r="J356" s="17" t="str">
        <f>PROPER(TabelaClean14[[#This Row],[Coluna1]])</f>
        <v>Terras Fluviais</v>
      </c>
      <c r="K356" s="17" t="e">
        <f>_xlfn.TEXTBEFORE(TabelaClean14[[#This Row],[CidadeCPF]]," | ")</f>
        <v>#N/A</v>
      </c>
      <c r="L356" s="24" t="e">
        <f>_xlfn.TEXTAFTER(TabelaClean14[[#This Row],[CidadeCPF]]," | ")</f>
        <v>#N/A</v>
      </c>
      <c r="M356" s="26">
        <v>14000</v>
      </c>
      <c r="N356" s="78">
        <v>0</v>
      </c>
      <c r="O356" s="1" t="s">
        <v>50</v>
      </c>
      <c r="P35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6" s="84">
        <v>24</v>
      </c>
      <c r="R356" s="1" t="str" cm="1">
        <f t="array" ref="R356">_xlfn.IFS(TabelaClean14[[#This Row],[qtde_batalhas]]&lt;=10,"Baixo",TabelaClean14[[#This Row],[qtde_batalhas]]&gt;=26,"Alto",TabelaClean14[[#This Row],[qtde_batalhas]]&lt;26,"Médio")</f>
        <v>Médio</v>
      </c>
      <c r="S356" s="1" t="str">
        <f>IF(AND(TabelaClean14[[#This Row],[nivel_risco]]="Alto",TabelaClean14[[#This Row],[flag_inadimplente]]="Sim"),"Arriscado","Ok")</f>
        <v>Ok</v>
      </c>
      <c r="T356" s="26">
        <v>82000</v>
      </c>
      <c r="U356" s="81">
        <f>IF(AND(TabelaClean14[[#This Row],[analise_risco]]="Arriscado",TabelaClean14[[#This Row],[analise_credito]]="Reprovado"),0,IF(TabelaClean14[[#This Row],[status]]="Ativo",TabelaClean14[[#This Row],[valor_solicitado]]*1.08,0))</f>
        <v>88560</v>
      </c>
      <c r="W356" s="1"/>
      <c r="Y356" s="16"/>
      <c r="BB356" s="26">
        <v>14000</v>
      </c>
      <c r="BC356" s="81">
        <f>IF(AND(TabelaClean14[[#This Row],[analise_risco]]="Arriscado",TabelaClean14[[#This Row],[analise_credito]]="Reprovado"),0,IF(TabelaClean14[[#This Row],[status]]="Ativo",TabelaClean14[[#This Row],[valor_solicitado]]*1.08,0))</f>
        <v>88560</v>
      </c>
    </row>
    <row r="357" spans="1:55">
      <c r="A357" s="24" t="s">
        <v>76</v>
      </c>
      <c r="B357" s="17" t="s">
        <v>228</v>
      </c>
      <c r="C357" s="25" t="s">
        <v>229</v>
      </c>
      <c r="D357" s="54">
        <v>42</v>
      </c>
      <c r="E357" s="30">
        <v>30662</v>
      </c>
      <c r="F357" s="24" t="str">
        <f>TabelaClean14[[#This Row],[CidadeCPF]]</f>
        <v>Castelo Negro</v>
      </c>
      <c r="G357" s="17" t="str">
        <f>TabelaClean14[[#This Row],[RegiaoCPF]]</f>
        <v>Norte</v>
      </c>
      <c r="H357" s="17" t="str">
        <f>_xlfn.XLOOKUP(TabelaClean14[[#This Row],[cpf]],TabelaDirty[cpfclean],TabelaDirty[cidade])</f>
        <v>Castelo Negro</v>
      </c>
      <c r="I357" s="17" t="str">
        <f>_xlfn.XLOOKUP(TabelaClean14[[#This Row],[cpf]],TabelaDirty[cpfclean],TabelaDirty[regiao])</f>
        <v>NORTE</v>
      </c>
      <c r="J357" s="17" t="str">
        <f>PROPER(TabelaClean14[[#This Row],[Coluna1]])</f>
        <v>Norte</v>
      </c>
      <c r="K357" s="17" t="e">
        <f>_xlfn.TEXTBEFORE(TabelaClean14[[#This Row],[CidadeCPF]]," | ")</f>
        <v>#N/A</v>
      </c>
      <c r="L357" s="24" t="e">
        <f>_xlfn.TEXTAFTER(TabelaClean14[[#This Row],[CidadeCPF]]," | ")</f>
        <v>#N/A</v>
      </c>
      <c r="M357" s="26">
        <v>20400</v>
      </c>
      <c r="N357" s="78">
        <v>0</v>
      </c>
      <c r="O357" s="1" t="s">
        <v>50</v>
      </c>
      <c r="P35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7" s="84">
        <v>0</v>
      </c>
      <c r="R357" s="1" t="str" cm="1">
        <f t="array" ref="R357">_xlfn.IFS(TabelaClean14[[#This Row],[qtde_batalhas]]&lt;=10,"Baixo",TabelaClean14[[#This Row],[qtde_batalhas]]&gt;=26,"Alto",TabelaClean14[[#This Row],[qtde_batalhas]]&lt;26,"Médio")</f>
        <v>Baixo</v>
      </c>
      <c r="S357" s="1" t="str">
        <f>IF(AND(TabelaClean14[[#This Row],[nivel_risco]]="Alto",TabelaClean14[[#This Row],[flag_inadimplente]]="Sim"),"Arriscado","Ok")</f>
        <v>Ok</v>
      </c>
      <c r="T357" s="26">
        <v>81000</v>
      </c>
      <c r="U357" s="81">
        <f>IF(AND(TabelaClean14[[#This Row],[analise_risco]]="Arriscado",TabelaClean14[[#This Row],[analise_credito]]="Reprovado"),0,IF(TabelaClean14[[#This Row],[status]]="Ativo",TabelaClean14[[#This Row],[valor_solicitado]]*1.08,0))</f>
        <v>87480</v>
      </c>
      <c r="W357" s="1"/>
      <c r="Y357" s="16"/>
      <c r="BB357" s="26">
        <v>20400</v>
      </c>
      <c r="BC357" s="81">
        <f>IF(AND(TabelaClean14[[#This Row],[analise_risco]]="Arriscado",TabelaClean14[[#This Row],[analise_credito]]="Reprovado"),0,IF(TabelaClean14[[#This Row],[status]]="Ativo",TabelaClean14[[#This Row],[valor_solicitado]]*1.08,0))</f>
        <v>87480</v>
      </c>
    </row>
    <row r="358" spans="1:55">
      <c r="A358" s="24" t="s">
        <v>81</v>
      </c>
      <c r="B358" s="17" t="s">
        <v>783</v>
      </c>
      <c r="C358" s="25" t="s">
        <v>784</v>
      </c>
      <c r="D358" s="54">
        <v>51</v>
      </c>
      <c r="E358" s="30">
        <v>27590</v>
      </c>
      <c r="F358" s="24" t="str">
        <f>TabelaClean14[[#This Row],[CidadeCPF]]</f>
        <v>Monte Chifre</v>
      </c>
      <c r="G358" s="17" t="str">
        <f>TabelaClean14[[#This Row],[RegiaoCPF]]</f>
        <v>Campina</v>
      </c>
      <c r="H358" s="17" t="str">
        <f>_xlfn.XLOOKUP(TabelaClean14[[#This Row],[cpf]],TabelaDirty[cpfclean],TabelaDirty[cidade])</f>
        <v>Monte Chifre</v>
      </c>
      <c r="I358" s="17" t="str">
        <f>_xlfn.XLOOKUP(TabelaClean14[[#This Row],[cpf]],TabelaDirty[cpfclean],TabelaDirty[regiao])</f>
        <v>Campina</v>
      </c>
      <c r="J358" s="17" t="str">
        <f>PROPER(TabelaClean14[[#This Row],[Coluna1]])</f>
        <v>Campina</v>
      </c>
      <c r="K358" s="17" t="e">
        <f>_xlfn.TEXTBEFORE(TabelaClean14[[#This Row],[CidadeCPF]]," | ")</f>
        <v>#N/A</v>
      </c>
      <c r="L358" s="24" t="e">
        <f>_xlfn.TEXTAFTER(TabelaClean14[[#This Row],[CidadeCPF]]," | ")</f>
        <v>#N/A</v>
      </c>
      <c r="M358" s="26">
        <v>11400</v>
      </c>
      <c r="N358" s="78">
        <v>0</v>
      </c>
      <c r="O358" s="1" t="s">
        <v>50</v>
      </c>
      <c r="P35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8" s="84">
        <v>17</v>
      </c>
      <c r="R358" s="1" t="str" cm="1">
        <f t="array" ref="R358">_xlfn.IFS(TabelaClean14[[#This Row],[qtde_batalhas]]&lt;=10,"Baixo",TabelaClean14[[#This Row],[qtde_batalhas]]&gt;=26,"Alto",TabelaClean14[[#This Row],[qtde_batalhas]]&lt;26,"Médio")</f>
        <v>Médio</v>
      </c>
      <c r="S358" s="1" t="str">
        <f>IF(AND(TabelaClean14[[#This Row],[nivel_risco]]="Alto",TabelaClean14[[#This Row],[flag_inadimplente]]="Sim"),"Arriscado","Ok")</f>
        <v>Ok</v>
      </c>
      <c r="T358" s="26">
        <v>55500</v>
      </c>
      <c r="U35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W358" s="1"/>
      <c r="Y358" s="16"/>
      <c r="BB358" s="26">
        <v>11400</v>
      </c>
      <c r="BC358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59" spans="1:55">
      <c r="A359" s="24" t="s">
        <v>76</v>
      </c>
      <c r="B359" s="17" t="s">
        <v>381</v>
      </c>
      <c r="C359" s="25" t="s">
        <v>978</v>
      </c>
      <c r="D359" s="54">
        <v>71</v>
      </c>
      <c r="E359" s="30">
        <v>20094</v>
      </c>
      <c r="F359" s="24" t="str">
        <f>TabelaClean14[[#This Row],[CidadeCPF]]</f>
        <v>Monte Chifre</v>
      </c>
      <c r="G359" s="17" t="str">
        <f>TabelaClean14[[#This Row],[RegiaoCPF]]</f>
        <v>Campina</v>
      </c>
      <c r="H359" s="17" t="str">
        <f>_xlfn.XLOOKUP(TabelaClean14[[#This Row],[cpf]],TabelaDirty[cpfclean],TabelaDirty[cidade])</f>
        <v>Monte Chifre</v>
      </c>
      <c r="I359" s="17" t="str">
        <f>_xlfn.XLOOKUP(TabelaClean14[[#This Row],[cpf]],TabelaDirty[cpfclean],TabelaDirty[regiao])</f>
        <v>Campina</v>
      </c>
      <c r="J359" s="17" t="str">
        <f>PROPER(TabelaClean14[[#This Row],[Coluna1]])</f>
        <v>Campina</v>
      </c>
      <c r="K359" s="17" t="e">
        <f>_xlfn.TEXTBEFORE(TabelaClean14[[#This Row],[CidadeCPF]]," | ")</f>
        <v>#N/A</v>
      </c>
      <c r="L359" s="24" t="e">
        <f>_xlfn.TEXTAFTER(TabelaClean14[[#This Row],[CidadeCPF]]," | ")</f>
        <v>#N/A</v>
      </c>
      <c r="M359" s="26">
        <v>24100</v>
      </c>
      <c r="N359" s="78">
        <v>0</v>
      </c>
      <c r="O359" s="1" t="s">
        <v>50</v>
      </c>
      <c r="P35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59" s="84">
        <v>10</v>
      </c>
      <c r="R359" s="1" t="str" cm="1">
        <f t="array" ref="R359">_xlfn.IFS(TabelaClean14[[#This Row],[qtde_batalhas]]&lt;=10,"Baixo",TabelaClean14[[#This Row],[qtde_batalhas]]&gt;=26,"Alto",TabelaClean14[[#This Row],[qtde_batalhas]]&lt;26,"Médio")</f>
        <v>Baixo</v>
      </c>
      <c r="S359" s="1" t="str">
        <f>IF(AND(TabelaClean14[[#This Row],[nivel_risco]]="Alto",TabelaClean14[[#This Row],[flag_inadimplente]]="Sim"),"Arriscado","Ok")</f>
        <v>Ok</v>
      </c>
      <c r="T359" s="26">
        <v>87000</v>
      </c>
      <c r="U359" s="81">
        <f>IF(AND(TabelaClean14[[#This Row],[analise_risco]]="Arriscado",TabelaClean14[[#This Row],[analise_credito]]="Reprovado"),0,IF(TabelaClean14[[#This Row],[status]]="Ativo",TabelaClean14[[#This Row],[valor_solicitado]]*1.08,0))</f>
        <v>93960</v>
      </c>
      <c r="V359"/>
      <c r="W359"/>
      <c r="AJ359"/>
      <c r="AM359"/>
      <c r="BB359" s="26">
        <v>24100</v>
      </c>
      <c r="BC359" s="81">
        <f>IF(AND(TabelaClean14[[#This Row],[analise_risco]]="Arriscado",TabelaClean14[[#This Row],[analise_credito]]="Reprovado"),0,IF(TabelaClean14[[#This Row],[status]]="Ativo",TabelaClean14[[#This Row],[valor_solicitado]]*1.08,0))</f>
        <v>93960</v>
      </c>
    </row>
    <row r="360" spans="1:55">
      <c r="A360" s="24" t="s">
        <v>76</v>
      </c>
      <c r="B360" s="17" t="s">
        <v>372</v>
      </c>
      <c r="C360" s="25" t="s">
        <v>373</v>
      </c>
      <c r="D360" s="54">
        <v>46</v>
      </c>
      <c r="E360" s="30">
        <v>29197</v>
      </c>
      <c r="F360" s="24" t="str">
        <f>TabelaClean14[[#This Row],[CidadeCPF]]</f>
        <v>Meereen</v>
      </c>
      <c r="G360" s="17" t="str">
        <f>TabelaClean14[[#This Row],[RegiaoCPF]]</f>
        <v>Essos</v>
      </c>
      <c r="H360" s="17" t="str">
        <f>_xlfn.XLOOKUP(TabelaClean14[[#This Row],[cpf]],TabelaDirty[cpfclean],TabelaDirty[cidade])</f>
        <v>Meereen</v>
      </c>
      <c r="I360" s="17" t="str">
        <f>_xlfn.XLOOKUP(TabelaClean14[[#This Row],[cpf]],TabelaDirty[cpfclean],TabelaDirty[regiao])</f>
        <v>Essos</v>
      </c>
      <c r="J360" s="17" t="str">
        <f>PROPER(TabelaClean14[[#This Row],[Coluna1]])</f>
        <v>Essos</v>
      </c>
      <c r="K360" s="17" t="e">
        <f>_xlfn.TEXTBEFORE(TabelaClean14[[#This Row],[CidadeCPF]]," | ")</f>
        <v>#N/A</v>
      </c>
      <c r="L360" s="24" t="e">
        <f>_xlfn.TEXTAFTER(TabelaClean14[[#This Row],[CidadeCPF]]," | ")</f>
        <v>#N/A</v>
      </c>
      <c r="M360" s="26">
        <v>3200</v>
      </c>
      <c r="N360" s="78">
        <v>0</v>
      </c>
      <c r="O360" s="1" t="s">
        <v>50</v>
      </c>
      <c r="P36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0" s="84">
        <v>16</v>
      </c>
      <c r="R360" s="1" t="str" cm="1">
        <f t="array" ref="R360">_xlfn.IFS(TabelaClean14[[#This Row],[qtde_batalhas]]&lt;=10,"Baixo",TabelaClean14[[#This Row],[qtde_batalhas]]&gt;=26,"Alto",TabelaClean14[[#This Row],[qtde_batalhas]]&lt;26,"Médio")</f>
        <v>Médio</v>
      </c>
      <c r="S360" s="1" t="str">
        <f>IF(AND(TabelaClean14[[#This Row],[nivel_risco]]="Alto",TabelaClean14[[#This Row],[flag_inadimplente]]="Sim"),"Arriscado","Ok")</f>
        <v>Ok</v>
      </c>
      <c r="T360" s="26">
        <v>61500</v>
      </c>
      <c r="U360" s="81">
        <f>IF(AND(TabelaClean14[[#This Row],[analise_risco]]="Arriscado",TabelaClean14[[#This Row],[analise_credito]]="Reprovado"),0,IF(TabelaClean14[[#This Row],[status]]="Ativo",TabelaClean14[[#This Row],[valor_solicitado]]*1.08,0))</f>
        <v>66420</v>
      </c>
      <c r="V360"/>
      <c r="W360"/>
      <c r="AJ360"/>
      <c r="AM360"/>
      <c r="BB360" s="26">
        <v>3200</v>
      </c>
      <c r="BC360" s="81">
        <f>IF(AND(TabelaClean14[[#This Row],[analise_risco]]="Arriscado",TabelaClean14[[#This Row],[analise_credito]]="Reprovado"),0,IF(TabelaClean14[[#This Row],[status]]="Ativo",TabelaClean14[[#This Row],[valor_solicitado]]*1.08,0))</f>
        <v>66420</v>
      </c>
    </row>
    <row r="361" spans="1:55">
      <c r="A361" s="24" t="s">
        <v>81</v>
      </c>
      <c r="B361" s="17" t="s">
        <v>477</v>
      </c>
      <c r="C361" s="25" t="s">
        <v>478</v>
      </c>
      <c r="D361" s="54">
        <v>44</v>
      </c>
      <c r="E361" s="30">
        <v>29948</v>
      </c>
      <c r="F361" s="24" t="str">
        <f>TabelaClean14[[#This Row],[CidadeCPF]]</f>
        <v>Dorne</v>
      </c>
      <c r="G361" s="17" t="str">
        <f>TabelaClean14[[#This Row],[RegiaoCPF]]</f>
        <v>Dorne</v>
      </c>
      <c r="H361" s="17" t="str">
        <f>_xlfn.XLOOKUP(TabelaClean14[[#This Row],[cpf]],TabelaDirty[cpfclean],TabelaDirty[cidade])</f>
        <v>Dorne</v>
      </c>
      <c r="I361" s="17" t="str">
        <f>_xlfn.XLOOKUP(TabelaClean14[[#This Row],[cpf]],TabelaDirty[cpfclean],TabelaDirty[regiao])</f>
        <v>Dorne</v>
      </c>
      <c r="J361" s="17" t="str">
        <f>PROPER(TabelaClean14[[#This Row],[Coluna1]])</f>
        <v>Dorne</v>
      </c>
      <c r="K361" s="17" t="e">
        <f>_xlfn.TEXTBEFORE(TabelaClean14[[#This Row],[CidadeCPF]]," | ")</f>
        <v>#N/A</v>
      </c>
      <c r="L361" s="24" t="e">
        <f>_xlfn.TEXTAFTER(TabelaClean14[[#This Row],[CidadeCPF]]," | ")</f>
        <v>#N/A</v>
      </c>
      <c r="N361" s="78">
        <v>0</v>
      </c>
      <c r="O361" s="1" t="s">
        <v>50</v>
      </c>
      <c r="P36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1" s="84">
        <v>4</v>
      </c>
      <c r="R361" s="1" t="str" cm="1">
        <f t="array" ref="R361">_xlfn.IFS(TabelaClean14[[#This Row],[qtde_batalhas]]&lt;=10,"Baixo",TabelaClean14[[#This Row],[qtde_batalhas]]&gt;=26,"Alto",TabelaClean14[[#This Row],[qtde_batalhas]]&lt;26,"Médio")</f>
        <v>Baixo</v>
      </c>
      <c r="S361" s="1" t="str">
        <f>IF(AND(TabelaClean14[[#This Row],[nivel_risco]]="Alto",TabelaClean14[[#This Row],[flag_inadimplente]]="Sim"),"Arriscado","Ok")</f>
        <v>Ok</v>
      </c>
      <c r="T361" s="26">
        <v>80000</v>
      </c>
      <c r="U36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V361"/>
      <c r="W361"/>
      <c r="AJ361"/>
      <c r="AM361"/>
      <c r="BC361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62" spans="1:55">
      <c r="A362" s="24" t="s">
        <v>76</v>
      </c>
      <c r="B362" s="17" t="s">
        <v>277</v>
      </c>
      <c r="C362" s="25" t="s">
        <v>278</v>
      </c>
      <c r="D362" s="54" t="s">
        <v>809</v>
      </c>
      <c r="E362" s="30">
        <v>34411</v>
      </c>
      <c r="F362" s="24" t="str">
        <f>TabelaClean14[[#This Row],[CidadeCPF]]</f>
        <v>Dorne</v>
      </c>
      <c r="G362" s="17" t="str">
        <f>TabelaClean14[[#This Row],[RegiaoCPF]]</f>
        <v>Dorne</v>
      </c>
      <c r="H362" s="17" t="str">
        <f>_xlfn.XLOOKUP(TabelaClean14[[#This Row],[cpf]],TabelaDirty[cpfclean],TabelaDirty[cidade])</f>
        <v>Dorne</v>
      </c>
      <c r="I362" s="17" t="str">
        <f>_xlfn.XLOOKUP(TabelaClean14[[#This Row],[cpf]],TabelaDirty[cpfclean],TabelaDirty[regiao])</f>
        <v>Dorne</v>
      </c>
      <c r="J362" s="17" t="str">
        <f>PROPER(TabelaClean14[[#This Row],[Coluna1]])</f>
        <v>Dorne</v>
      </c>
      <c r="K362" s="17" t="e">
        <f>_xlfn.TEXTBEFORE(TabelaClean14[[#This Row],[CidadeCPF]]," | ")</f>
        <v>#N/A</v>
      </c>
      <c r="L362" s="24" t="e">
        <f>_xlfn.TEXTAFTER(TabelaClean14[[#This Row],[CidadeCPF]]," | ")</f>
        <v>#N/A</v>
      </c>
      <c r="N362" s="78">
        <v>0</v>
      </c>
      <c r="O362" s="1" t="s">
        <v>50</v>
      </c>
      <c r="P36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2" s="84">
        <v>20</v>
      </c>
      <c r="R362" s="1" t="str" cm="1">
        <f t="array" ref="R362">_xlfn.IFS(TabelaClean14[[#This Row],[qtde_batalhas]]&lt;=10,"Baixo",TabelaClean14[[#This Row],[qtde_batalhas]]&gt;=26,"Alto",TabelaClean14[[#This Row],[qtde_batalhas]]&lt;26,"Médio")</f>
        <v>Médio</v>
      </c>
      <c r="S362" s="1" t="str">
        <f>IF(AND(TabelaClean14[[#This Row],[nivel_risco]]="Alto",TabelaClean14[[#This Row],[flag_inadimplente]]="Sim"),"Arriscado","Ok")</f>
        <v>Ok</v>
      </c>
      <c r="T362" s="26">
        <v>42000</v>
      </c>
      <c r="U362" s="81">
        <f>IF(AND(TabelaClean14[[#This Row],[analise_risco]]="Arriscado",TabelaClean14[[#This Row],[analise_credito]]="Reprovado"),0,IF(TabelaClean14[[#This Row],[status]]="Ativo",TabelaClean14[[#This Row],[valor_solicitado]]*1.08,0))</f>
        <v>45360</v>
      </c>
      <c r="V362"/>
      <c r="W362"/>
      <c r="AJ362"/>
      <c r="AM362"/>
      <c r="BC362" s="81">
        <f>IF(AND(TabelaClean14[[#This Row],[analise_risco]]="Arriscado",TabelaClean14[[#This Row],[analise_credito]]="Reprovado"),0,IF(TabelaClean14[[#This Row],[status]]="Ativo",TabelaClean14[[#This Row],[valor_solicitado]]*1.08,0))</f>
        <v>45360</v>
      </c>
    </row>
    <row r="363" spans="1:55">
      <c r="A363" s="24" t="s">
        <v>76</v>
      </c>
      <c r="B363" s="17" t="s">
        <v>979</v>
      </c>
      <c r="C363" s="25" t="s">
        <v>980</v>
      </c>
      <c r="D363" s="54">
        <v>26</v>
      </c>
      <c r="E363" s="30">
        <v>36757</v>
      </c>
      <c r="F363" s="25" t="s">
        <v>215</v>
      </c>
      <c r="G363" s="25" t="s">
        <v>149</v>
      </c>
      <c r="H363" s="24">
        <v>18400</v>
      </c>
      <c r="I363" s="24">
        <v>0</v>
      </c>
      <c r="J363" s="24" t="s">
        <v>51</v>
      </c>
      <c r="K363" s="24"/>
      <c r="L363" s="24"/>
      <c r="M363" s="26">
        <v>89500</v>
      </c>
      <c r="N363" s="78">
        <v>0</v>
      </c>
      <c r="O363" s="1" t="s">
        <v>51</v>
      </c>
      <c r="P363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R363" s="76" t="str" cm="1">
        <f t="array" ref="R363">_xlfn.IFS(TabelaClean14[[#This Row],[qtde_batalhas]]&lt;=10,"Baixo",TabelaClean14[[#This Row],[qtde_batalhas]]&gt;=26,"Alto",TabelaClean14[[#This Row],[qtde_batalhas]]&lt;26,"Médio")</f>
        <v>Baixo</v>
      </c>
      <c r="S363" s="76" t="str">
        <f>IF(AND(TabelaClean14[[#This Row],[nivel_risco]]="Alto",TabelaClean14[[#This Row],[flag_inadimplente]]="Sim"),"Arriscado","Ok")</f>
        <v>Ok</v>
      </c>
      <c r="T363" s="26">
        <v>89500</v>
      </c>
      <c r="U363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  <c r="V363"/>
      <c r="W363"/>
      <c r="AJ363"/>
      <c r="AM363"/>
      <c r="BB363" s="26">
        <v>89500</v>
      </c>
      <c r="BC363" s="81">
        <f>IF(AND(TabelaClean14[[#This Row],[analise_risco]]="Arriscado",TabelaClean14[[#This Row],[analise_credito]]="Reprovado"),0,IF(TabelaClean14[[#This Row],[status]]="Ativo",TabelaClean14[[#This Row],[valor_solicitado]]*1.08,0))</f>
        <v>96660</v>
      </c>
    </row>
    <row r="364" spans="1:55">
      <c r="A364" s="24" t="s">
        <v>76</v>
      </c>
      <c r="B364" s="17" t="s">
        <v>981</v>
      </c>
      <c r="C364" s="25" t="s">
        <v>982</v>
      </c>
      <c r="D364" s="54">
        <v>72</v>
      </c>
      <c r="E364" s="30">
        <v>19801</v>
      </c>
      <c r="F364" s="25" t="s">
        <v>223</v>
      </c>
      <c r="G364" s="25" t="s">
        <v>413</v>
      </c>
      <c r="H364" s="24">
        <v>10200</v>
      </c>
      <c r="I364" s="24">
        <v>0</v>
      </c>
      <c r="J364" s="24" t="s">
        <v>50</v>
      </c>
      <c r="K364" s="24">
        <v>27</v>
      </c>
      <c r="L364" s="24"/>
      <c r="M364" s="26">
        <v>99500</v>
      </c>
      <c r="N364" s="78">
        <v>0</v>
      </c>
      <c r="O364" s="1" t="s">
        <v>50</v>
      </c>
      <c r="P364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4" s="84">
        <v>27</v>
      </c>
      <c r="R364" s="76" t="str" cm="1">
        <f t="array" ref="R364">_xlfn.IFS(TabelaClean14[[#This Row],[qtde_batalhas]]&lt;=10,"Baixo",TabelaClean14[[#This Row],[qtde_batalhas]]&gt;=26,"Alto",TabelaClean14[[#This Row],[qtde_batalhas]]&lt;26,"Médio")</f>
        <v>Alto</v>
      </c>
      <c r="S364" s="76" t="str">
        <f>IF(AND(TabelaClean14[[#This Row],[nivel_risco]]="Alto",TabelaClean14[[#This Row],[flag_inadimplente]]="Sim"),"Arriscado","Ok")</f>
        <v>Ok</v>
      </c>
      <c r="T364" s="26">
        <v>99500</v>
      </c>
      <c r="U364" s="81">
        <f>IF(AND(TabelaClean14[[#This Row],[analise_risco]]="Arriscado",TabelaClean14[[#This Row],[analise_credito]]="Reprovado"),0,IF(TabelaClean14[[#This Row],[status]]="Ativo",TabelaClean14[[#This Row],[valor_solicitado]]*1.08,0))</f>
        <v>107460</v>
      </c>
      <c r="V364"/>
      <c r="W364"/>
      <c r="AJ364"/>
      <c r="AM364"/>
      <c r="BB364" s="26">
        <v>99500</v>
      </c>
      <c r="BC364" s="81">
        <f>IF(AND(TabelaClean14[[#This Row],[analise_risco]]="Arriscado",TabelaClean14[[#This Row],[analise_credito]]="Reprovado"),0,IF(TabelaClean14[[#This Row],[status]]="Ativo",TabelaClean14[[#This Row],[valor_solicitado]]*1.08,0))</f>
        <v>107460</v>
      </c>
    </row>
    <row r="365" spans="1:55">
      <c r="A365" s="24" t="s">
        <v>81</v>
      </c>
      <c r="B365" s="17" t="s">
        <v>591</v>
      </c>
      <c r="C365" t="str">
        <f>_xlfn.XLOOKUP(TabelaClean14[[#This Row],[nome]],Base_Dirty!$B:$B,Base_Dirty!D:D)</f>
        <v>000.000.064-00</v>
      </c>
      <c r="D365" s="54">
        <f>_xlfn.XLOOKUP(TabelaClean14[[#This Row],[nome]],Base_Dirty!B:B,Base_Dirty!E:E)</f>
        <v>57</v>
      </c>
      <c r="E365" s="30">
        <v>57</v>
      </c>
      <c r="F365" s="17" t="s">
        <v>138</v>
      </c>
      <c r="G365" s="17" t="s">
        <v>139</v>
      </c>
      <c r="H365" s="24" t="s">
        <v>353</v>
      </c>
      <c r="I365" s="24">
        <v>3400</v>
      </c>
      <c r="J365" s="24">
        <v>0</v>
      </c>
      <c r="K365" s="24" t="s">
        <v>50</v>
      </c>
      <c r="L365" s="24">
        <v>20</v>
      </c>
      <c r="M365" s="23">
        <f>_xlfn.XLOOKUP(TabelaClean14[[#This Row],[nome]],Base_Dirty!$B:$B,Base_Dirty!I:I)</f>
        <v>3400</v>
      </c>
      <c r="N365" s="78">
        <f>_xlfn.XLOOKUP(TabelaClean14[[#This Row],[nome]],Base_Dirty!$B:$B,Base_Dirty!J:J)</f>
        <v>0</v>
      </c>
      <c r="O365" s="79" t="s">
        <v>50</v>
      </c>
      <c r="P365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5" s="84">
        <f>_xlfn.XLOOKUP(TabelaClean14[[#This Row],[nome]],Base_Dirty!$B:$B,Base_Dirty!L:L)</f>
        <v>20</v>
      </c>
      <c r="R365" s="76" t="str" cm="1">
        <f t="array" ref="R365">_xlfn.IFS(TabelaClean14[[#This Row],[qtde_batalhas]]&lt;=10,"Baixo",TabelaClean14[[#This Row],[qtde_batalhas]]&gt;=26,"Alto",TabelaClean14[[#This Row],[qtde_batalhas]]&lt;26,"Médio")</f>
        <v>Médio</v>
      </c>
      <c r="S365" s="76" t="str">
        <f>IF(AND(TabelaClean14[[#This Row],[nivel_risco]]="Alto",TabelaClean14[[#This Row],[flag_inadimplente]]="Sim"),"Arriscado","Ok")</f>
        <v>Ok</v>
      </c>
      <c r="T365" s="26">
        <f>_xlfn.XLOOKUP(TabelaClean14[[#This Row],[nome]],Base_Dirty!$B:$B,Base_Dirty!O:O)</f>
        <v>19500</v>
      </c>
      <c r="U36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V365"/>
      <c r="W365"/>
      <c r="AJ365"/>
      <c r="AM365"/>
      <c r="BB365" s="23">
        <f>_xlfn.XLOOKUP(TabelaClean14[[#This Row],[nome]],Base_Dirty!$B:$B,Base_Dirty!AX:AX)</f>
        <v>0</v>
      </c>
      <c r="BC365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66" spans="1:55">
      <c r="A366" s="24" t="s">
        <v>81</v>
      </c>
      <c r="B366" s="17" t="s">
        <v>591</v>
      </c>
      <c r="C366" t="str">
        <f>_xlfn.XLOOKUP(TabelaClean14[[#This Row],[nome]],Base_Dirty!$B:$B,Base_Dirty!D:D)</f>
        <v>000.000.064-00</v>
      </c>
      <c r="D366" s="54">
        <f>_xlfn.XLOOKUP(TabelaClean14[[#This Row],[nome]],Base_Dirty!B:B,Base_Dirty!E:E)</f>
        <v>57</v>
      </c>
      <c r="E366" s="30">
        <v>57</v>
      </c>
      <c r="F366" s="17" t="s">
        <v>138</v>
      </c>
      <c r="G366" s="17" t="s">
        <v>139</v>
      </c>
      <c r="H366" s="24" t="s">
        <v>353</v>
      </c>
      <c r="I366" s="24">
        <v>3400</v>
      </c>
      <c r="J366" s="24">
        <v>23500</v>
      </c>
      <c r="K366" s="24" t="s">
        <v>50</v>
      </c>
      <c r="L366" s="24">
        <v>20</v>
      </c>
      <c r="M366" s="23">
        <f>_xlfn.XLOOKUP(TabelaClean14[[#This Row],[nome]],Base_Dirty!$B:$B,Base_Dirty!I:I)</f>
        <v>3400</v>
      </c>
      <c r="N366" s="78">
        <f>_xlfn.XLOOKUP(TabelaClean14[[#This Row],[nome]],Base_Dirty!$B:$B,Base_Dirty!J:J)</f>
        <v>0</v>
      </c>
      <c r="O366" s="79" t="s">
        <v>50</v>
      </c>
      <c r="P36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6" s="84">
        <f>_xlfn.XLOOKUP(TabelaClean14[[#This Row],[nome]],Base_Dirty!$B:$B,Base_Dirty!L:L)</f>
        <v>20</v>
      </c>
      <c r="R366" s="76" t="str" cm="1">
        <f t="array" ref="R366">_xlfn.IFS(TabelaClean14[[#This Row],[qtde_batalhas]]&lt;=10,"Baixo",TabelaClean14[[#This Row],[qtde_batalhas]]&gt;=26,"Alto",TabelaClean14[[#This Row],[qtde_batalhas]]&lt;26,"Médio")</f>
        <v>Médio</v>
      </c>
      <c r="S366" s="76" t="str">
        <f>IF(AND(TabelaClean14[[#This Row],[nivel_risco]]="Alto",TabelaClean14[[#This Row],[flag_inadimplente]]="Sim"),"Arriscado","Ok")</f>
        <v>Ok</v>
      </c>
      <c r="T366" s="26">
        <f>_xlfn.XLOOKUP(TabelaClean14[[#This Row],[nome]],Base_Dirty!$B:$B,Base_Dirty!O:O)</f>
        <v>19500</v>
      </c>
      <c r="U36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V366"/>
      <c r="W366"/>
      <c r="AJ366"/>
      <c r="AM366"/>
      <c r="BB366" s="23">
        <f>_xlfn.XLOOKUP(TabelaClean14[[#This Row],[nome]],Base_Dirty!$B:$B,Base_Dirty!AX:AX)</f>
        <v>0</v>
      </c>
      <c r="BC36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67" spans="1:55">
      <c r="A367" s="24" t="s">
        <v>76</v>
      </c>
      <c r="B367" s="17" t="s">
        <v>267</v>
      </c>
      <c r="C367" s="25" t="s">
        <v>811</v>
      </c>
      <c r="D367" s="54">
        <v>57</v>
      </c>
      <c r="E367" s="30" t="s">
        <v>809</v>
      </c>
      <c r="F367" s="24" t="str">
        <f>TabelaClean14[[#This Row],[CidadeCPF]]</f>
        <v>Lannisporto</v>
      </c>
      <c r="G367" s="17" t="str">
        <f>TabelaClean14[[#This Row],[RegiaoCPF]]</f>
        <v>Oeste</v>
      </c>
      <c r="H367" s="17" t="str">
        <f>_xlfn.XLOOKUP(TabelaClean14[[#This Row],[cpf]],TabelaDirty[cpfclean],TabelaDirty[cidade])</f>
        <v>Lannisporto</v>
      </c>
      <c r="I367" s="17" t="str">
        <f>_xlfn.XLOOKUP(TabelaClean14[[#This Row],[cpf]],TabelaDirty[cpfclean],TabelaDirty[regiao])</f>
        <v>oeste</v>
      </c>
      <c r="J367" s="17" t="str">
        <f>PROPER(TabelaClean14[[#This Row],[Coluna1]])</f>
        <v>Oeste</v>
      </c>
      <c r="K367" s="17" t="e">
        <f>_xlfn.TEXTBEFORE(TabelaClean14[[#This Row],[CidadeCPF]]," | ")</f>
        <v>#N/A</v>
      </c>
      <c r="L367" s="24" t="e">
        <f>_xlfn.TEXTAFTER(TabelaClean14[[#This Row],[CidadeCPF]]," | ")</f>
        <v>#N/A</v>
      </c>
      <c r="M367" s="26">
        <v>0</v>
      </c>
      <c r="N367" s="78">
        <f>_xlfn.XLOOKUP(TabelaClean14[[#This Row],[nome]],Base_Dirty!$B:$B,Base_Dirty!J:J)</f>
        <v>0</v>
      </c>
      <c r="O367" s="1" t="s">
        <v>51</v>
      </c>
      <c r="P36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7" s="84">
        <v>28</v>
      </c>
      <c r="R367" s="1" t="str" cm="1">
        <f t="array" ref="R367">_xlfn.IFS(TabelaClean14[[#This Row],[qtde_batalhas]]&lt;=10,"Baixo",TabelaClean14[[#This Row],[qtde_batalhas]]&gt;=26,"Alto",TabelaClean14[[#This Row],[qtde_batalhas]]&lt;26,"Médio")</f>
        <v>Alto</v>
      </c>
      <c r="S367" s="1" t="str">
        <f>IF(AND(TabelaClean14[[#This Row],[nivel_risco]]="Alto",TabelaClean14[[#This Row],[flag_inadimplente]]="Sim"),"Arriscado","Ok")</f>
        <v>Arriscado</v>
      </c>
      <c r="T367" s="26">
        <v>13000</v>
      </c>
      <c r="U367" s="81">
        <f>IF(AND(TabelaClean14[[#This Row],[analise_risco]]="Arriscado",TabelaClean14[[#This Row],[analise_credito]]="Reprovado"),0,IF(TabelaClean14[[#This Row],[status]]="Ativo",TabelaClean14[[#This Row],[valor_solicitado]]*1.08,0))</f>
        <v>14040.000000000002</v>
      </c>
      <c r="V367"/>
      <c r="W367"/>
      <c r="AJ367"/>
      <c r="AM367"/>
      <c r="BB367" s="26">
        <v>0</v>
      </c>
      <c r="BC367" s="81">
        <f>IF(AND(TabelaClean14[[#This Row],[analise_risco]]="Arriscado",TabelaClean14[[#This Row],[analise_credito]]="Reprovado"),0,IF(TabelaClean14[[#This Row],[status]]="Ativo",TabelaClean14[[#This Row],[valor_solicitado]]*1.08,0))</f>
        <v>14040.000000000002</v>
      </c>
    </row>
    <row r="368" spans="1:55">
      <c r="A368" s="24" t="s">
        <v>76</v>
      </c>
      <c r="B368" s="17" t="s">
        <v>686</v>
      </c>
      <c r="C368" s="25" t="s">
        <v>687</v>
      </c>
      <c r="D368" s="54">
        <v>63</v>
      </c>
      <c r="E368" s="30">
        <v>23006</v>
      </c>
      <c r="F368" s="17" t="str">
        <f>TabelaClean14[[#This Row],[CidadeClean]]</f>
        <v>Castelo Negro</v>
      </c>
      <c r="G368" s="17" t="str">
        <f>TabelaClean14[[#This Row],[RegiaoClean]]</f>
        <v>Norte</v>
      </c>
      <c r="H368" s="17" t="str">
        <f>_xlfn.XLOOKUP(TabelaClean14[[#This Row],[cpf]],TabelaDirty[cpfclean],TabelaDirty[cidade])</f>
        <v>Castelo Negro | Norte</v>
      </c>
      <c r="I368" s="17">
        <f>_xlfn.XLOOKUP(TabelaClean14[[#This Row],[cpf]],TabelaDirty[cpfclean],TabelaDirty[regiao])</f>
        <v>0</v>
      </c>
      <c r="J368" s="17" t="s">
        <v>142</v>
      </c>
      <c r="K368" s="17" t="str">
        <f>_xlfn.TEXTBEFORE(TabelaClean14[[#This Row],[CidadeCPF]]," | ")</f>
        <v>Castelo Negro</v>
      </c>
      <c r="L368" s="24" t="str">
        <f>_xlfn.TEXTAFTER(TabelaClean14[[#This Row],[CidadeCPF]]," | ")</f>
        <v>Norte</v>
      </c>
      <c r="M368" s="26">
        <v>11200</v>
      </c>
      <c r="N368" s="78">
        <f>_xlfn.XLOOKUP(TabelaClean14[[#This Row],[nome]],Base_Dirty!$B:$B,Base_Dirty!J:J)</f>
        <v>0</v>
      </c>
      <c r="O368" s="1" t="s">
        <v>50</v>
      </c>
      <c r="P36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8" s="84">
        <v>41</v>
      </c>
      <c r="R368" s="1" t="str" cm="1">
        <f t="array" ref="R368">_xlfn.IFS(TabelaClean14[[#This Row],[qtde_batalhas]]&lt;=10,"Baixo",TabelaClean14[[#This Row],[qtde_batalhas]]&gt;=26,"Alto",TabelaClean14[[#This Row],[qtde_batalhas]]&lt;26,"Médio")</f>
        <v>Alto</v>
      </c>
      <c r="S368" s="1" t="str">
        <f>IF(AND(TabelaClean14[[#This Row],[nivel_risco]]="Alto",TabelaClean14[[#This Row],[flag_inadimplente]]="Sim"),"Arriscado","Ok")</f>
        <v>Ok</v>
      </c>
      <c r="T368" s="26">
        <v>83500</v>
      </c>
      <c r="U368" s="81">
        <f>IF(AND(TabelaClean14[[#This Row],[analise_risco]]="Arriscado",TabelaClean14[[#This Row],[analise_credito]]="Reprovado"),0,IF(TabelaClean14[[#This Row],[status]]="Ativo",TabelaClean14[[#This Row],[valor_solicitado]]*1.08,0))</f>
        <v>90180</v>
      </c>
      <c r="V368"/>
      <c r="W368"/>
      <c r="AJ368"/>
      <c r="AM368"/>
      <c r="BB368" s="26">
        <v>11200</v>
      </c>
      <c r="BC368" s="81">
        <f>IF(AND(TabelaClean14[[#This Row],[analise_risco]]="Arriscado",TabelaClean14[[#This Row],[analise_credito]]="Reprovado"),0,IF(TabelaClean14[[#This Row],[status]]="Ativo",TabelaClean14[[#This Row],[valor_solicitado]]*1.08,0))</f>
        <v>90180</v>
      </c>
    </row>
    <row r="369" spans="1:55">
      <c r="A369" s="24" t="s">
        <v>76</v>
      </c>
      <c r="B369" s="17" t="s">
        <v>304</v>
      </c>
      <c r="C369" s="25" t="s">
        <v>305</v>
      </c>
      <c r="D369" s="54">
        <v>25</v>
      </c>
      <c r="E369" s="30">
        <v>37091</v>
      </c>
      <c r="F369" s="24" t="str">
        <f>TabelaClean14[[#This Row],[CidadeCPF]]</f>
        <v>Ninho da Águia</v>
      </c>
      <c r="G369" s="17" t="str">
        <f>TabelaClean14[[#This Row],[RegiaoCPF]]</f>
        <v>Vale</v>
      </c>
      <c r="H369" s="17" t="str">
        <f>_xlfn.XLOOKUP(TabelaClean14[[#This Row],[cpf]],TabelaDirty[cpfclean],TabelaDirty[cidade])</f>
        <v>Ninho da Águia</v>
      </c>
      <c r="I369" s="17" t="str">
        <f>_xlfn.XLOOKUP(TabelaClean14[[#This Row],[cpf]],TabelaDirty[cpfclean],TabelaDirty[regiao])</f>
        <v>Vale</v>
      </c>
      <c r="J369" s="17" t="str">
        <f>PROPER(TabelaClean14[[#This Row],[Coluna1]])</f>
        <v>Vale</v>
      </c>
      <c r="K369" s="17" t="e">
        <f>_xlfn.TEXTBEFORE(TabelaClean14[[#This Row],[CidadeCPF]]," | ")</f>
        <v>#N/A</v>
      </c>
      <c r="L369" s="24" t="e">
        <f>_xlfn.TEXTAFTER(TabelaClean14[[#This Row],[CidadeCPF]]," | ")</f>
        <v>#N/A</v>
      </c>
      <c r="M369" s="26">
        <v>28800</v>
      </c>
      <c r="N369" s="78">
        <f>_xlfn.XLOOKUP(TabelaClean14[[#This Row],[nome]],Base_Dirty!$B:$B,Base_Dirty!J:J)</f>
        <v>0</v>
      </c>
      <c r="O369" s="1" t="s">
        <v>50</v>
      </c>
      <c r="P36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69" s="84">
        <v>12</v>
      </c>
      <c r="R369" s="1" t="str" cm="1">
        <f t="array" ref="R369">_xlfn.IFS(TabelaClean14[[#This Row],[qtde_batalhas]]&lt;=10,"Baixo",TabelaClean14[[#This Row],[qtde_batalhas]]&gt;=26,"Alto",TabelaClean14[[#This Row],[qtde_batalhas]]&lt;26,"Médio")</f>
        <v>Médio</v>
      </c>
      <c r="S369" s="1" t="str">
        <f>IF(AND(TabelaClean14[[#This Row],[nivel_risco]]="Alto",TabelaClean14[[#This Row],[flag_inadimplente]]="Sim"),"Arriscado","Ok")</f>
        <v>Ok</v>
      </c>
      <c r="T369" s="26">
        <v>46500</v>
      </c>
      <c r="U369" s="81">
        <f>IF(AND(TabelaClean14[[#This Row],[analise_risco]]="Arriscado",TabelaClean14[[#This Row],[analise_credito]]="Reprovado"),0,IF(TabelaClean14[[#This Row],[status]]="Ativo",TabelaClean14[[#This Row],[valor_solicitado]]*1.08,0))</f>
        <v>50220</v>
      </c>
      <c r="V369"/>
      <c r="W369"/>
      <c r="AJ369"/>
      <c r="AM369"/>
      <c r="BB369" s="26">
        <v>28800</v>
      </c>
      <c r="BC369" s="81">
        <f>IF(AND(TabelaClean14[[#This Row],[analise_risco]]="Arriscado",TabelaClean14[[#This Row],[analise_credito]]="Reprovado"),0,IF(TabelaClean14[[#This Row],[status]]="Ativo",TabelaClean14[[#This Row],[valor_solicitado]]*1.08,0))</f>
        <v>50220</v>
      </c>
    </row>
    <row r="370" spans="1:55">
      <c r="A370" s="24" t="s">
        <v>76</v>
      </c>
      <c r="B370" s="17" t="s">
        <v>258</v>
      </c>
      <c r="C370" s="25" t="s">
        <v>259</v>
      </c>
      <c r="D370" s="54">
        <v>51</v>
      </c>
      <c r="E370" s="30">
        <v>27377</v>
      </c>
      <c r="F370" s="24" t="str">
        <f>TabelaClean14[[#This Row],[CidadeCPF]]</f>
        <v>Pyke</v>
      </c>
      <c r="G370" s="17" t="str">
        <f>TabelaClean14[[#This Row],[RegiaoCPF]]</f>
        <v>Ilhas De Ferro</v>
      </c>
      <c r="H370" s="17" t="str">
        <f>_xlfn.XLOOKUP(TabelaClean14[[#This Row],[cpf]],TabelaDirty[cpfclean],TabelaDirty[cidade])</f>
        <v>Pyke</v>
      </c>
      <c r="I370" s="17" t="str">
        <f>_xlfn.XLOOKUP(TabelaClean14[[#This Row],[cpf]],TabelaDirty[cpfclean],TabelaDirty[regiao])</f>
        <v>Ilhas De Ferro</v>
      </c>
      <c r="J370" s="17" t="str">
        <f>PROPER(TabelaClean14[[#This Row],[Coluna1]])</f>
        <v>Ilhas De Ferro</v>
      </c>
      <c r="K370" s="17" t="e">
        <f>_xlfn.TEXTBEFORE(TabelaClean14[[#This Row],[CidadeCPF]]," | ")</f>
        <v>#N/A</v>
      </c>
      <c r="L370" s="24" t="e">
        <f>_xlfn.TEXTAFTER(TabelaClean14[[#This Row],[CidadeCPF]]," | ")</f>
        <v>#N/A</v>
      </c>
      <c r="M370" s="26">
        <v>16300</v>
      </c>
      <c r="N370" s="78">
        <f>_xlfn.XLOOKUP(TabelaClean14[[#This Row],[nome]],Base_Dirty!$B:$B,Base_Dirty!J:J)</f>
        <v>0</v>
      </c>
      <c r="O370" s="1" t="s">
        <v>50</v>
      </c>
      <c r="P37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70" s="84">
        <v>8</v>
      </c>
      <c r="R370" s="1" t="str" cm="1">
        <f t="array" ref="R370">_xlfn.IFS(TabelaClean14[[#This Row],[qtde_batalhas]]&lt;=10,"Baixo",TabelaClean14[[#This Row],[qtde_batalhas]]&gt;=26,"Alto",TabelaClean14[[#This Row],[qtde_batalhas]]&lt;26,"Médio")</f>
        <v>Baixo</v>
      </c>
      <c r="S370" s="1" t="str">
        <f>IF(AND(TabelaClean14[[#This Row],[nivel_risco]]="Alto",TabelaClean14[[#This Row],[flag_inadimplente]]="Sim"),"Arriscado","Ok")</f>
        <v>Ok</v>
      </c>
      <c r="T370" s="26">
        <v>33000</v>
      </c>
      <c r="U370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  <c r="V370"/>
      <c r="W370"/>
      <c r="AJ370"/>
      <c r="AM370"/>
      <c r="BB370" s="26">
        <v>16300</v>
      </c>
      <c r="BC370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</row>
    <row r="371" spans="1:55">
      <c r="A371" s="24" t="s">
        <v>76</v>
      </c>
      <c r="B371" s="17" t="s">
        <v>98</v>
      </c>
      <c r="C371" s="25" t="s">
        <v>99</v>
      </c>
      <c r="D371" s="54">
        <v>32</v>
      </c>
      <c r="E371" s="30">
        <v>34299</v>
      </c>
      <c r="F371" s="24" t="str">
        <f>TabelaClean14[[#This Row],[CidadeCPF]]</f>
        <v>Ninho da Águia</v>
      </c>
      <c r="G371" s="17" t="str">
        <f>TabelaClean14[[#This Row],[RegiaoCPF]]</f>
        <v>Vale</v>
      </c>
      <c r="H371" s="17" t="str">
        <f>_xlfn.XLOOKUP(TabelaClean14[[#This Row],[cpf]],TabelaDirty[cpfclean],TabelaDirty[cidade])</f>
        <v>Ninho da Águia</v>
      </c>
      <c r="I371" s="17" t="str">
        <f>_xlfn.XLOOKUP(TabelaClean14[[#This Row],[cpf]],TabelaDirty[cpfclean],TabelaDirty[regiao])</f>
        <v>vale</v>
      </c>
      <c r="J371" s="17" t="str">
        <f>PROPER(TabelaClean14[[#This Row],[Coluna1]])</f>
        <v>Vale</v>
      </c>
      <c r="K371" s="17" t="e">
        <f>_xlfn.TEXTBEFORE(TabelaClean14[[#This Row],[CidadeCPF]]," | ")</f>
        <v>#N/A</v>
      </c>
      <c r="L371" s="24" t="e">
        <f>_xlfn.TEXTAFTER(TabelaClean14[[#This Row],[CidadeCPF]]," | ")</f>
        <v>#N/A</v>
      </c>
      <c r="M371" s="26">
        <v>30000</v>
      </c>
      <c r="N371" s="78">
        <f>_xlfn.XLOOKUP(TabelaClean14[[#This Row],[nome]],Base_Dirty!$B:$B,Base_Dirty!J:J)</f>
        <v>0</v>
      </c>
      <c r="O371" s="1" t="s">
        <v>50</v>
      </c>
      <c r="P37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71" s="84">
        <v>5</v>
      </c>
      <c r="R371" s="1" t="str" cm="1">
        <f t="array" ref="R371">_xlfn.IFS(TabelaClean14[[#This Row],[qtde_batalhas]]&lt;=10,"Baixo",TabelaClean14[[#This Row],[qtde_batalhas]]&gt;=26,"Alto",TabelaClean14[[#This Row],[qtde_batalhas]]&lt;26,"Médio")</f>
        <v>Baixo</v>
      </c>
      <c r="S371" s="1" t="str">
        <f>IF(AND(TabelaClean14[[#This Row],[nivel_risco]]="Alto",TabelaClean14[[#This Row],[flag_inadimplente]]="Sim"),"Arriscado","Ok")</f>
        <v>Ok</v>
      </c>
      <c r="T371" s="26">
        <v>65000</v>
      </c>
      <c r="U371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  <c r="V371"/>
      <c r="W371"/>
      <c r="AJ371"/>
      <c r="AM371"/>
      <c r="BB371" s="26">
        <v>30000</v>
      </c>
      <c r="BC371" s="81">
        <f>IF(AND(TabelaClean14[[#This Row],[analise_risco]]="Arriscado",TabelaClean14[[#This Row],[analise_credito]]="Reprovado"),0,IF(TabelaClean14[[#This Row],[status]]="Ativo",TabelaClean14[[#This Row],[valor_solicitado]]*1.08,0))</f>
        <v>70200</v>
      </c>
    </row>
    <row r="372" spans="1:55">
      <c r="A372" s="24" t="s">
        <v>76</v>
      </c>
      <c r="B372" s="17" t="s">
        <v>625</v>
      </c>
      <c r="C372" s="25" t="s">
        <v>626</v>
      </c>
      <c r="D372" s="54" t="s">
        <v>809</v>
      </c>
      <c r="E372" s="30">
        <v>32796</v>
      </c>
      <c r="F372" s="24" t="str">
        <f>TabelaClean14[[#This Row],[CidadeCPF]]</f>
        <v>Pedra do Dragão</v>
      </c>
      <c r="G372" s="17" t="str">
        <f>TabelaClean14[[#This Row],[RegiaoCPF]]</f>
        <v>Terras Da Coroa</v>
      </c>
      <c r="H372" s="17" t="str">
        <f>_xlfn.XLOOKUP(TabelaClean14[[#This Row],[cpf]],TabelaDirty[cpfclean],TabelaDirty[cidade])</f>
        <v>Pedra do Dragão</v>
      </c>
      <c r="I372" s="17" t="str">
        <f>_xlfn.XLOOKUP(TabelaClean14[[#This Row],[cpf]],TabelaDirty[cpfclean],TabelaDirty[regiao])</f>
        <v>Terras da Coroa</v>
      </c>
      <c r="J372" s="17" t="str">
        <f>PROPER(TabelaClean14[[#This Row],[Coluna1]])</f>
        <v>Terras Da Coroa</v>
      </c>
      <c r="K372" s="17" t="e">
        <f>_xlfn.TEXTBEFORE(TabelaClean14[[#This Row],[CidadeCPF]]," | ")</f>
        <v>#N/A</v>
      </c>
      <c r="L372" s="24" t="e">
        <f>_xlfn.TEXTAFTER(TabelaClean14[[#This Row],[CidadeCPF]]," | ")</f>
        <v>#N/A</v>
      </c>
      <c r="M372" s="26">
        <v>28600</v>
      </c>
      <c r="N372" s="78">
        <f>_xlfn.XLOOKUP(TabelaClean14[[#This Row],[nome]],Base_Dirty!$B:$B,Base_Dirty!J:J)</f>
        <v>0</v>
      </c>
      <c r="O372" s="1" t="s">
        <v>50</v>
      </c>
      <c r="P37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72" s="84">
        <v>19</v>
      </c>
      <c r="R372" s="1" t="str" cm="1">
        <f t="array" ref="R372">_xlfn.IFS(TabelaClean14[[#This Row],[qtde_batalhas]]&lt;=10,"Baixo",TabelaClean14[[#This Row],[qtde_batalhas]]&gt;=26,"Alto",TabelaClean14[[#This Row],[qtde_batalhas]]&lt;26,"Médio")</f>
        <v>Médio</v>
      </c>
      <c r="S372" s="1" t="str">
        <f>IF(AND(TabelaClean14[[#This Row],[nivel_risco]]="Alto",TabelaClean14[[#This Row],[flag_inadimplente]]="Sim"),"Arriscado","Ok")</f>
        <v>Ok</v>
      </c>
      <c r="T372" s="26">
        <v>90000</v>
      </c>
      <c r="U372" s="81">
        <f>IF(AND(TabelaClean14[[#This Row],[analise_risco]]="Arriscado",TabelaClean14[[#This Row],[analise_credito]]="Reprovado"),0,IF(TabelaClean14[[#This Row],[status]]="Ativo",TabelaClean14[[#This Row],[valor_solicitado]]*1.08,0))</f>
        <v>97200</v>
      </c>
      <c r="V372"/>
      <c r="W372"/>
      <c r="AJ372"/>
      <c r="AM372"/>
      <c r="BB372" s="26">
        <v>28600</v>
      </c>
      <c r="BC372" s="81">
        <f>IF(AND(TabelaClean14[[#This Row],[analise_risco]]="Arriscado",TabelaClean14[[#This Row],[analise_credito]]="Reprovado"),0,IF(TabelaClean14[[#This Row],[status]]="Ativo",TabelaClean14[[#This Row],[valor_solicitado]]*1.08,0))</f>
        <v>97200</v>
      </c>
    </row>
    <row r="373" spans="1:55">
      <c r="A373" s="24" t="s">
        <v>76</v>
      </c>
      <c r="B373" s="17" t="s">
        <v>383</v>
      </c>
      <c r="C373" s="25" t="s">
        <v>983</v>
      </c>
      <c r="D373" s="54">
        <v>57</v>
      </c>
      <c r="E373" s="30">
        <v>25238</v>
      </c>
      <c r="F373" s="17" t="str">
        <f>TabelaClean14[[#This Row],[CidadeClean]]</f>
        <v>Harrenhal</v>
      </c>
      <c r="G373" s="17" t="str">
        <f>TabelaClean14[[#This Row],[RegiaoClean]]</f>
        <v>Terras Fluviais</v>
      </c>
      <c r="H373" s="17" t="str">
        <f>_xlfn.XLOOKUP(TabelaClean14[[#This Row],[cpf]],TabelaDirty[cpfclean],TabelaDirty[cidade])</f>
        <v>Harrenhal | Terras Fluviais</v>
      </c>
      <c r="I373" s="17">
        <f>_xlfn.XLOOKUP(TabelaClean14[[#This Row],[cpf]],TabelaDirty[cpfclean],TabelaDirty[regiao])</f>
        <v>0</v>
      </c>
      <c r="J373" s="17" t="s">
        <v>139</v>
      </c>
      <c r="K373" s="17" t="str">
        <f>_xlfn.TEXTBEFORE(TabelaClean14[[#This Row],[CidadeCPF]]," | ")</f>
        <v>Harrenhal</v>
      </c>
      <c r="L373" s="24" t="str">
        <f>_xlfn.TEXTAFTER(TabelaClean14[[#This Row],[CidadeCPF]]," | ")</f>
        <v>Terras Fluviais</v>
      </c>
      <c r="M373" s="26">
        <v>3200</v>
      </c>
      <c r="N373" s="78">
        <f>_xlfn.XLOOKUP(TabelaClean14[[#This Row],[nome]],Base_Dirty!$B:$B,Base_Dirty!J:J)</f>
        <v>0</v>
      </c>
      <c r="O373" s="1" t="s">
        <v>50</v>
      </c>
      <c r="P37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73" s="84">
        <v>18</v>
      </c>
      <c r="R373" s="1" t="str" cm="1">
        <f t="array" ref="R373">_xlfn.IFS(TabelaClean14[[#This Row],[qtde_batalhas]]&lt;=10,"Baixo",TabelaClean14[[#This Row],[qtde_batalhas]]&gt;=26,"Alto",TabelaClean14[[#This Row],[qtde_batalhas]]&lt;26,"Médio")</f>
        <v>Médio</v>
      </c>
      <c r="S373" s="1" t="str">
        <f>IF(AND(TabelaClean14[[#This Row],[nivel_risco]]="Alto",TabelaClean14[[#This Row],[flag_inadimplente]]="Sim"),"Arriscado","Ok")</f>
        <v>Ok</v>
      </c>
      <c r="T373" s="26">
        <v>64000</v>
      </c>
      <c r="U373" s="81">
        <f>IF(AND(TabelaClean14[[#This Row],[analise_risco]]="Arriscado",TabelaClean14[[#This Row],[analise_credito]]="Reprovado"),0,IF(TabelaClean14[[#This Row],[status]]="Ativo",TabelaClean14[[#This Row],[valor_solicitado]]*1.08,0))</f>
        <v>69120</v>
      </c>
      <c r="V373"/>
      <c r="W373"/>
      <c r="AJ373"/>
      <c r="AM373"/>
      <c r="BB373" s="26">
        <v>3200</v>
      </c>
      <c r="BC373" s="81">
        <f>IF(AND(TabelaClean14[[#This Row],[analise_risco]]="Arriscado",TabelaClean14[[#This Row],[analise_credito]]="Reprovado"),0,IF(TabelaClean14[[#This Row],[status]]="Ativo",TabelaClean14[[#This Row],[valor_solicitado]]*1.08,0))</f>
        <v>69120</v>
      </c>
    </row>
    <row r="374" spans="1:55">
      <c r="A374" s="24" t="s">
        <v>76</v>
      </c>
      <c r="B374" s="17" t="s">
        <v>422</v>
      </c>
      <c r="C374" s="25" t="s">
        <v>423</v>
      </c>
      <c r="D374" s="54">
        <v>45</v>
      </c>
      <c r="E374" s="30">
        <v>29598</v>
      </c>
      <c r="F374" s="24" t="str">
        <f>TabelaClean14[[#This Row],[CidadeCPF]]</f>
        <v>Lannisporto</v>
      </c>
      <c r="G374" s="17" t="str">
        <f>TabelaClean14[[#This Row],[RegiaoCPF]]</f>
        <v>Oeste</v>
      </c>
      <c r="H374" s="17" t="str">
        <f>_xlfn.XLOOKUP(TabelaClean14[[#This Row],[cpf]],TabelaDirty[cpfclean],TabelaDirty[cidade])</f>
        <v>Lannisporto</v>
      </c>
      <c r="I374" s="17" t="str">
        <f>_xlfn.XLOOKUP(TabelaClean14[[#This Row],[cpf]],TabelaDirty[cpfclean],TabelaDirty[regiao])</f>
        <v>oeste</v>
      </c>
      <c r="J374" s="17" t="str">
        <f>PROPER(TabelaClean14[[#This Row],[Coluna1]])</f>
        <v>Oeste</v>
      </c>
      <c r="K374" s="17" t="e">
        <f>_xlfn.TEXTBEFORE(TabelaClean14[[#This Row],[CidadeCPF]]," | ")</f>
        <v>#N/A</v>
      </c>
      <c r="L374" s="24" t="e">
        <f>_xlfn.TEXTAFTER(TabelaClean14[[#This Row],[CidadeCPF]]," | ")</f>
        <v>#N/A</v>
      </c>
      <c r="M374" s="26">
        <v>22800</v>
      </c>
      <c r="N374" s="78">
        <f>_xlfn.XLOOKUP(TabelaClean14[[#This Row],[nome]],Base_Dirty!$B:$B,Base_Dirty!J:J)</f>
        <v>0</v>
      </c>
      <c r="O374" s="1" t="s">
        <v>50</v>
      </c>
      <c r="P37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74" s="84">
        <v>10</v>
      </c>
      <c r="R374" s="1" t="str" cm="1">
        <f t="array" ref="R374">_xlfn.IFS(TabelaClean14[[#This Row],[qtde_batalhas]]&lt;=10,"Baixo",TabelaClean14[[#This Row],[qtde_batalhas]]&gt;=26,"Alto",TabelaClean14[[#This Row],[qtde_batalhas]]&lt;26,"Médio")</f>
        <v>Baixo</v>
      </c>
      <c r="S374" s="1" t="str">
        <f>IF(AND(TabelaClean14[[#This Row],[nivel_risco]]="Alto",TabelaClean14[[#This Row],[flag_inadimplente]]="Sim"),"Arriscado","Ok")</f>
        <v>Ok</v>
      </c>
      <c r="T374" s="26">
        <v>31000</v>
      </c>
      <c r="U374" s="81">
        <f>IF(AND(TabelaClean14[[#This Row],[analise_risco]]="Arriscado",TabelaClean14[[#This Row],[analise_credito]]="Reprovado"),0,IF(TabelaClean14[[#This Row],[status]]="Ativo",TabelaClean14[[#This Row],[valor_solicitado]]*1.08,0))</f>
        <v>33480</v>
      </c>
      <c r="V374"/>
      <c r="W374"/>
      <c r="AJ374"/>
      <c r="AM374"/>
      <c r="BB374" s="26">
        <v>22800</v>
      </c>
      <c r="BC374" s="81">
        <f>IF(AND(TabelaClean14[[#This Row],[analise_risco]]="Arriscado",TabelaClean14[[#This Row],[analise_credito]]="Reprovado"),0,IF(TabelaClean14[[#This Row],[status]]="Ativo",TabelaClean14[[#This Row],[valor_solicitado]]*1.08,0))</f>
        <v>33480</v>
      </c>
    </row>
    <row r="375" spans="1:55">
      <c r="A375" s="24" t="s">
        <v>76</v>
      </c>
      <c r="B375" s="17" t="s">
        <v>240</v>
      </c>
      <c r="C375" s="25" t="s">
        <v>241</v>
      </c>
      <c r="D375" s="54">
        <v>24</v>
      </c>
      <c r="E375" s="30">
        <v>37435</v>
      </c>
      <c r="F375" s="24" t="str">
        <f>TabelaClean14[[#This Row],[CidadeCPF]]</f>
        <v>Atalaia da Água Cinzenta</v>
      </c>
      <c r="G375" s="17" t="str">
        <f>TabelaClean14[[#This Row],[RegiaoCPF]]</f>
        <v>Gargalo</v>
      </c>
      <c r="H375" s="17" t="str">
        <f>_xlfn.XLOOKUP(TabelaClean14[[#This Row],[cpf]],TabelaDirty[cpfclean],TabelaDirty[cidade])</f>
        <v>Atalaia da Água Cinzenta</v>
      </c>
      <c r="I375" s="17" t="str">
        <f>_xlfn.XLOOKUP(TabelaClean14[[#This Row],[cpf]],TabelaDirty[cpfclean],TabelaDirty[regiao])</f>
        <v>gargalo</v>
      </c>
      <c r="J375" s="17" t="str">
        <f>PROPER(TabelaClean14[[#This Row],[Coluna1]])</f>
        <v>Gargalo</v>
      </c>
      <c r="K375" s="17" t="e">
        <f>_xlfn.TEXTBEFORE(TabelaClean14[[#This Row],[CidadeCPF]]," | ")</f>
        <v>#N/A</v>
      </c>
      <c r="L375" s="24" t="e">
        <f>_xlfn.TEXTAFTER(TabelaClean14[[#This Row],[CidadeCPF]]," | ")</f>
        <v>#N/A</v>
      </c>
      <c r="M375" s="26">
        <v>6100</v>
      </c>
      <c r="N375" s="78">
        <f>_xlfn.XLOOKUP(TabelaClean14[[#This Row],[nome]],Base_Dirty!$B:$B,Base_Dirty!J:J)</f>
        <v>0</v>
      </c>
      <c r="O375" s="1" t="s">
        <v>50</v>
      </c>
      <c r="P375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Aprovado</v>
      </c>
      <c r="Q375" s="84">
        <v>15</v>
      </c>
      <c r="R375" s="1" t="str" cm="1">
        <f t="array" ref="R375">_xlfn.IFS(TabelaClean14[[#This Row],[qtde_batalhas]]&lt;=10,"Baixo",TabelaClean14[[#This Row],[qtde_batalhas]]&gt;=26,"Alto",TabelaClean14[[#This Row],[qtde_batalhas]]&lt;26,"Médio")</f>
        <v>Médio</v>
      </c>
      <c r="S375" s="1" t="str">
        <f>IF(AND(TabelaClean14[[#This Row],[nivel_risco]]="Alto",TabelaClean14[[#This Row],[flag_inadimplente]]="Sim"),"Arriscado","Ok")</f>
        <v>Ok</v>
      </c>
      <c r="T375" s="26">
        <v>67000</v>
      </c>
      <c r="U375" s="81">
        <f>IF(AND(TabelaClean14[[#This Row],[analise_risco]]="Arriscado",TabelaClean14[[#This Row],[analise_credito]]="Reprovado"),0,IF(TabelaClean14[[#This Row],[status]]="Ativo",TabelaClean14[[#This Row],[valor_solicitado]]*1.08,0))</f>
        <v>72360</v>
      </c>
      <c r="V375"/>
      <c r="W375"/>
      <c r="AJ375"/>
      <c r="AM375"/>
      <c r="BB375" s="26">
        <v>6100</v>
      </c>
      <c r="BC375" s="81">
        <f>IF(AND(TabelaClean14[[#This Row],[analise_risco]]="Arriscado",TabelaClean14[[#This Row],[analise_credito]]="Reprovado"),0,IF(TabelaClean14[[#This Row],[status]]="Ativo",TabelaClean14[[#This Row],[valor_solicitado]]*1.08,0))</f>
        <v>72360</v>
      </c>
    </row>
    <row r="376" spans="1:55">
      <c r="A376" s="24" t="s">
        <v>76</v>
      </c>
      <c r="B376" s="17" t="s">
        <v>984</v>
      </c>
      <c r="C376" s="25" t="s">
        <v>438</v>
      </c>
      <c r="D376" s="54">
        <v>58</v>
      </c>
      <c r="E376" s="30">
        <v>25066</v>
      </c>
      <c r="F376" s="24" t="str">
        <f>TabelaClean14[[#This Row],[CidadeCPF]]</f>
        <v>Jardim de Cima</v>
      </c>
      <c r="G376" s="17" t="str">
        <f>TabelaClean14[[#This Row],[RegiaoCPF]]</f>
        <v>Campina</v>
      </c>
      <c r="H376" s="17" t="str">
        <f>_xlfn.XLOOKUP(TabelaClean14[[#This Row],[cpf]],TabelaDirty[cpfclean],TabelaDirty[cidade])</f>
        <v>Jardim de Cima</v>
      </c>
      <c r="I376" s="17" t="str">
        <f>_xlfn.XLOOKUP(TabelaClean14[[#This Row],[cpf]],TabelaDirty[cpfclean],TabelaDirty[regiao])</f>
        <v>campina</v>
      </c>
      <c r="J376" s="17" t="str">
        <f>PROPER(TabelaClean14[[#This Row],[Coluna1]])</f>
        <v>Campina</v>
      </c>
      <c r="K376" s="17" t="e">
        <f>_xlfn.TEXTBEFORE(TabelaClean14[[#This Row],[CidadeCPF]]," | ")</f>
        <v>#N/A</v>
      </c>
      <c r="L376" s="24" t="e">
        <f>_xlfn.TEXTAFTER(TabelaClean14[[#This Row],[CidadeCPF]]," | ")</f>
        <v>#N/A</v>
      </c>
      <c r="M376" s="26">
        <v>4500</v>
      </c>
      <c r="O376" s="1" t="s">
        <v>51</v>
      </c>
      <c r="P376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76" s="84">
        <v>31</v>
      </c>
      <c r="R376" s="1" t="str" cm="1">
        <f t="array" ref="R376">_xlfn.IFS(TabelaClean14[[#This Row],[qtde_batalhas]]&lt;=10,"Baixo",TabelaClean14[[#This Row],[qtde_batalhas]]&gt;=26,"Alto",TabelaClean14[[#This Row],[qtde_batalhas]]&lt;26,"Médio")</f>
        <v>Alto</v>
      </c>
      <c r="S376" s="1" t="str">
        <f>IF(AND(TabelaClean14[[#This Row],[nivel_risco]]="Alto",TabelaClean14[[#This Row],[flag_inadimplente]]="Sim"),"Arriscado","Ok")</f>
        <v>Arriscado</v>
      </c>
      <c r="T376" s="26">
        <v>97500</v>
      </c>
      <c r="U376" s="81">
        <f>IF(AND(TabelaClean14[[#This Row],[analise_risco]]="Arriscado",TabelaClean14[[#This Row],[analise_credito]]="Reprovado"),0,IF(TabelaClean14[[#This Row],[status]]="Ativo",TabelaClean14[[#This Row],[valor_solicitado]]*1.08,0))</f>
        <v>105300</v>
      </c>
      <c r="V376"/>
      <c r="W376"/>
      <c r="AJ376"/>
      <c r="AM376"/>
      <c r="BB376" s="26">
        <v>4500</v>
      </c>
      <c r="BC376" s="81">
        <f>IF(AND(TabelaClean14[[#This Row],[analise_risco]]="Arriscado",TabelaClean14[[#This Row],[analise_credito]]="Reprovado"),0,IF(TabelaClean14[[#This Row],[status]]="Ativo",TabelaClean14[[#This Row],[valor_solicitado]]*1.08,0))</f>
        <v>105300</v>
      </c>
    </row>
    <row r="377" spans="1:55">
      <c r="A377" s="24" t="s">
        <v>76</v>
      </c>
      <c r="B377" s="17" t="s">
        <v>236</v>
      </c>
      <c r="C377" s="25" t="s">
        <v>985</v>
      </c>
      <c r="D377" s="54">
        <v>48</v>
      </c>
      <c r="E377" s="30">
        <v>28681</v>
      </c>
      <c r="F377" s="17" t="str">
        <f>TabelaClean14[[#This Row],[CidadeClean]]</f>
        <v>Dorne</v>
      </c>
      <c r="G377" s="17" t="str">
        <f>TabelaClean14[[#This Row],[RegiaoClean]]</f>
        <v>Dorne</v>
      </c>
      <c r="H377" s="17" t="str">
        <f>_xlfn.XLOOKUP(TabelaClean14[[#This Row],[cpf]],TabelaDirty[cpfclean],TabelaDirty[cidade])</f>
        <v>Dorne | Dorne</v>
      </c>
      <c r="I377" s="17">
        <f>_xlfn.XLOOKUP(TabelaClean14[[#This Row],[cpf]],TabelaDirty[cpfclean],TabelaDirty[regiao])</f>
        <v>0</v>
      </c>
      <c r="J377" s="17" t="s">
        <v>183</v>
      </c>
      <c r="K377" s="17" t="str">
        <f>_xlfn.TEXTBEFORE(TabelaClean14[[#This Row],[CidadeCPF]]," | ")</f>
        <v>Dorne</v>
      </c>
      <c r="L377" s="24" t="str">
        <f>_xlfn.TEXTAFTER(TabelaClean14[[#This Row],[CidadeCPF]]," | ")</f>
        <v>Dorne</v>
      </c>
      <c r="M377" s="26">
        <v>15800</v>
      </c>
      <c r="O377" s="1" t="s">
        <v>50</v>
      </c>
      <c r="P377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77" s="84">
        <v>12</v>
      </c>
      <c r="R377" s="1" t="str" cm="1">
        <f t="array" ref="R377">_xlfn.IFS(TabelaClean14[[#This Row],[qtde_batalhas]]&lt;=10,"Baixo",TabelaClean14[[#This Row],[qtde_batalhas]]&gt;=26,"Alto",TabelaClean14[[#This Row],[qtde_batalhas]]&lt;26,"Médio")</f>
        <v>Médio</v>
      </c>
      <c r="S377" s="1" t="str">
        <f>IF(AND(TabelaClean14[[#This Row],[nivel_risco]]="Alto",TabelaClean14[[#This Row],[flag_inadimplente]]="Sim"),"Arriscado","Ok")</f>
        <v>Ok</v>
      </c>
      <c r="T377" s="26">
        <v>69500</v>
      </c>
      <c r="U377" s="81">
        <f>IF(AND(TabelaClean14[[#This Row],[analise_risco]]="Arriscado",TabelaClean14[[#This Row],[analise_credito]]="Reprovado"),0,IF(TabelaClean14[[#This Row],[status]]="Ativo",TabelaClean14[[#This Row],[valor_solicitado]]*1.08,0))</f>
        <v>75060</v>
      </c>
      <c r="V377"/>
      <c r="W377"/>
      <c r="AJ377"/>
      <c r="AM377"/>
      <c r="BB377" s="26">
        <v>15800</v>
      </c>
      <c r="BC377" s="81">
        <f>IF(AND(TabelaClean14[[#This Row],[analise_risco]]="Arriscado",TabelaClean14[[#This Row],[analise_credito]]="Reprovado"),0,IF(TabelaClean14[[#This Row],[status]]="Ativo",TabelaClean14[[#This Row],[valor_solicitado]]*1.08,0))</f>
        <v>75060</v>
      </c>
    </row>
    <row r="378" spans="1:55">
      <c r="A378" s="24" t="s">
        <v>76</v>
      </c>
      <c r="B378" s="17" t="s">
        <v>729</v>
      </c>
      <c r="C378" s="25" t="s">
        <v>730</v>
      </c>
      <c r="D378" s="54">
        <v>69</v>
      </c>
      <c r="E378" s="30">
        <v>21054</v>
      </c>
      <c r="F378" s="24" t="str">
        <f>TabelaClean14[[#This Row],[CidadeCPF]]</f>
        <v>Jardim de Cima</v>
      </c>
      <c r="G378" s="17" t="str">
        <f>TabelaClean14[[#This Row],[RegiaoCPF]]</f>
        <v>Campina</v>
      </c>
      <c r="H378" s="17" t="str">
        <f>_xlfn.XLOOKUP(TabelaClean14[[#This Row],[cpf]],TabelaDirty[cpfclean],TabelaDirty[cidade])</f>
        <v>Jardim de Cima</v>
      </c>
      <c r="I378" s="17" t="str">
        <f>_xlfn.XLOOKUP(TabelaClean14[[#This Row],[cpf]],TabelaDirty[cpfclean],TabelaDirty[regiao])</f>
        <v>Campina</v>
      </c>
      <c r="J378" s="17" t="str">
        <f>PROPER(TabelaClean14[[#This Row],[Coluna1]])</f>
        <v>Campina</v>
      </c>
      <c r="K378" s="17" t="e">
        <f>_xlfn.TEXTBEFORE(TabelaClean14[[#This Row],[CidadeCPF]]," | ")</f>
        <v>#N/A</v>
      </c>
      <c r="L378" s="24" t="e">
        <f>_xlfn.TEXTAFTER(TabelaClean14[[#This Row],[CidadeCPF]]," | ")</f>
        <v>#N/A</v>
      </c>
      <c r="M378" s="26">
        <v>23800</v>
      </c>
      <c r="O378" s="1" t="s">
        <v>50</v>
      </c>
      <c r="P378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78" s="84">
        <v>26</v>
      </c>
      <c r="R378" s="1" t="str" cm="1">
        <f t="array" ref="R378">_xlfn.IFS(TabelaClean14[[#This Row],[qtde_batalhas]]&lt;=10,"Baixo",TabelaClean14[[#This Row],[qtde_batalhas]]&gt;=26,"Alto",TabelaClean14[[#This Row],[qtde_batalhas]]&lt;26,"Médio")</f>
        <v>Alto</v>
      </c>
      <c r="S378" s="1" t="str">
        <f>IF(AND(TabelaClean14[[#This Row],[nivel_risco]]="Alto",TabelaClean14[[#This Row],[flag_inadimplente]]="Sim"),"Arriscado","Ok")</f>
        <v>Ok</v>
      </c>
      <c r="T378" s="26">
        <v>89000</v>
      </c>
      <c r="U378" s="81">
        <f>IF(AND(TabelaClean14[[#This Row],[analise_risco]]="Arriscado",TabelaClean14[[#This Row],[analise_credito]]="Reprovado"),0,IF(TabelaClean14[[#This Row],[status]]="Ativo",TabelaClean14[[#This Row],[valor_solicitado]]*1.08,0))</f>
        <v>96120</v>
      </c>
      <c r="V378"/>
      <c r="W378"/>
      <c r="AJ378"/>
      <c r="AM378"/>
      <c r="BB378" s="26">
        <v>23800</v>
      </c>
      <c r="BC378" s="81">
        <f>IF(AND(TabelaClean14[[#This Row],[analise_risco]]="Arriscado",TabelaClean14[[#This Row],[analise_credito]]="Reprovado"),0,IF(TabelaClean14[[#This Row],[status]]="Ativo",TabelaClean14[[#This Row],[valor_solicitado]]*1.08,0))</f>
        <v>96120</v>
      </c>
    </row>
    <row r="379" spans="1:55">
      <c r="A379" s="24" t="s">
        <v>76</v>
      </c>
      <c r="B379" s="17" t="s">
        <v>87</v>
      </c>
      <c r="C379" s="25" t="s">
        <v>88</v>
      </c>
      <c r="D379" s="54">
        <v>33</v>
      </c>
      <c r="E379" s="30">
        <v>34144</v>
      </c>
      <c r="F379" s="24" t="str">
        <f>TabelaClean14[[#This Row],[CidadeCPF]]</f>
        <v>Pedra do Dragão</v>
      </c>
      <c r="G379" s="17" t="str">
        <f>TabelaClean14[[#This Row],[RegiaoCPF]]</f>
        <v>Terras Da Coroa</v>
      </c>
      <c r="H379" s="17" t="str">
        <f>_xlfn.XLOOKUP(TabelaClean14[[#This Row],[cpf]],TabelaDirty[cpfclean],TabelaDirty[cidade])</f>
        <v>Pedra do Dragão</v>
      </c>
      <c r="I379" s="17" t="str">
        <f>_xlfn.XLOOKUP(TabelaClean14[[#This Row],[cpf]],TabelaDirty[cpfclean],TabelaDirty[regiao])</f>
        <v>Terras da Coroa</v>
      </c>
      <c r="J379" s="17" t="str">
        <f>PROPER(TabelaClean14[[#This Row],[Coluna1]])</f>
        <v>Terras Da Coroa</v>
      </c>
      <c r="K379" s="17" t="e">
        <f>_xlfn.TEXTBEFORE(TabelaClean14[[#This Row],[CidadeCPF]]," | ")</f>
        <v>#N/A</v>
      </c>
      <c r="L379" s="24" t="e">
        <f>_xlfn.TEXTAFTER(TabelaClean14[[#This Row],[CidadeCPF]]," | ")</f>
        <v>#N/A</v>
      </c>
      <c r="M379" s="26">
        <v>21500</v>
      </c>
      <c r="O379" s="1" t="s">
        <v>50</v>
      </c>
      <c r="P379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79" s="84">
        <v>22</v>
      </c>
      <c r="R379" s="1" t="str" cm="1">
        <f t="array" ref="R379">_xlfn.IFS(TabelaClean14[[#This Row],[qtde_batalhas]]&lt;=10,"Baixo",TabelaClean14[[#This Row],[qtde_batalhas]]&gt;=26,"Alto",TabelaClean14[[#This Row],[qtde_batalhas]]&lt;26,"Médio")</f>
        <v>Médio</v>
      </c>
      <c r="S379" s="1" t="str">
        <f>IF(AND(TabelaClean14[[#This Row],[nivel_risco]]="Alto",TabelaClean14[[#This Row],[flag_inadimplente]]="Sim"),"Arriscado","Ok")</f>
        <v>Ok</v>
      </c>
      <c r="T379" s="26">
        <v>51500</v>
      </c>
      <c r="U379" s="81">
        <f>IF(AND(TabelaClean14[[#This Row],[analise_risco]]="Arriscado",TabelaClean14[[#This Row],[analise_credito]]="Reprovado"),0,IF(TabelaClean14[[#This Row],[status]]="Ativo",TabelaClean14[[#This Row],[valor_solicitado]]*1.08,0))</f>
        <v>55620.000000000007</v>
      </c>
      <c r="V379"/>
      <c r="W379"/>
      <c r="AJ379"/>
      <c r="AM379"/>
      <c r="BB379" s="26">
        <v>21500</v>
      </c>
      <c r="BC379" s="81">
        <f>IF(AND(TabelaClean14[[#This Row],[analise_risco]]="Arriscado",TabelaClean14[[#This Row],[analise_credito]]="Reprovado"),0,IF(TabelaClean14[[#This Row],[status]]="Ativo",TabelaClean14[[#This Row],[valor_solicitado]]*1.08,0))</f>
        <v>55620.000000000007</v>
      </c>
    </row>
    <row r="380" spans="1:55">
      <c r="A380" s="24" t="s">
        <v>81</v>
      </c>
      <c r="B380" s="17" t="s">
        <v>624</v>
      </c>
      <c r="C380" s="25" t="s">
        <v>868</v>
      </c>
      <c r="D380" s="54">
        <v>25</v>
      </c>
      <c r="E380" s="30">
        <v>37131</v>
      </c>
      <c r="F380" s="24" t="str">
        <f>TabelaClean14[[#This Row],[CidadeCPF]]</f>
        <v>Lannisporto</v>
      </c>
      <c r="G380" s="17" t="str">
        <f>TabelaClean14[[#This Row],[RegiaoCPF]]</f>
        <v>Oeste</v>
      </c>
      <c r="H380" s="17" t="str">
        <f>_xlfn.XLOOKUP(TabelaClean14[[#This Row],[cpf]],TabelaDirty[cpfclean],TabelaDirty[cidade])</f>
        <v>Lannisporto</v>
      </c>
      <c r="I380" s="17" t="str">
        <f>_xlfn.XLOOKUP(TabelaClean14[[#This Row],[cpf]],TabelaDirty[cpfclean],TabelaDirty[regiao])</f>
        <v>Oeste</v>
      </c>
      <c r="J380" s="17" t="str">
        <f>PROPER(TabelaClean14[[#This Row],[Coluna1]])</f>
        <v>Oeste</v>
      </c>
      <c r="K380" s="17" t="e">
        <f>_xlfn.TEXTBEFORE(TabelaClean14[[#This Row],[CidadeCPF]]," | ")</f>
        <v>#N/A</v>
      </c>
      <c r="L380" s="24" t="e">
        <f>_xlfn.TEXTAFTER(TabelaClean14[[#This Row],[CidadeCPF]]," | ")</f>
        <v>#N/A</v>
      </c>
      <c r="M380" s="26">
        <v>24500</v>
      </c>
      <c r="O380" s="1" t="s">
        <v>50</v>
      </c>
      <c r="P380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0" s="84">
        <v>0</v>
      </c>
      <c r="R380" s="1" t="str" cm="1">
        <f t="array" ref="R380">_xlfn.IFS(TabelaClean14[[#This Row],[qtde_batalhas]]&lt;=10,"Baixo",TabelaClean14[[#This Row],[qtde_batalhas]]&gt;=26,"Alto",TabelaClean14[[#This Row],[qtde_batalhas]]&lt;26,"Médio")</f>
        <v>Baixo</v>
      </c>
      <c r="S380" s="1" t="str">
        <f>IF(AND(TabelaClean14[[#This Row],[nivel_risco]]="Alto",TabelaClean14[[#This Row],[flag_inadimplente]]="Sim"),"Arriscado","Ok")</f>
        <v>Ok</v>
      </c>
      <c r="T380" s="26">
        <v>55000</v>
      </c>
      <c r="U38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V380"/>
      <c r="W380"/>
      <c r="AJ380"/>
      <c r="AM380"/>
      <c r="BB380" s="26">
        <v>24500</v>
      </c>
      <c r="BC380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81" spans="1:55">
      <c r="A381" s="24" t="s">
        <v>76</v>
      </c>
      <c r="B381" s="17" t="s">
        <v>986</v>
      </c>
      <c r="C381" s="25" t="s">
        <v>315</v>
      </c>
      <c r="D381" s="54">
        <v>62</v>
      </c>
      <c r="E381" s="30">
        <v>23488</v>
      </c>
      <c r="F381" s="24" t="str">
        <f>TabelaClean14[[#This Row],[CidadeCPF]]</f>
        <v>Ninho da Águia</v>
      </c>
      <c r="G381" s="17" t="str">
        <f>TabelaClean14[[#This Row],[RegiaoCPF]]</f>
        <v>Vale</v>
      </c>
      <c r="H381" s="17" t="str">
        <f>_xlfn.XLOOKUP(TabelaClean14[[#This Row],[cpf]],TabelaDirty[cpfclean],TabelaDirty[cidade])</f>
        <v>Ninho da Águia</v>
      </c>
      <c r="I381" s="17" t="str">
        <f>_xlfn.XLOOKUP(TabelaClean14[[#This Row],[cpf]],TabelaDirty[cpfclean],TabelaDirty[regiao])</f>
        <v>Vale</v>
      </c>
      <c r="J381" s="17" t="str">
        <f>PROPER(TabelaClean14[[#This Row],[Coluna1]])</f>
        <v>Vale</v>
      </c>
      <c r="K381" s="17" t="e">
        <f>_xlfn.TEXTBEFORE(TabelaClean14[[#This Row],[CidadeCPF]]," | ")</f>
        <v>#N/A</v>
      </c>
      <c r="L381" s="24" t="e">
        <f>_xlfn.TEXTAFTER(TabelaClean14[[#This Row],[CidadeCPF]]," | ")</f>
        <v>#N/A</v>
      </c>
      <c r="M381" s="26">
        <v>0</v>
      </c>
      <c r="O381" s="1" t="s">
        <v>50</v>
      </c>
      <c r="P381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1" s="84">
        <v>38</v>
      </c>
      <c r="R381" s="1" t="str" cm="1">
        <f t="array" ref="R381">_xlfn.IFS(TabelaClean14[[#This Row],[qtde_batalhas]]&lt;=10,"Baixo",TabelaClean14[[#This Row],[qtde_batalhas]]&gt;=26,"Alto",TabelaClean14[[#This Row],[qtde_batalhas]]&lt;26,"Médio")</f>
        <v>Alto</v>
      </c>
      <c r="S381" s="1" t="str">
        <f>IF(AND(TabelaClean14[[#This Row],[nivel_risco]]="Alto",TabelaClean14[[#This Row],[flag_inadimplente]]="Sim"),"Arriscado","Ok")</f>
        <v>Ok</v>
      </c>
      <c r="T381" s="26">
        <v>72000</v>
      </c>
      <c r="U381" s="81">
        <f>IF(AND(TabelaClean14[[#This Row],[analise_risco]]="Arriscado",TabelaClean14[[#This Row],[analise_credito]]="Reprovado"),0,IF(TabelaClean14[[#This Row],[status]]="Ativo",TabelaClean14[[#This Row],[valor_solicitado]]*1.08,0))</f>
        <v>77760</v>
      </c>
      <c r="V381"/>
      <c r="W381"/>
      <c r="AJ381"/>
      <c r="AM381"/>
      <c r="BB381" s="26">
        <v>0</v>
      </c>
      <c r="BC381" s="81">
        <f>IF(AND(TabelaClean14[[#This Row],[analise_risco]]="Arriscado",TabelaClean14[[#This Row],[analise_credito]]="Reprovado"),0,IF(TabelaClean14[[#This Row],[status]]="Ativo",TabelaClean14[[#This Row],[valor_solicitado]]*1.08,0))</f>
        <v>77760</v>
      </c>
    </row>
    <row r="382" spans="1:55">
      <c r="A382" s="24" t="s">
        <v>76</v>
      </c>
      <c r="B382" s="17" t="s">
        <v>563</v>
      </c>
      <c r="C382" s="25" t="s">
        <v>564</v>
      </c>
      <c r="D382" s="54">
        <v>39</v>
      </c>
      <c r="E382" s="30">
        <v>31972</v>
      </c>
      <c r="F382" s="24" t="str">
        <f>TabelaClean14[[#This Row],[CidadeCPF]]</f>
        <v>Correrrio</v>
      </c>
      <c r="G382" s="17" t="str">
        <f>TabelaClean14[[#This Row],[RegiaoCPF]]</f>
        <v>Terras Fluviais</v>
      </c>
      <c r="H382" s="17" t="str">
        <f>_xlfn.XLOOKUP(TabelaClean14[[#This Row],[cpf]],TabelaDirty[cpfclean],TabelaDirty[cidade])</f>
        <v>Correrrio</v>
      </c>
      <c r="I382" s="17" t="str">
        <f>_xlfn.XLOOKUP(TabelaClean14[[#This Row],[cpf]],TabelaDirty[cpfclean],TabelaDirty[regiao])</f>
        <v>TERRAS FLUVIAIS</v>
      </c>
      <c r="J382" s="17" t="str">
        <f>PROPER(TabelaClean14[[#This Row],[Coluna1]])</f>
        <v>Terras Fluviais</v>
      </c>
      <c r="K382" s="17" t="e">
        <f>_xlfn.TEXTBEFORE(TabelaClean14[[#This Row],[CidadeCPF]]," | ")</f>
        <v>#N/A</v>
      </c>
      <c r="L382" s="24" t="e">
        <f>_xlfn.TEXTAFTER(TabelaClean14[[#This Row],[CidadeCPF]]," | ")</f>
        <v>#N/A</v>
      </c>
      <c r="M382" s="26">
        <v>8700</v>
      </c>
      <c r="O382" s="1" t="s">
        <v>50</v>
      </c>
      <c r="P382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2" s="84">
        <v>16</v>
      </c>
      <c r="R382" s="1" t="str" cm="1">
        <f t="array" ref="R382">_xlfn.IFS(TabelaClean14[[#This Row],[qtde_batalhas]]&lt;=10,"Baixo",TabelaClean14[[#This Row],[qtde_batalhas]]&gt;=26,"Alto",TabelaClean14[[#This Row],[qtde_batalhas]]&lt;26,"Médio")</f>
        <v>Médio</v>
      </c>
      <c r="S382" s="1" t="str">
        <f>IF(AND(TabelaClean14[[#This Row],[nivel_risco]]="Alto",TabelaClean14[[#This Row],[flag_inadimplente]]="Sim"),"Arriscado","Ok")</f>
        <v>Ok</v>
      </c>
      <c r="T382" s="26">
        <v>93500</v>
      </c>
      <c r="U382" s="81">
        <f>IF(AND(TabelaClean14[[#This Row],[analise_risco]]="Arriscado",TabelaClean14[[#This Row],[analise_credito]]="Reprovado"),0,IF(TabelaClean14[[#This Row],[status]]="Ativo",TabelaClean14[[#This Row],[valor_solicitado]]*1.08,0))</f>
        <v>100980</v>
      </c>
      <c r="V382"/>
      <c r="W382"/>
      <c r="AJ382"/>
      <c r="AM382"/>
      <c r="BB382" s="26">
        <v>8700</v>
      </c>
      <c r="BC382" s="81">
        <f>IF(AND(TabelaClean14[[#This Row],[analise_risco]]="Arriscado",TabelaClean14[[#This Row],[analise_credito]]="Reprovado"),0,IF(TabelaClean14[[#This Row],[status]]="Ativo",TabelaClean14[[#This Row],[valor_solicitado]]*1.08,0))</f>
        <v>100980</v>
      </c>
    </row>
    <row r="383" spans="1:55">
      <c r="A383" s="24" t="s">
        <v>76</v>
      </c>
      <c r="B383" s="17" t="s">
        <v>214</v>
      </c>
      <c r="C383" s="25" t="s">
        <v>878</v>
      </c>
      <c r="D383" s="54">
        <v>37</v>
      </c>
      <c r="E383" s="30">
        <v>32513</v>
      </c>
      <c r="F383" s="24" t="str">
        <f>TabelaClean14[[#This Row],[CidadeCPF]]</f>
        <v>Monte Chifre</v>
      </c>
      <c r="G383" s="17" t="str">
        <f>TabelaClean14[[#This Row],[RegiaoCPF]]</f>
        <v>Campina</v>
      </c>
      <c r="H383" s="17" t="str">
        <f>_xlfn.XLOOKUP(TabelaClean14[[#This Row],[cpf]],TabelaDirty[cpfclean],TabelaDirty[cidade])</f>
        <v>Monte Chifre</v>
      </c>
      <c r="I383" s="17" t="str">
        <f>_xlfn.XLOOKUP(TabelaClean14[[#This Row],[cpf]],TabelaDirty[cpfclean],TabelaDirty[regiao])</f>
        <v>campina</v>
      </c>
      <c r="J383" s="17" t="str">
        <f>PROPER(TabelaClean14[[#This Row],[Coluna1]])</f>
        <v>Campina</v>
      </c>
      <c r="K383" s="17" t="e">
        <f>_xlfn.TEXTBEFORE(TabelaClean14[[#This Row],[CidadeCPF]]," | ")</f>
        <v>#N/A</v>
      </c>
      <c r="L383" s="24" t="e">
        <f>_xlfn.TEXTAFTER(TabelaClean14[[#This Row],[CidadeCPF]]," | ")</f>
        <v>#N/A</v>
      </c>
      <c r="M383" s="26">
        <v>2600</v>
      </c>
      <c r="O383" s="1" t="s">
        <v>50</v>
      </c>
      <c r="P383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3" s="84">
        <v>5</v>
      </c>
      <c r="R383" s="1" t="str" cm="1">
        <f t="array" ref="R383">_xlfn.IFS(TabelaClean14[[#This Row],[qtde_batalhas]]&lt;=10,"Baixo",TabelaClean14[[#This Row],[qtde_batalhas]]&gt;=26,"Alto",TabelaClean14[[#This Row],[qtde_batalhas]]&lt;26,"Médio")</f>
        <v>Baixo</v>
      </c>
      <c r="S383" s="1" t="str">
        <f>IF(AND(TabelaClean14[[#This Row],[nivel_risco]]="Alto",TabelaClean14[[#This Row],[flag_inadimplente]]="Sim"),"Arriscado","Ok")</f>
        <v>Ok</v>
      </c>
      <c r="T383" s="26">
        <v>16500</v>
      </c>
      <c r="U383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  <c r="V383"/>
      <c r="W383"/>
      <c r="AJ383"/>
      <c r="AM383"/>
      <c r="BB383" s="26">
        <v>2600</v>
      </c>
      <c r="BC383" s="81">
        <f>IF(AND(TabelaClean14[[#This Row],[analise_risco]]="Arriscado",TabelaClean14[[#This Row],[analise_credito]]="Reprovado"),0,IF(TabelaClean14[[#This Row],[status]]="Ativo",TabelaClean14[[#This Row],[valor_solicitado]]*1.08,0))</f>
        <v>17820</v>
      </c>
    </row>
    <row r="384" spans="1:55">
      <c r="A384" s="24" t="s">
        <v>76</v>
      </c>
      <c r="B384" s="17" t="s">
        <v>263</v>
      </c>
      <c r="C384" s="25" t="s">
        <v>884</v>
      </c>
      <c r="D384" s="54">
        <v>39</v>
      </c>
      <c r="E384" s="30">
        <v>31740</v>
      </c>
      <c r="F384" s="24" t="str">
        <f>TabelaClean14[[#This Row],[CidadeCPF]]</f>
        <v>Pyke</v>
      </c>
      <c r="G384" s="17" t="str">
        <f>TabelaClean14[[#This Row],[RegiaoCPF]]</f>
        <v>Ilhas De Ferro</v>
      </c>
      <c r="H384" s="17" t="str">
        <f>_xlfn.XLOOKUP(TabelaClean14[[#This Row],[cpf]],TabelaDirty[cpfclean],TabelaDirty[cidade])</f>
        <v>Pyke</v>
      </c>
      <c r="I384" s="17" t="str">
        <f>_xlfn.XLOOKUP(TabelaClean14[[#This Row],[cpf]],TabelaDirty[cpfclean],TabelaDirty[regiao])</f>
        <v>ILHAS DE FERRO</v>
      </c>
      <c r="J384" s="17" t="str">
        <f>PROPER(TabelaClean14[[#This Row],[Coluna1]])</f>
        <v>Ilhas De Ferro</v>
      </c>
      <c r="K384" s="17" t="e">
        <f>_xlfn.TEXTBEFORE(TabelaClean14[[#This Row],[CidadeCPF]]," | ")</f>
        <v>#N/A</v>
      </c>
      <c r="L384" s="24" t="e">
        <f>_xlfn.TEXTAFTER(TabelaClean14[[#This Row],[CidadeCPF]]," | ")</f>
        <v>#N/A</v>
      </c>
      <c r="M384" s="26">
        <v>13200</v>
      </c>
      <c r="O384" s="1" t="s">
        <v>50</v>
      </c>
      <c r="P384" s="41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4" s="84">
        <v>38</v>
      </c>
      <c r="R384" s="1" t="str" cm="1">
        <f t="array" ref="R384">_xlfn.IFS(TabelaClean14[[#This Row],[qtde_batalhas]]&lt;=10,"Baixo",TabelaClean14[[#This Row],[qtde_batalhas]]&gt;=26,"Alto",TabelaClean14[[#This Row],[qtde_batalhas]]&lt;26,"Médio")</f>
        <v>Alto</v>
      </c>
      <c r="S384" s="1" t="str">
        <f>IF(AND(TabelaClean14[[#This Row],[nivel_risco]]="Alto",TabelaClean14[[#This Row],[flag_inadimplente]]="Sim"),"Arriscado","Ok")</f>
        <v>Ok</v>
      </c>
      <c r="T384" s="26">
        <v>36000</v>
      </c>
      <c r="U384" s="81">
        <f>IF(AND(TabelaClean14[[#This Row],[analise_risco]]="Arriscado",TabelaClean14[[#This Row],[analise_credito]]="Reprovado"),0,IF(TabelaClean14[[#This Row],[status]]="Ativo",TabelaClean14[[#This Row],[valor_solicitado]]*1.08,0))</f>
        <v>38880</v>
      </c>
      <c r="V384"/>
      <c r="W384"/>
      <c r="AJ384"/>
      <c r="AM384"/>
      <c r="BB384" s="26">
        <v>13200</v>
      </c>
      <c r="BC384" s="81">
        <f>IF(AND(TabelaClean14[[#This Row],[analise_risco]]="Arriscado",TabelaClean14[[#This Row],[analise_credito]]="Reprovado"),0,IF(TabelaClean14[[#This Row],[status]]="Ativo",TabelaClean14[[#This Row],[valor_solicitado]]*1.08,0))</f>
        <v>38880</v>
      </c>
    </row>
    <row r="385" spans="1:55">
      <c r="A385" s="24" t="s">
        <v>76</v>
      </c>
      <c r="B385" s="17" t="s">
        <v>987</v>
      </c>
      <c r="C385" s="25" t="s">
        <v>988</v>
      </c>
      <c r="D385" s="54">
        <v>70</v>
      </c>
      <c r="E385" s="30">
        <v>20681</v>
      </c>
      <c r="F385" s="17" t="s">
        <v>127</v>
      </c>
      <c r="G385" s="17" t="s">
        <v>122</v>
      </c>
      <c r="H385" s="24">
        <v>15800</v>
      </c>
      <c r="I385" s="24"/>
      <c r="J385" s="24" t="s">
        <v>50</v>
      </c>
      <c r="K385" s="24"/>
      <c r="L385" s="24"/>
      <c r="M385" s="26">
        <v>91000</v>
      </c>
      <c r="O385" s="1" t="s">
        <v>50</v>
      </c>
      <c r="P385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R385" s="76" t="str" cm="1">
        <f t="array" ref="R385">_xlfn.IFS(TabelaClean14[[#This Row],[qtde_batalhas]]&lt;=10,"Baixo",TabelaClean14[[#This Row],[qtde_batalhas]]&gt;=26,"Alto",TabelaClean14[[#This Row],[qtde_batalhas]]&lt;26,"Médio")</f>
        <v>Baixo</v>
      </c>
      <c r="S385" s="76" t="str">
        <f>IF(AND(TabelaClean14[[#This Row],[nivel_risco]]="Alto",TabelaClean14[[#This Row],[flag_inadimplente]]="Sim"),"Arriscado","Ok")</f>
        <v>Ok</v>
      </c>
      <c r="T385" s="26">
        <v>91000</v>
      </c>
      <c r="U385" s="81">
        <f>IF(AND(TabelaClean14[[#This Row],[analise_risco]]="Arriscado",TabelaClean14[[#This Row],[analise_credito]]="Reprovado"),0,IF(TabelaClean14[[#This Row],[status]]="Ativo",TabelaClean14[[#This Row],[valor_solicitado]]*1.08,0))</f>
        <v>98280</v>
      </c>
      <c r="V385"/>
      <c r="W385"/>
      <c r="AJ385"/>
      <c r="AM385"/>
      <c r="BB385" s="26">
        <v>91000</v>
      </c>
      <c r="BC385" s="81">
        <f>IF(AND(TabelaClean14[[#This Row],[analise_risco]]="Arriscado",TabelaClean14[[#This Row],[analise_credito]]="Reprovado"),0,IF(TabelaClean14[[#This Row],[status]]="Ativo",TabelaClean14[[#This Row],[valor_solicitado]]*1.08,0))</f>
        <v>98280</v>
      </c>
    </row>
    <row r="386" spans="1:55">
      <c r="A386" s="24" t="s">
        <v>812</v>
      </c>
      <c r="B386" s="17" t="s">
        <v>989</v>
      </c>
      <c r="C386" s="25" t="s">
        <v>990</v>
      </c>
      <c r="D386" s="54">
        <v>64</v>
      </c>
      <c r="E386" s="30">
        <v>22845</v>
      </c>
      <c r="F386" s="25" t="s">
        <v>242</v>
      </c>
      <c r="G386" s="25" t="s">
        <v>456</v>
      </c>
      <c r="H386" s="24">
        <v>94000</v>
      </c>
      <c r="I386" s="24"/>
      <c r="J386" s="24" t="s">
        <v>50</v>
      </c>
      <c r="K386" s="24"/>
      <c r="L386" s="24"/>
      <c r="M386" s="26">
        <v>14500</v>
      </c>
      <c r="O386" s="1" t="s">
        <v>50</v>
      </c>
      <c r="P386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R386" s="76" t="str" cm="1">
        <f t="array" ref="R386">_xlfn.IFS(TabelaClean14[[#This Row],[qtde_batalhas]]&lt;=10,"Baixo",TabelaClean14[[#This Row],[qtde_batalhas]]&gt;=26,"Alto",TabelaClean14[[#This Row],[qtde_batalhas]]&lt;26,"Médio")</f>
        <v>Baixo</v>
      </c>
      <c r="S386" s="76" t="str">
        <f>IF(AND(TabelaClean14[[#This Row],[nivel_risco]]="Alto",TabelaClean14[[#This Row],[flag_inadimplente]]="Sim"),"Arriscado","Ok")</f>
        <v>Ok</v>
      </c>
      <c r="T386" s="26">
        <v>14500</v>
      </c>
      <c r="U38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  <c r="V386"/>
      <c r="W386"/>
      <c r="AJ386"/>
      <c r="AM386"/>
      <c r="BB386" s="26">
        <v>14500</v>
      </c>
      <c r="BC386" s="81">
        <f>IF(AND(TabelaClean14[[#This Row],[analise_risco]]="Arriscado",TabelaClean14[[#This Row],[analise_credito]]="Reprovado"),0,IF(TabelaClean14[[#This Row],[status]]="Ativo",TabelaClean14[[#This Row],[valor_solicitado]]*1.08,0))</f>
        <v>0</v>
      </c>
    </row>
    <row r="387" spans="1:55">
      <c r="A387" s="24" t="s">
        <v>76</v>
      </c>
      <c r="B387" s="17" t="s">
        <v>991</v>
      </c>
      <c r="C387" s="25" t="s">
        <v>992</v>
      </c>
      <c r="D387" s="54">
        <v>73</v>
      </c>
      <c r="E387" s="30">
        <v>19364</v>
      </c>
      <c r="F387" s="25" t="s">
        <v>215</v>
      </c>
      <c r="G387" s="25" t="s">
        <v>149</v>
      </c>
      <c r="H387" s="24">
        <v>16500</v>
      </c>
      <c r="I387" s="24"/>
      <c r="J387" s="24" t="s">
        <v>50</v>
      </c>
      <c r="K387" s="24">
        <v>11</v>
      </c>
      <c r="L387" s="24"/>
      <c r="M387" s="26">
        <v>33500</v>
      </c>
      <c r="O387" s="1" t="s">
        <v>50</v>
      </c>
      <c r="P387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7" s="84">
        <v>11</v>
      </c>
      <c r="R387" s="76" t="str" cm="1">
        <f t="array" ref="R387">_xlfn.IFS(TabelaClean14[[#This Row],[qtde_batalhas]]&lt;=10,"Baixo",TabelaClean14[[#This Row],[qtde_batalhas]]&gt;=26,"Alto",TabelaClean14[[#This Row],[qtde_batalhas]]&lt;26,"Médio")</f>
        <v>Médio</v>
      </c>
      <c r="S387" s="76" t="str">
        <f>IF(AND(TabelaClean14[[#This Row],[nivel_risco]]="Alto",TabelaClean14[[#This Row],[flag_inadimplente]]="Sim"),"Arriscado","Ok")</f>
        <v>Ok</v>
      </c>
      <c r="T387" s="26">
        <v>33500</v>
      </c>
      <c r="U387" s="81">
        <f>IF(AND(TabelaClean14[[#This Row],[analise_risco]]="Arriscado",TabelaClean14[[#This Row],[analise_credito]]="Reprovado"),0,IF(TabelaClean14[[#This Row],[status]]="Ativo",TabelaClean14[[#This Row],[valor_solicitado]]*1.08,0))</f>
        <v>36180</v>
      </c>
      <c r="V387"/>
      <c r="W387"/>
      <c r="AJ387"/>
      <c r="AM387"/>
      <c r="BB387" s="26">
        <v>33500</v>
      </c>
      <c r="BC387" s="81">
        <f>IF(AND(TabelaClean14[[#This Row],[analise_risco]]="Arriscado",TabelaClean14[[#This Row],[analise_credito]]="Reprovado"),0,IF(TabelaClean14[[#This Row],[status]]="Ativo",TabelaClean14[[#This Row],[valor_solicitado]]*1.08,0))</f>
        <v>36180</v>
      </c>
    </row>
    <row r="388" spans="1:55">
      <c r="A388" s="24" t="s">
        <v>76</v>
      </c>
      <c r="B388" s="17" t="s">
        <v>993</v>
      </c>
      <c r="C388" s="25" t="s">
        <v>994</v>
      </c>
      <c r="D388" s="54">
        <v>26</v>
      </c>
      <c r="E388" s="30">
        <v>36422</v>
      </c>
      <c r="F388" s="25" t="s">
        <v>89</v>
      </c>
      <c r="G388" s="25" t="s">
        <v>413</v>
      </c>
      <c r="H388" s="24">
        <v>8900</v>
      </c>
      <c r="I388" s="24"/>
      <c r="J388" s="24"/>
      <c r="K388" s="24">
        <v>17</v>
      </c>
      <c r="L388" s="24"/>
      <c r="M388" s="26">
        <v>11000</v>
      </c>
      <c r="P388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8" s="84">
        <v>17</v>
      </c>
      <c r="R388" s="76" t="str" cm="1">
        <f t="array" ref="R388">_xlfn.IFS(TabelaClean14[[#This Row],[qtde_batalhas]]&lt;=10,"Baixo",TabelaClean14[[#This Row],[qtde_batalhas]]&gt;=26,"Alto",TabelaClean14[[#This Row],[qtde_batalhas]]&lt;26,"Médio")</f>
        <v>Médio</v>
      </c>
      <c r="S388" s="76" t="str">
        <f>IF(AND(TabelaClean14[[#This Row],[nivel_risco]]="Alto",TabelaClean14[[#This Row],[flag_inadimplente]]="Sim"),"Arriscado","Ok")</f>
        <v>Ok</v>
      </c>
      <c r="T388" s="26">
        <v>11000</v>
      </c>
      <c r="U388" s="81">
        <f>IF(AND(TabelaClean14[[#This Row],[analise_risco]]="Arriscado",TabelaClean14[[#This Row],[analise_credito]]="Reprovado"),0,IF(TabelaClean14[[#This Row],[status]]="Ativo",TabelaClean14[[#This Row],[valor_solicitado]]*1.08,0))</f>
        <v>11880</v>
      </c>
      <c r="V388"/>
      <c r="W388"/>
      <c r="AJ388"/>
      <c r="AM388"/>
      <c r="BB388" s="26">
        <v>11000</v>
      </c>
      <c r="BC388" s="81">
        <f>IF(AND(TabelaClean14[[#This Row],[analise_risco]]="Arriscado",TabelaClean14[[#This Row],[analise_credito]]="Reprovado"),0,IF(TabelaClean14[[#This Row],[status]]="Ativo",TabelaClean14[[#This Row],[valor_solicitado]]*1.08,0))</f>
        <v>11880</v>
      </c>
    </row>
    <row r="389" spans="1:55">
      <c r="A389" s="24" t="s">
        <v>76</v>
      </c>
      <c r="B389" s="17" t="s">
        <v>995</v>
      </c>
      <c r="C389" s="25" t="s">
        <v>996</v>
      </c>
      <c r="D389" s="54">
        <v>58</v>
      </c>
      <c r="E389" s="30">
        <v>24777</v>
      </c>
      <c r="F389" s="25" t="s">
        <v>79</v>
      </c>
      <c r="G389" s="25" t="s">
        <v>80</v>
      </c>
      <c r="H389" s="24">
        <v>22200</v>
      </c>
      <c r="I389" s="24"/>
      <c r="J389" s="24" t="s">
        <v>50</v>
      </c>
      <c r="K389" s="24">
        <v>42</v>
      </c>
      <c r="L389" s="24"/>
      <c r="M389" s="26">
        <v>33000</v>
      </c>
      <c r="O389" s="1" t="s">
        <v>50</v>
      </c>
      <c r="P389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89" s="84">
        <v>42</v>
      </c>
      <c r="R389" s="76" t="str" cm="1">
        <f t="array" ref="R389">_xlfn.IFS(TabelaClean14[[#This Row],[qtde_batalhas]]&lt;=10,"Baixo",TabelaClean14[[#This Row],[qtde_batalhas]]&gt;=26,"Alto",TabelaClean14[[#This Row],[qtde_batalhas]]&lt;26,"Médio")</f>
        <v>Alto</v>
      </c>
      <c r="S389" s="76" t="str">
        <f>IF(AND(TabelaClean14[[#This Row],[nivel_risco]]="Alto",TabelaClean14[[#This Row],[flag_inadimplente]]="Sim"),"Arriscado","Ok")</f>
        <v>Ok</v>
      </c>
      <c r="T389" s="26">
        <v>33000</v>
      </c>
      <c r="U389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  <c r="V389"/>
      <c r="W389"/>
      <c r="AJ389"/>
      <c r="AM389"/>
      <c r="BB389" s="26">
        <v>33000</v>
      </c>
      <c r="BC389" s="81">
        <f>IF(AND(TabelaClean14[[#This Row],[analise_risco]]="Arriscado",TabelaClean14[[#This Row],[analise_credito]]="Reprovado"),0,IF(TabelaClean14[[#This Row],[status]]="Ativo",TabelaClean14[[#This Row],[valor_solicitado]]*1.08,0))</f>
        <v>35640</v>
      </c>
    </row>
    <row r="390" spans="1:55">
      <c r="A390" s="24" t="s">
        <v>76</v>
      </c>
      <c r="B390" s="17" t="s">
        <v>997</v>
      </c>
      <c r="C390" s="25" t="s">
        <v>998</v>
      </c>
      <c r="D390" s="54">
        <v>56</v>
      </c>
      <c r="E390" s="30">
        <v>25578</v>
      </c>
      <c r="F390" s="25" t="s">
        <v>112</v>
      </c>
      <c r="G390" s="25" t="s">
        <v>113</v>
      </c>
      <c r="H390" s="24">
        <v>14900</v>
      </c>
      <c r="I390" s="24"/>
      <c r="J390" s="24" t="s">
        <v>50</v>
      </c>
      <c r="K390" s="24">
        <v>13</v>
      </c>
      <c r="L390" s="24"/>
      <c r="M390" s="26">
        <v>71000</v>
      </c>
      <c r="O390" s="1" t="s">
        <v>50</v>
      </c>
      <c r="P390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90" s="84">
        <v>13</v>
      </c>
      <c r="R390" s="76" t="str" cm="1">
        <f t="array" ref="R390">_xlfn.IFS(TabelaClean14[[#This Row],[qtde_batalhas]]&lt;=10,"Baixo",TabelaClean14[[#This Row],[qtde_batalhas]]&gt;=26,"Alto",TabelaClean14[[#This Row],[qtde_batalhas]]&lt;26,"Médio")</f>
        <v>Médio</v>
      </c>
      <c r="S390" s="76" t="str">
        <f>IF(AND(TabelaClean14[[#This Row],[nivel_risco]]="Alto",TabelaClean14[[#This Row],[flag_inadimplente]]="Sim"),"Arriscado","Ok")</f>
        <v>Ok</v>
      </c>
      <c r="T390" s="26">
        <v>71000</v>
      </c>
      <c r="U390" s="81">
        <f>IF(AND(TabelaClean14[[#This Row],[analise_risco]]="Arriscado",TabelaClean14[[#This Row],[analise_credito]]="Reprovado"),0,IF(TabelaClean14[[#This Row],[status]]="Ativo",TabelaClean14[[#This Row],[valor_solicitado]]*1.08,0))</f>
        <v>76680</v>
      </c>
      <c r="V390"/>
      <c r="W390"/>
      <c r="AJ390"/>
      <c r="AM390"/>
      <c r="BB390" s="26">
        <v>71000</v>
      </c>
      <c r="BC390" s="81">
        <f>IF(AND(TabelaClean14[[#This Row],[analise_risco]]="Arriscado",TabelaClean14[[#This Row],[analise_credito]]="Reprovado"),0,IF(TabelaClean14[[#This Row],[status]]="Ativo",TabelaClean14[[#This Row],[valor_solicitado]]*1.08,0))</f>
        <v>76680</v>
      </c>
    </row>
    <row r="391" spans="1:55">
      <c r="A391" s="24" t="s">
        <v>76</v>
      </c>
      <c r="B391" s="17" t="s">
        <v>999</v>
      </c>
      <c r="C391" s="25" t="s">
        <v>1000</v>
      </c>
      <c r="D391" s="54">
        <v>35</v>
      </c>
      <c r="E391" s="30">
        <v>33306</v>
      </c>
      <c r="F391" s="25" t="s">
        <v>83</v>
      </c>
      <c r="G391" s="25" t="s">
        <v>303</v>
      </c>
      <c r="H391" s="24">
        <v>9700</v>
      </c>
      <c r="I391" s="24"/>
      <c r="J391" s="24" t="s">
        <v>50</v>
      </c>
      <c r="K391" s="24">
        <v>20</v>
      </c>
      <c r="L391" s="24"/>
      <c r="M391" s="26">
        <v>31000</v>
      </c>
      <c r="O391" s="1" t="s">
        <v>50</v>
      </c>
      <c r="P391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91" s="84">
        <v>20</v>
      </c>
      <c r="R391" s="76" t="str" cm="1">
        <f t="array" ref="R391">_xlfn.IFS(TabelaClean14[[#This Row],[qtde_batalhas]]&lt;=10,"Baixo",TabelaClean14[[#This Row],[qtde_batalhas]]&gt;=26,"Alto",TabelaClean14[[#This Row],[qtde_batalhas]]&lt;26,"Médio")</f>
        <v>Médio</v>
      </c>
      <c r="S391" s="76" t="str">
        <f>IF(AND(TabelaClean14[[#This Row],[nivel_risco]]="Alto",TabelaClean14[[#This Row],[flag_inadimplente]]="Sim"),"Arriscado","Ok")</f>
        <v>Ok</v>
      </c>
      <c r="T391" s="26">
        <v>31000</v>
      </c>
      <c r="U391" s="81">
        <f>IF(AND(TabelaClean14[[#This Row],[analise_risco]]="Arriscado",TabelaClean14[[#This Row],[analise_credito]]="Reprovado"),0,IF(TabelaClean14[[#This Row],[status]]="Ativo",TabelaClean14[[#This Row],[valor_solicitado]]*1.08,0))</f>
        <v>33480</v>
      </c>
      <c r="V391"/>
      <c r="W391"/>
      <c r="AJ391"/>
      <c r="AM391"/>
      <c r="BB391" s="26">
        <v>31000</v>
      </c>
      <c r="BC391" s="81">
        <f>IF(AND(TabelaClean14[[#This Row],[analise_risco]]="Arriscado",TabelaClean14[[#This Row],[analise_credito]]="Reprovado"),0,IF(TabelaClean14[[#This Row],[status]]="Ativo",TabelaClean14[[#This Row],[valor_solicitado]]*1.08,0))</f>
        <v>33480</v>
      </c>
    </row>
    <row r="392" spans="1:55">
      <c r="A392" s="24" t="s">
        <v>76</v>
      </c>
      <c r="B392" s="17" t="s">
        <v>1001</v>
      </c>
      <c r="C392" s="25" t="s">
        <v>1002</v>
      </c>
      <c r="D392" s="54">
        <v>52</v>
      </c>
      <c r="E392" s="30">
        <v>27214</v>
      </c>
      <c r="F392" s="25" t="s">
        <v>172</v>
      </c>
      <c r="G392" s="25" t="s">
        <v>149</v>
      </c>
      <c r="H392" s="24">
        <v>17500</v>
      </c>
      <c r="I392" s="24"/>
      <c r="J392" s="24" t="s">
        <v>50</v>
      </c>
      <c r="K392" s="24">
        <v>0</v>
      </c>
      <c r="L392" s="24"/>
      <c r="M392" s="26">
        <v>42500</v>
      </c>
      <c r="O392" s="1" t="s">
        <v>50</v>
      </c>
      <c r="P392" s="75" t="str">
        <f>IF(AND(TabelaClean14[[#This Row],[credito_tomado]]&gt;50000, TabelaClean14[[#This Row],[flag_inadimplente]]="Sim"), "Reprovado", IF(OR(ISBLANK(TabelaClean14[[#This Row],[credito_tomado]]), ISBLANK(TabelaClean14[[#This Row],[flag_inadimplente]])), "null", "Aprovado"))</f>
        <v>null</v>
      </c>
      <c r="Q392" s="84">
        <v>0</v>
      </c>
      <c r="R392" s="76" t="str" cm="1">
        <f t="array" ref="R392">_xlfn.IFS(TabelaClean14[[#This Row],[qtde_batalhas]]&lt;=10,"Baixo",TabelaClean14[[#This Row],[qtde_batalhas]]&gt;=26,"Alto",TabelaClean14[[#This Row],[qtde_batalhas]]&lt;26,"Médio")</f>
        <v>Baixo</v>
      </c>
      <c r="S392" s="76" t="str">
        <f>IF(AND(TabelaClean14[[#This Row],[nivel_risco]]="Alto",TabelaClean14[[#This Row],[flag_inadimplente]]="Sim"),"Arriscado","Ok")</f>
        <v>Ok</v>
      </c>
      <c r="T392" s="26">
        <v>42500</v>
      </c>
      <c r="U392" s="81">
        <f>IF(AND(TabelaClean14[[#This Row],[analise_risco]]="Arriscado",TabelaClean14[[#This Row],[analise_credito]]="Reprovado"),0,IF(TabelaClean14[[#This Row],[status]]="Ativo",TabelaClean14[[#This Row],[valor_solicitado]]*1.08,0))</f>
        <v>45900</v>
      </c>
      <c r="V392"/>
      <c r="W392"/>
      <c r="AJ392"/>
      <c r="AM392"/>
      <c r="BB392" s="26">
        <v>42500</v>
      </c>
      <c r="BC392" s="81">
        <f>IF(AND(TabelaClean14[[#This Row],[analise_risco]]="Arriscado",TabelaClean14[[#This Row],[analise_credito]]="Reprovado"),0,IF(TabelaClean14[[#This Row],[status]]="Ativo",TabelaClean14[[#This Row],[valor_solicitado]]*1.08,0))</f>
        <v>45900</v>
      </c>
    </row>
    <row r="402" spans="21:55">
      <c r="U402" s="43"/>
      <c r="BC402" s="43"/>
    </row>
    <row r="403" spans="21:55">
      <c r="U403" s="43"/>
      <c r="BC403" s="43"/>
    </row>
    <row r="404" spans="21:55">
      <c r="U404" s="43"/>
      <c r="BC404" s="43"/>
    </row>
    <row r="405" spans="21:55">
      <c r="U405" s="43"/>
      <c r="BC405" s="43"/>
    </row>
    <row r="406" spans="21:55">
      <c r="U406" s="43"/>
      <c r="BC406" s="43"/>
    </row>
    <row r="407" spans="21:55">
      <c r="U407" s="43"/>
      <c r="BC407" s="43"/>
    </row>
    <row r="408" spans="21:55">
      <c r="U408" s="43"/>
      <c r="BC408" s="43"/>
    </row>
    <row r="409" spans="21:55">
      <c r="U409" s="43"/>
      <c r="BC409" s="43"/>
    </row>
    <row r="410" spans="21:55">
      <c r="U410" s="43"/>
      <c r="BC410" s="43"/>
    </row>
    <row r="411" spans="21:55">
      <c r="U411" s="43"/>
      <c r="BC411" s="43"/>
    </row>
    <row r="412" spans="21:55">
      <c r="U412" s="43"/>
      <c r="BC412" s="43"/>
    </row>
    <row r="413" spans="21:55">
      <c r="U413" s="43"/>
      <c r="BC413" s="43"/>
    </row>
    <row r="414" spans="21:55">
      <c r="U414" s="43"/>
      <c r="BC414" s="43"/>
    </row>
    <row r="415" spans="21:55">
      <c r="U415" s="43"/>
      <c r="BC415" s="43"/>
    </row>
    <row r="416" spans="21:55">
      <c r="U416" s="43"/>
      <c r="BC416" s="43"/>
    </row>
    <row r="417" spans="21:55">
      <c r="U417" s="43"/>
      <c r="BC417" s="43"/>
    </row>
    <row r="418" spans="21:55">
      <c r="U418" s="43"/>
      <c r="BC418" s="43"/>
    </row>
    <row r="419" spans="21:55">
      <c r="U419" s="43"/>
      <c r="BC419" s="43"/>
    </row>
    <row r="420" spans="21:55">
      <c r="U420" s="43"/>
      <c r="BC420" s="43"/>
    </row>
    <row r="421" spans="21:55">
      <c r="U421" s="43"/>
      <c r="BC421" s="43"/>
    </row>
    <row r="422" spans="21:55">
      <c r="U422" s="43"/>
      <c r="BC422" s="43"/>
    </row>
    <row r="423" spans="21:55">
      <c r="U423" s="43"/>
      <c r="BC423" s="43"/>
    </row>
    <row r="424" spans="21:55">
      <c r="U424" s="43"/>
      <c r="BC424" s="43"/>
    </row>
    <row r="425" spans="21:55">
      <c r="U425" s="43"/>
      <c r="BC425" s="43"/>
    </row>
    <row r="426" spans="21:55">
      <c r="U426" s="43"/>
      <c r="BC426" s="43"/>
    </row>
    <row r="427" spans="21:55">
      <c r="U427" s="43"/>
      <c r="BC427" s="43"/>
    </row>
  </sheetData>
  <autoFilter ref="AE1:AE326" xr:uid="{32A3A245-B79E-4975-A562-C077F4929AC2}">
    <sortState xmlns:xlrd2="http://schemas.microsoft.com/office/spreadsheetml/2017/richdata2" ref="AE2:AE326">
      <sortCondition ref="AE1:AE326"/>
    </sortState>
  </autoFilter>
  <conditionalFormatting sqref="T1:T324 T428:W1048576 A1:S358 A393:S1048576 P359:P392 V327:V358 T327:T392 V393:W427 V1:V324 N359:N392 T402:T427 T393:U401">
    <cfRule type="cellIs" dxfId="133" priority="28" operator="equal">
      <formula>"null"</formula>
    </cfRule>
  </conditionalFormatting>
  <conditionalFormatting sqref="AM1:AM326">
    <cfRule type="cellIs" dxfId="132" priority="27" operator="equal">
      <formula>"null"</formula>
    </cfRule>
  </conditionalFormatting>
  <conditionalFormatting sqref="Q1">
    <cfRule type="cellIs" dxfId="131" priority="26" operator="equal">
      <formula>"null"</formula>
    </cfRule>
  </conditionalFormatting>
  <conditionalFormatting sqref="R2:S358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{FDE8877D-0946-4D40-B52D-21107701C1A8}</x14:id>
        </ext>
      </extLst>
    </cfRule>
  </conditionalFormatting>
  <conditionalFormatting sqref="Q1:Q1048576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{957A7D9A-616D-40C3-B404-35D101961783}</x14:id>
        </ext>
      </extLst>
    </cfRule>
  </conditionalFormatting>
  <conditionalFormatting sqref="AZ2:AZ200">
    <cfRule type="cellIs" dxfId="130" priority="23" operator="equal">
      <formula>"null"</formula>
    </cfRule>
  </conditionalFormatting>
  <conditionalFormatting sqref="G373">
    <cfRule type="cellIs" dxfId="129" priority="22" operator="equal">
      <formula>"null"</formula>
    </cfRule>
  </conditionalFormatting>
  <conditionalFormatting sqref="G375">
    <cfRule type="cellIs" dxfId="128" priority="21" operator="equal">
      <formula>"null"</formula>
    </cfRule>
  </conditionalFormatting>
  <conditionalFormatting sqref="G364">
    <cfRule type="cellIs" dxfId="127" priority="20" operator="equal">
      <formula>"null"</formula>
    </cfRule>
  </conditionalFormatting>
  <conditionalFormatting sqref="G369">
    <cfRule type="cellIs" dxfId="126" priority="19" operator="equal">
      <formula>"null"</formula>
    </cfRule>
  </conditionalFormatting>
  <conditionalFormatting sqref="G382">
    <cfRule type="cellIs" dxfId="125" priority="18" operator="equal">
      <formula>"null"</formula>
    </cfRule>
  </conditionalFormatting>
  <conditionalFormatting sqref="G389">
    <cfRule type="cellIs" dxfId="124" priority="17" operator="equal">
      <formula>"null"</formula>
    </cfRule>
  </conditionalFormatting>
  <conditionalFormatting sqref="Q359:Q392">
    <cfRule type="cellIs" dxfId="123" priority="16" operator="equal">
      <formula>"null"</formula>
    </cfRule>
  </conditionalFormatting>
  <conditionalFormatting sqref="G359">
    <cfRule type="cellIs" dxfId="122" priority="15" operator="equal">
      <formula>"null"</formula>
    </cfRule>
  </conditionalFormatting>
  <conditionalFormatting sqref="G361">
    <cfRule type="cellIs" dxfId="121" priority="14" operator="equal">
      <formula>"null"</formula>
    </cfRule>
  </conditionalFormatting>
  <conditionalFormatting sqref="G363">
    <cfRule type="cellIs" dxfId="120" priority="13" operator="equal">
      <formula>"null"</formula>
    </cfRule>
  </conditionalFormatting>
  <conditionalFormatting sqref="G379">
    <cfRule type="cellIs" dxfId="119" priority="12" operator="equal">
      <formula>"null"</formula>
    </cfRule>
  </conditionalFormatting>
  <conditionalFormatting sqref="G383">
    <cfRule type="cellIs" dxfId="118" priority="11" operator="equal">
      <formula>"null"</formula>
    </cfRule>
  </conditionalFormatting>
  <conditionalFormatting sqref="M2:M392">
    <cfRule type="colorScale" priority="10">
      <colorScale>
        <cfvo type="min"/>
        <cfvo type="max"/>
        <color rgb="FFFCFCFF"/>
        <color rgb="FF63BE7B"/>
      </colorScale>
    </cfRule>
  </conditionalFormatting>
  <conditionalFormatting sqref="N2:N392">
    <cfRule type="colorScale" priority="9">
      <colorScale>
        <cfvo type="min"/>
        <cfvo type="max"/>
        <color rgb="FFFCFCFF"/>
        <color rgb="FFF8696B"/>
      </colorScale>
    </cfRule>
  </conditionalFormatting>
  <conditionalFormatting sqref="G391">
    <cfRule type="cellIs" dxfId="117" priority="8" operator="equal">
      <formula>"null"</formula>
    </cfRule>
  </conditionalFormatting>
  <conditionalFormatting sqref="G376">
    <cfRule type="cellIs" dxfId="116" priority="7" operator="equal">
      <formula>"null"</formula>
    </cfRule>
  </conditionalFormatting>
  <conditionalFormatting sqref="G360">
    <cfRule type="cellIs" dxfId="115" priority="6" operator="equal">
      <formula>"null"</formula>
    </cfRule>
  </conditionalFormatting>
  <conditionalFormatting sqref="G387">
    <cfRule type="cellIs" dxfId="114" priority="5" operator="equal">
      <formula>"null"</formula>
    </cfRule>
  </conditionalFormatting>
  <conditionalFormatting sqref="U2:U392">
    <cfRule type="cellIs" dxfId="113" priority="4" operator="equal">
      <formula>0</formula>
    </cfRule>
  </conditionalFormatting>
  <conditionalFormatting sqref="BC428:BC1048576 BC393:BC401 BB1:BB358 BB393:BB1048576">
    <cfRule type="cellIs" dxfId="112" priority="3" operator="equal">
      <formula>"null"</formula>
    </cfRule>
  </conditionalFormatting>
  <conditionalFormatting sqref="BB2:BB392">
    <cfRule type="colorScale" priority="2">
      <colorScale>
        <cfvo type="min"/>
        <cfvo type="max"/>
        <color rgb="FFFCFCFF"/>
        <color rgb="FF63BE7B"/>
      </colorScale>
    </cfRule>
  </conditionalFormatting>
  <conditionalFormatting sqref="BC2:BC392">
    <cfRule type="cellIs" dxfId="111" priority="1" operator="equal">
      <formula>0</formula>
    </cfRule>
  </conditionalFormatting>
  <dataValidations count="1">
    <dataValidation type="list" allowBlank="1" showInputMessage="1" showErrorMessage="1" sqref="A2:A38" xr:uid="{E7A39F0A-B81E-4860-9AFF-546F8A04AF66}">
      <formula1>$AB$1:$AB$2</formula1>
    </dataValidation>
  </dataValidations>
  <pageMargins left="0.7" right="0.7" top="0.75" bottom="0.75" header="0.3" footer="0.3"/>
  <legacy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E8877D-0946-4D40-B52D-21107701C1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R2:S358</xm:sqref>
        </x14:conditionalFormatting>
        <x14:conditionalFormatting xmlns:xm="http://schemas.microsoft.com/office/excel/2006/main">
          <x14:cfRule type="dataBar" id="{957A7D9A-616D-40C3-B404-35D10196178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A245-B79E-4975-A562-C077F4929AC2}">
  <dimension ref="A1:BC427"/>
  <sheetViews>
    <sheetView tabSelected="1" topLeftCell="BB1" workbookViewId="0">
      <selection activeCell="T18" sqref="T18"/>
    </sheetView>
  </sheetViews>
  <sheetFormatPr defaultColWidth="9.140625" defaultRowHeight="15"/>
  <cols>
    <col min="1" max="1" width="9.42578125" style="24" customWidth="1"/>
    <col min="2" max="2" width="24.5703125" style="17" customWidth="1"/>
    <col min="3" max="3" width="15" style="25" bestFit="1" customWidth="1"/>
    <col min="4" max="4" width="15" style="54" customWidth="1"/>
    <col min="5" max="5" width="19" style="30" bestFit="1" customWidth="1"/>
    <col min="6" max="6" width="23.140625" style="25" bestFit="1" customWidth="1"/>
    <col min="7" max="7" width="21" style="25" bestFit="1" customWidth="1"/>
    <col min="8" max="8" width="31.85546875" style="25" hidden="1" customWidth="1"/>
    <col min="9" max="9" width="23.42578125" style="25" hidden="1" customWidth="1"/>
    <col min="10" max="12" width="31.85546875" style="25" hidden="1" customWidth="1"/>
    <col min="13" max="13" width="23.42578125" style="26" bestFit="1" customWidth="1"/>
    <col min="14" max="14" width="18.85546875" style="78" bestFit="1" customWidth="1"/>
    <col min="15" max="15" width="20" style="1" bestFit="1" customWidth="1"/>
    <col min="16" max="16" width="20" style="1" customWidth="1"/>
    <col min="17" max="17" width="20" style="84" customWidth="1"/>
    <col min="18" max="18" width="16.42578125" style="1" bestFit="1" customWidth="1"/>
    <col min="19" max="19" width="16.42578125" style="1" customWidth="1"/>
    <col min="20" max="20" width="21" style="26" bestFit="1" customWidth="1"/>
    <col min="21" max="23" width="21" style="26" customWidth="1"/>
    <col min="24" max="24" width="17.7109375" bestFit="1" customWidth="1"/>
    <col min="25" max="30" width="0" hidden="1" customWidth="1"/>
    <col min="31" max="32" width="15" hidden="1" customWidth="1"/>
    <col min="33" max="35" width="0" hidden="1" customWidth="1"/>
    <col min="36" max="36" width="14.140625" style="22" hidden="1" customWidth="1"/>
    <col min="37" max="37" width="14.140625" hidden="1" customWidth="1"/>
    <col min="38" max="38" width="0" hidden="1" customWidth="1"/>
    <col min="39" max="39" width="15.7109375" style="22" hidden="1" customWidth="1"/>
    <col min="40" max="53" width="0" hidden="1" customWidth="1"/>
    <col min="54" max="54" width="23.42578125" style="26" bestFit="1" customWidth="1"/>
    <col min="55" max="55" width="21" style="26" customWidth="1"/>
  </cols>
  <sheetData>
    <row r="1" spans="1:55">
      <c r="A1" s="32" t="s">
        <v>61</v>
      </c>
      <c r="B1" s="33" t="s">
        <v>62</v>
      </c>
      <c r="C1" s="34" t="s">
        <v>63</v>
      </c>
      <c r="D1" s="83" t="s">
        <v>65</v>
      </c>
      <c r="E1" s="35" t="s">
        <v>66</v>
      </c>
      <c r="F1" s="34" t="s">
        <v>67</v>
      </c>
      <c r="G1" s="34" t="s">
        <v>68</v>
      </c>
      <c r="H1" s="34" t="s">
        <v>801</v>
      </c>
      <c r="I1" s="34" t="s">
        <v>802</v>
      </c>
      <c r="J1" s="34" t="s">
        <v>803</v>
      </c>
      <c r="K1" s="34" t="s">
        <v>804</v>
      </c>
      <c r="L1" s="34" t="s">
        <v>805</v>
      </c>
      <c r="M1" s="36" t="s">
        <v>69</v>
      </c>
      <c r="N1" s="77" t="s">
        <v>70</v>
      </c>
      <c r="O1" s="33" t="s">
        <v>71</v>
      </c>
      <c r="P1" s="33" t="s">
        <v>806</v>
      </c>
      <c r="Q1" s="37" t="s">
        <v>72</v>
      </c>
      <c r="R1" s="33" t="s">
        <v>73</v>
      </c>
      <c r="S1" s="33" t="s">
        <v>807</v>
      </c>
      <c r="T1" s="36" t="s">
        <v>75</v>
      </c>
      <c r="U1" s="42" t="s">
        <v>808</v>
      </c>
      <c r="V1" s="36"/>
      <c r="W1" s="33"/>
      <c r="Y1" s="16" t="s">
        <v>68</v>
      </c>
      <c r="AB1" t="s">
        <v>76</v>
      </c>
      <c r="AE1" t="s">
        <v>63</v>
      </c>
      <c r="AJ1" s="22" t="s">
        <v>69</v>
      </c>
      <c r="AM1" s="19"/>
      <c r="AN1" t="s">
        <v>809</v>
      </c>
      <c r="BB1" s="36" t="s">
        <v>69</v>
      </c>
      <c r="BC1" s="42" t="s">
        <v>808</v>
      </c>
    </row>
    <row r="2" spans="1:55">
      <c r="A2" s="24" t="s">
        <v>81</v>
      </c>
      <c r="B2" s="17" t="s">
        <v>420</v>
      </c>
      <c r="C2" s="25" t="s">
        <v>810</v>
      </c>
      <c r="D2" s="54">
        <v>54</v>
      </c>
      <c r="E2" s="30">
        <v>26453</v>
      </c>
      <c r="F2" s="24" t="str">
        <f>TabelaClean[[#This Row],[CidadeCPF]]</f>
        <v>Atalaia da Água Cinzenta</v>
      </c>
      <c r="G2" s="17" t="str">
        <f>TabelaClean[[#This Row],[RegiaoCPF]]</f>
        <v>Gargalo</v>
      </c>
      <c r="H2" s="17" t="str">
        <f>_xlfn.XLOOKUP(TabelaClean[[#This Row],[cpf]],TabelaDirty[cpfclean],TabelaDirty[cidade])</f>
        <v>Atalaia da Água Cinzenta</v>
      </c>
      <c r="I2" s="17" t="str">
        <f>_xlfn.XLOOKUP(TabelaClean[[#This Row],[cpf]],TabelaDirty[cpfclean],TabelaDirty[regiao])</f>
        <v>gargalo</v>
      </c>
      <c r="J2" s="17" t="str">
        <f>PROPER(TabelaClean[[#This Row],[Coluna1]])</f>
        <v>Gargalo</v>
      </c>
      <c r="K2" s="17" t="e">
        <f>_xlfn.TEXTBEFORE(TabelaClean[[#This Row],[CidadeCPF]]," | ")</f>
        <v>#N/A</v>
      </c>
      <c r="L2" s="24" t="e">
        <f>_xlfn.TEXTAFTER(TabelaClean[[#This Row],[CidadeCPF]]," | ")</f>
        <v>#N/A</v>
      </c>
      <c r="M2" s="26">
        <v>3900</v>
      </c>
      <c r="N2" s="78">
        <v>80000</v>
      </c>
      <c r="O2" s="1" t="s">
        <v>50</v>
      </c>
      <c r="P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" s="84">
        <v>41</v>
      </c>
      <c r="R2" s="1" t="str" cm="1">
        <f t="array" ref="R2">_xlfn.IFS(TabelaClean[[#This Row],[qtde_batalhas]]&lt;=10,"Baixo",TabelaClean[[#This Row],[qtde_batalhas]]&gt;=26,"Alto",TabelaClean[[#This Row],[qtde_batalhas]]&lt;26,"Médio")</f>
        <v>Alto</v>
      </c>
      <c r="S2" s="1" t="str">
        <f>IF(AND(TabelaClean[[#This Row],[nivel_risco]]="Alto",TabelaClean[[#This Row],[flag_inadimplente]]="Sim"),"Arriscado","Ok")</f>
        <v>Ok</v>
      </c>
      <c r="T2" s="26">
        <v>30000</v>
      </c>
      <c r="U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" s="1"/>
      <c r="X2" s="23"/>
      <c r="Y2" t="s">
        <v>809</v>
      </c>
      <c r="AB2" t="s">
        <v>81</v>
      </c>
      <c r="AE2">
        <v>200</v>
      </c>
      <c r="AF2" t="str">
        <f>TEXT(AE2,"000\.000\.000\-00")</f>
        <v>000.000.002-00</v>
      </c>
      <c r="AJ2" s="22">
        <v>28400</v>
      </c>
      <c r="AK2">
        <v>28400</v>
      </c>
      <c r="AM2" s="21">
        <v>78000</v>
      </c>
      <c r="AN2">
        <v>78000</v>
      </c>
      <c r="AO2">
        <v>78000</v>
      </c>
      <c r="AQ2" t="s">
        <v>103</v>
      </c>
      <c r="AZ2" s="38" t="s">
        <v>811</v>
      </c>
      <c r="BA2" t="s">
        <v>103</v>
      </c>
      <c r="BB2" s="26">
        <v>3900</v>
      </c>
      <c r="BC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" spans="1:55">
      <c r="A3" s="24" t="s">
        <v>81</v>
      </c>
      <c r="B3" s="17" t="s">
        <v>459</v>
      </c>
      <c r="C3" s="25" t="s">
        <v>460</v>
      </c>
      <c r="D3" s="54" t="s">
        <v>809</v>
      </c>
      <c r="E3" s="30">
        <v>38001</v>
      </c>
      <c r="F3" s="24" t="str">
        <f>TabelaClean[[#This Row],[CidadeCPF]]</f>
        <v>Fosso Cailin</v>
      </c>
      <c r="G3" s="17" t="str">
        <f>TabelaClean[[#This Row],[RegiaoCPF]]</f>
        <v>Norte</v>
      </c>
      <c r="H3" s="17" t="str">
        <f>_xlfn.XLOOKUP(TabelaClean[[#This Row],[cpf]],TabelaDirty[cpfclean],TabelaDirty[cidade])</f>
        <v>Fosso Cailin</v>
      </c>
      <c r="I3" s="17" t="str">
        <f>_xlfn.XLOOKUP(TabelaClean[[#This Row],[cpf]],TabelaDirty[cpfclean],TabelaDirty[regiao])</f>
        <v>NORTE</v>
      </c>
      <c r="J3" s="17" t="str">
        <f>PROPER(TabelaClean[[#This Row],[Coluna1]])</f>
        <v>Norte</v>
      </c>
      <c r="K3" s="17" t="e">
        <f>_xlfn.TEXTBEFORE(TabelaClean[[#This Row],[CidadeCPF]]," | ")</f>
        <v>#N/A</v>
      </c>
      <c r="L3" s="24" t="e">
        <f>_xlfn.TEXTAFTER(TabelaClean[[#This Row],[CidadeCPF]]," | ")</f>
        <v>#N/A</v>
      </c>
      <c r="M3" s="26">
        <v>2100</v>
      </c>
      <c r="N3" s="78">
        <v>79500</v>
      </c>
      <c r="O3" s="1" t="s">
        <v>51</v>
      </c>
      <c r="P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3" s="84">
        <v>29</v>
      </c>
      <c r="R3" s="1" t="str" cm="1">
        <f t="array" ref="R3">_xlfn.IFS(TabelaClean[[#This Row],[qtde_batalhas]]&lt;=10,"Baixo",TabelaClean[[#This Row],[qtde_batalhas]]&gt;=26,"Alto",TabelaClean[[#This Row],[qtde_batalhas]]&lt;26,"Médio")</f>
        <v>Alto</v>
      </c>
      <c r="S3" s="1" t="str">
        <f>IF(AND(TabelaClean[[#This Row],[nivel_risco]]="Alto",TabelaClean[[#This Row],[flag_inadimplente]]="Sim"),"Arriscado","Ok")</f>
        <v>Arriscado</v>
      </c>
      <c r="T3" s="26">
        <v>64000</v>
      </c>
      <c r="U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" s="1"/>
      <c r="X3" s="23"/>
      <c r="Y3" t="s">
        <v>149</v>
      </c>
      <c r="Z3" t="str">
        <f>PROPER(Y3)</f>
        <v>Campina</v>
      </c>
      <c r="AE3">
        <v>2200</v>
      </c>
      <c r="AF3" t="str">
        <f>TEXT(AE3,"000\.000\.000\-00")</f>
        <v>000.000.022-00</v>
      </c>
      <c r="AJ3" s="22">
        <v>23800</v>
      </c>
      <c r="AK3">
        <v>23800</v>
      </c>
      <c r="AM3" s="20" t="s">
        <v>92</v>
      </c>
      <c r="AN3" t="s">
        <v>809</v>
      </c>
      <c r="AO3" t="s">
        <v>809</v>
      </c>
      <c r="AQ3" t="s">
        <v>79</v>
      </c>
      <c r="AZ3" s="39" t="s">
        <v>679</v>
      </c>
      <c r="BA3" t="s">
        <v>79</v>
      </c>
      <c r="BB3" s="26">
        <v>2100</v>
      </c>
      <c r="BC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4" spans="1:55">
      <c r="A4" s="24" t="s">
        <v>76</v>
      </c>
      <c r="B4" s="17" t="s">
        <v>382</v>
      </c>
      <c r="C4" s="27" t="s">
        <v>809</v>
      </c>
      <c r="D4" s="54">
        <v>73</v>
      </c>
      <c r="E4" s="30">
        <v>19538</v>
      </c>
      <c r="F4" s="24" t="s">
        <v>812</v>
      </c>
      <c r="G4" s="17" t="str">
        <f>TabelaClean[[#This Row],[RegiaoCPF]]</f>
        <v>Null</v>
      </c>
      <c r="H4" s="17" t="e">
        <f>_xlfn.XLOOKUP(TabelaClean[[#This Row],[cpf]],TabelaDirty[cpfclean],TabelaDirty[cidade])</f>
        <v>#N/A</v>
      </c>
      <c r="I4" s="17" t="e">
        <f>_xlfn.XLOOKUP(TabelaClean[[#This Row],[cpf]],TabelaDirty[cpfclean],TabelaDirty[regiao])</f>
        <v>#N/A</v>
      </c>
      <c r="J4" s="17" t="s">
        <v>812</v>
      </c>
      <c r="K4" s="17" t="e">
        <f>_xlfn.TEXTBEFORE(TabelaClean[[#This Row],[CidadeCPF]]," | ")</f>
        <v>#N/A</v>
      </c>
      <c r="L4" s="24" t="e">
        <f>_xlfn.TEXTAFTER(TabelaClean[[#This Row],[CidadeCPF]]," | ")</f>
        <v>#N/A</v>
      </c>
      <c r="M4" s="26">
        <v>12700</v>
      </c>
      <c r="N4" s="78">
        <v>79500</v>
      </c>
      <c r="O4" s="1" t="s">
        <v>809</v>
      </c>
      <c r="P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" s="84">
        <v>35</v>
      </c>
      <c r="R4" s="1" t="str" cm="1">
        <f t="array" ref="R4">_xlfn.IFS(TabelaClean[[#This Row],[qtde_batalhas]]&lt;=10,"Baixo",TabelaClean[[#This Row],[qtde_batalhas]]&gt;=26,"Alto",TabelaClean[[#This Row],[qtde_batalhas]]&lt;26,"Médio")</f>
        <v>Alto</v>
      </c>
      <c r="S4" s="1" t="str">
        <f>IF(AND(TabelaClean[[#This Row],[nivel_risco]]="Alto",TabelaClean[[#This Row],[flag_inadimplente]]="Sim"),"Arriscado","Ok")</f>
        <v>Ok</v>
      </c>
      <c r="T4" s="26">
        <v>39000</v>
      </c>
      <c r="U4" s="81">
        <f>IF(AND(TabelaClean[[#This Row],[analise_risco]]="Arriscado",TabelaClean[[#This Row],[analise_credito]]="Reprovado"),0,IF(TabelaClean[[#This Row],[status]]="Ativo",TabelaClean[[#This Row],[valor_solicitado]]*1.08,0))</f>
        <v>42120</v>
      </c>
      <c r="W4" s="1"/>
      <c r="X4" s="23"/>
      <c r="Y4" t="s">
        <v>353</v>
      </c>
      <c r="Z4" t="str">
        <f t="shared" ref="Z4:Z67" si="0">PROPER(Y4)</f>
        <v>Terras Fluviais</v>
      </c>
      <c r="AE4">
        <v>2800</v>
      </c>
      <c r="AF4" t="str">
        <f>TEXT(AE4,"000\.000\.000\-00")</f>
        <v>000.000.028-00</v>
      </c>
      <c r="AJ4" s="22">
        <v>8100</v>
      </c>
      <c r="AK4">
        <v>8100</v>
      </c>
      <c r="AM4" s="21">
        <v>27500</v>
      </c>
      <c r="AN4">
        <v>27500</v>
      </c>
      <c r="AO4">
        <v>27500</v>
      </c>
      <c r="AQ4" t="s">
        <v>172</v>
      </c>
      <c r="AZ4" s="38" t="s">
        <v>438</v>
      </c>
      <c r="BA4" t="s">
        <v>172</v>
      </c>
      <c r="BB4" s="26">
        <v>12700</v>
      </c>
      <c r="BC4" s="81">
        <f>IF(AND(TabelaClean[[#This Row],[analise_risco]]="Arriscado",TabelaClean[[#This Row],[analise_credito]]="Reprovado"),0,IF(TabelaClean[[#This Row],[status]]="Ativo",TabelaClean[[#This Row],[valor_solicitado]]*1.08,0))</f>
        <v>42120</v>
      </c>
    </row>
    <row r="5" spans="1:55">
      <c r="A5" s="24" t="s">
        <v>81</v>
      </c>
      <c r="B5" s="17" t="s">
        <v>789</v>
      </c>
      <c r="C5" s="25" t="s">
        <v>790</v>
      </c>
      <c r="D5" s="54">
        <v>66</v>
      </c>
      <c r="E5" s="30">
        <v>22101</v>
      </c>
      <c r="F5" s="24" t="str">
        <f>TabelaClean[[#This Row],[CidadeCPF]]</f>
        <v>Meereen</v>
      </c>
      <c r="G5" s="17" t="str">
        <f>TabelaClean[[#This Row],[RegiaoCPF]]</f>
        <v>Essos</v>
      </c>
      <c r="H5" s="17" t="str">
        <f>_xlfn.XLOOKUP(TabelaClean[[#This Row],[cpf]],TabelaDirty[cpfclean],TabelaDirty[cidade])</f>
        <v>Meereen</v>
      </c>
      <c r="I5" s="17" t="str">
        <f>_xlfn.XLOOKUP(TabelaClean[[#This Row],[cpf]],TabelaDirty[cpfclean],TabelaDirty[regiao])</f>
        <v>ESSOS</v>
      </c>
      <c r="J5" s="17" t="str">
        <f>PROPER(TabelaClean[[#This Row],[Coluna1]])</f>
        <v>Essos</v>
      </c>
      <c r="K5" s="17" t="e">
        <f>_xlfn.TEXTBEFORE(TabelaClean[[#This Row],[CidadeCPF]]," | ")</f>
        <v>#N/A</v>
      </c>
      <c r="L5" s="24" t="e">
        <f>_xlfn.TEXTAFTER(TabelaClean[[#This Row],[CidadeCPF]]," | ")</f>
        <v>#N/A</v>
      </c>
      <c r="M5" s="26">
        <v>16800</v>
      </c>
      <c r="N5" s="78">
        <v>79500</v>
      </c>
      <c r="O5" s="1" t="s">
        <v>50</v>
      </c>
      <c r="P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" s="84">
        <v>36</v>
      </c>
      <c r="R5" s="1" t="str" cm="1">
        <f t="array" ref="R5">_xlfn.IFS(TabelaClean[[#This Row],[qtde_batalhas]]&lt;=10,"Baixo",TabelaClean[[#This Row],[qtde_batalhas]]&gt;=26,"Alto",TabelaClean[[#This Row],[qtde_batalhas]]&lt;26,"Médio")</f>
        <v>Alto</v>
      </c>
      <c r="S5" s="1" t="str">
        <f>IF(AND(TabelaClean[[#This Row],[nivel_risco]]="Alto",TabelaClean[[#This Row],[flag_inadimplente]]="Sim"),"Arriscado","Ok")</f>
        <v>Ok</v>
      </c>
      <c r="T5" s="26">
        <v>1500</v>
      </c>
      <c r="U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5" s="1"/>
      <c r="X5" s="23"/>
      <c r="Y5" t="s">
        <v>809</v>
      </c>
      <c r="Z5" t="str">
        <f t="shared" si="0"/>
        <v>Null</v>
      </c>
      <c r="AE5">
        <v>3200</v>
      </c>
      <c r="AF5" t="str">
        <f>TEXT(AE5,"000\.000\.000\-00")</f>
        <v>000.000.032-00</v>
      </c>
      <c r="AJ5" s="22">
        <v>6800</v>
      </c>
      <c r="AK5">
        <v>6800</v>
      </c>
      <c r="AM5" s="20">
        <v>12000</v>
      </c>
      <c r="AN5">
        <v>12000</v>
      </c>
      <c r="AO5">
        <v>12000</v>
      </c>
      <c r="AQ5" t="s">
        <v>242</v>
      </c>
      <c r="AZ5" s="39" t="s">
        <v>623</v>
      </c>
      <c r="BA5" t="s">
        <v>242</v>
      </c>
      <c r="BB5" s="26">
        <v>16800</v>
      </c>
      <c r="BC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6" spans="1:55">
      <c r="A6" s="24" t="s">
        <v>76</v>
      </c>
      <c r="B6" s="17" t="s">
        <v>397</v>
      </c>
      <c r="C6" s="25" t="s">
        <v>398</v>
      </c>
      <c r="D6" s="54">
        <v>53</v>
      </c>
      <c r="E6" s="30">
        <v>26584</v>
      </c>
      <c r="F6" s="24" t="str">
        <f>TabelaClean[[#This Row],[CidadeCPF]]</f>
        <v>Fosso Cailin</v>
      </c>
      <c r="G6" s="17" t="str">
        <f>TabelaClean[[#This Row],[RegiaoCPF]]</f>
        <v>Norte</v>
      </c>
      <c r="H6" s="17" t="str">
        <f>_xlfn.XLOOKUP(TabelaClean[[#This Row],[cpf]],TabelaDirty[cpfclean],TabelaDirty[cidade])</f>
        <v>Fosso Cailin</v>
      </c>
      <c r="I6" s="17" t="str">
        <f>_xlfn.XLOOKUP(TabelaClean[[#This Row],[cpf]],TabelaDirty[cpfclean],TabelaDirty[regiao])</f>
        <v>Norte</v>
      </c>
      <c r="J6" s="17" t="str">
        <f>PROPER(TabelaClean[[#This Row],[Coluna1]])</f>
        <v>Norte</v>
      </c>
      <c r="K6" s="17" t="e">
        <f>_xlfn.TEXTBEFORE(TabelaClean[[#This Row],[CidadeCPF]]," | ")</f>
        <v>#N/A</v>
      </c>
      <c r="L6" s="24" t="e">
        <f>_xlfn.TEXTAFTER(TabelaClean[[#This Row],[CidadeCPF]]," | ")</f>
        <v>#N/A</v>
      </c>
      <c r="M6" s="26">
        <v>12200</v>
      </c>
      <c r="N6" s="78">
        <v>79500</v>
      </c>
      <c r="O6" s="1" t="s">
        <v>50</v>
      </c>
      <c r="P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" s="84">
        <v>45</v>
      </c>
      <c r="R6" s="1" t="str" cm="1">
        <f t="array" ref="R6">_xlfn.IFS(TabelaClean[[#This Row],[qtde_batalhas]]&lt;=10,"Baixo",TabelaClean[[#This Row],[qtde_batalhas]]&gt;=26,"Alto",TabelaClean[[#This Row],[qtde_batalhas]]&lt;26,"Médio")</f>
        <v>Alto</v>
      </c>
      <c r="S6" s="1" t="str">
        <f>IF(AND(TabelaClean[[#This Row],[nivel_risco]]="Alto",TabelaClean[[#This Row],[flag_inadimplente]]="Sim"),"Arriscado","Ok")</f>
        <v>Ok</v>
      </c>
      <c r="T6" s="26">
        <v>57000</v>
      </c>
      <c r="U6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  <c r="W6" s="1"/>
      <c r="Y6" t="s">
        <v>809</v>
      </c>
      <c r="Z6" t="str">
        <f t="shared" si="0"/>
        <v>Null</v>
      </c>
      <c r="AE6">
        <v>3400</v>
      </c>
      <c r="AF6" t="str">
        <f>TEXT(AE6,"000\.000\.000\-00")</f>
        <v>000.000.034-00</v>
      </c>
      <c r="AJ6" s="22" t="s">
        <v>235</v>
      </c>
      <c r="AK6">
        <v>11100</v>
      </c>
      <c r="AM6" s="21">
        <v>63000</v>
      </c>
      <c r="AN6">
        <v>63000</v>
      </c>
      <c r="AO6">
        <v>63000</v>
      </c>
      <c r="AQ6" t="s">
        <v>79</v>
      </c>
      <c r="AZ6" s="38" t="s">
        <v>813</v>
      </c>
      <c r="BA6" t="s">
        <v>79</v>
      </c>
      <c r="BB6" s="26">
        <v>12200</v>
      </c>
      <c r="BC6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</row>
    <row r="7" spans="1:55">
      <c r="A7" s="24" t="s">
        <v>76</v>
      </c>
      <c r="B7" s="17" t="s">
        <v>602</v>
      </c>
      <c r="C7" s="25" t="s">
        <v>603</v>
      </c>
      <c r="D7" s="54">
        <v>53</v>
      </c>
      <c r="E7" s="30">
        <v>26620</v>
      </c>
      <c r="F7" s="24" t="str">
        <f>TabelaClean[[#This Row],[CidadeCPF]]</f>
        <v>Ninho da Águia</v>
      </c>
      <c r="G7" s="17" t="str">
        <f>TabelaClean[[#This Row],[RegiaoCPF]]</f>
        <v>Vale</v>
      </c>
      <c r="H7" s="17" t="str">
        <f>_xlfn.XLOOKUP(TabelaClean[[#This Row],[cpf]],TabelaDirty[cpfclean],TabelaDirty[cidade])</f>
        <v>Ninho da Águia</v>
      </c>
      <c r="I7" s="17" t="str">
        <f>_xlfn.XLOOKUP(TabelaClean[[#This Row],[cpf]],TabelaDirty[cpfclean],TabelaDirty[regiao])</f>
        <v>vale</v>
      </c>
      <c r="J7" s="17" t="str">
        <f>PROPER(TabelaClean[[#This Row],[Coluna1]])</f>
        <v>Vale</v>
      </c>
      <c r="K7" s="17" t="e">
        <f>_xlfn.TEXTBEFORE(TabelaClean[[#This Row],[CidadeCPF]]," | ")</f>
        <v>#N/A</v>
      </c>
      <c r="L7" s="24" t="e">
        <f>_xlfn.TEXTAFTER(TabelaClean[[#This Row],[CidadeCPF]]," | ")</f>
        <v>#N/A</v>
      </c>
      <c r="M7" s="26">
        <v>21300</v>
      </c>
      <c r="N7" s="78">
        <v>79500</v>
      </c>
      <c r="O7" s="1" t="s">
        <v>50</v>
      </c>
      <c r="P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" s="84">
        <v>18</v>
      </c>
      <c r="R7" s="1" t="str" cm="1">
        <f t="array" ref="R7">_xlfn.IFS(TabelaClean[[#This Row],[qtde_batalhas]]&lt;=10,"Baixo",TabelaClean[[#This Row],[qtde_batalhas]]&gt;=26,"Alto",TabelaClean[[#This Row],[qtde_batalhas]]&lt;26,"Médio")</f>
        <v>Médio</v>
      </c>
      <c r="S7" s="1" t="str">
        <f>IF(AND(TabelaClean[[#This Row],[nivel_risco]]="Alto",TabelaClean[[#This Row],[flag_inadimplente]]="Sim"),"Arriscado","Ok")</f>
        <v>Ok</v>
      </c>
      <c r="T7" s="26">
        <v>19000</v>
      </c>
      <c r="U7" s="81">
        <f>IF(AND(TabelaClean[[#This Row],[analise_risco]]="Arriscado",TabelaClean[[#This Row],[analise_credito]]="Reprovado"),0,IF(TabelaClean[[#This Row],[status]]="Ativo",TabelaClean[[#This Row],[valor_solicitado]]*1.08,0))</f>
        <v>20520</v>
      </c>
      <c r="W7" s="1"/>
      <c r="Y7" t="s">
        <v>809</v>
      </c>
      <c r="Z7" t="str">
        <f t="shared" si="0"/>
        <v>Null</v>
      </c>
      <c r="AE7">
        <v>3800</v>
      </c>
      <c r="AF7" t="str">
        <f>TEXT(AE7,"000\.000\.000\-00")</f>
        <v>000.000.038-00</v>
      </c>
      <c r="AJ7" s="22">
        <v>5100</v>
      </c>
      <c r="AK7">
        <v>5100</v>
      </c>
      <c r="AM7" s="20">
        <v>25000</v>
      </c>
      <c r="AN7">
        <v>25000</v>
      </c>
      <c r="AO7">
        <v>25000</v>
      </c>
      <c r="AQ7" t="s">
        <v>162</v>
      </c>
      <c r="AZ7" s="39" t="s">
        <v>748</v>
      </c>
      <c r="BA7" t="s">
        <v>162</v>
      </c>
      <c r="BB7" s="26">
        <v>21300</v>
      </c>
      <c r="BC7" s="81">
        <f>IF(AND(TabelaClean[[#This Row],[analise_risco]]="Arriscado",TabelaClean[[#This Row],[analise_credito]]="Reprovado"),0,IF(TabelaClean[[#This Row],[status]]="Ativo",TabelaClean[[#This Row],[valor_solicitado]]*1.08,0))</f>
        <v>20520</v>
      </c>
    </row>
    <row r="8" spans="1:55">
      <c r="A8" s="24" t="s">
        <v>76</v>
      </c>
      <c r="B8" s="17" t="s">
        <v>382</v>
      </c>
      <c r="C8" s="25" t="s">
        <v>814</v>
      </c>
      <c r="D8" s="54">
        <f>_xlfn.XLOOKUP(TabelaClean[[#This Row],[nome]],Base_Dirty!B:B,Base_Dirty!E:E)</f>
        <v>73</v>
      </c>
      <c r="E8" s="51">
        <f>_xlfn.XLOOKUP(TabelaClean[[#This Row],[nome]],Base_Dirty!$B:$B,Base_Dirty!F:F)</f>
        <v>19538</v>
      </c>
      <c r="F8" s="17" t="s">
        <v>89</v>
      </c>
      <c r="G8" s="17" t="s">
        <v>413</v>
      </c>
      <c r="H8" s="24" t="s">
        <v>331</v>
      </c>
      <c r="I8" s="24">
        <v>12700</v>
      </c>
      <c r="J8" s="24">
        <v>79500</v>
      </c>
      <c r="K8" s="24" t="s">
        <v>50</v>
      </c>
      <c r="L8" s="24">
        <v>35</v>
      </c>
      <c r="M8" s="23">
        <f>_xlfn.XLOOKUP(TabelaClean[[#This Row],[nome]],Base_Dirty!$B:$B,Base_Dirty!I:I)</f>
        <v>12700</v>
      </c>
      <c r="N8" s="78">
        <f>_xlfn.XLOOKUP(TabelaClean[[#This Row],[nome]],Base_Dirty!$B:$B,Base_Dirty!J:J)</f>
        <v>79500</v>
      </c>
      <c r="O8" s="79" t="s">
        <v>50</v>
      </c>
      <c r="P8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" s="84">
        <f>_xlfn.XLOOKUP(TabelaClean[[#This Row],[nome]],Base_Dirty!$B:$B,Base_Dirty!L:L)</f>
        <v>35</v>
      </c>
      <c r="R8" s="76" t="str" cm="1">
        <f t="array" ref="R8">_xlfn.IFS(TabelaClean[[#This Row],[qtde_batalhas]]&lt;=10,"Baixo",TabelaClean[[#This Row],[qtde_batalhas]]&gt;=26,"Alto",TabelaClean[[#This Row],[qtde_batalhas]]&lt;26,"Médio")</f>
        <v>Alto</v>
      </c>
      <c r="S8" s="76" t="str">
        <f>IF(AND(TabelaClean[[#This Row],[nivel_risco]]="Alto",TabelaClean[[#This Row],[flag_inadimplente]]="Sim"),"Arriscado","Ok")</f>
        <v>Ok</v>
      </c>
      <c r="T8" s="26">
        <f>_xlfn.XLOOKUP(TabelaClean[[#This Row],[nome]],Base_Dirty!$B:$B,Base_Dirty!O:O)</f>
        <v>39000</v>
      </c>
      <c r="U8" s="81">
        <f>IF(AND(TabelaClean[[#This Row],[analise_risco]]="Arriscado",TabelaClean[[#This Row],[analise_credito]]="Reprovado"),0,IF(TabelaClean[[#This Row],[status]]="Ativo",TabelaClean[[#This Row],[valor_solicitado]]*1.08,0))</f>
        <v>42120</v>
      </c>
      <c r="W8" s="1"/>
      <c r="Y8" t="s">
        <v>809</v>
      </c>
      <c r="Z8" t="str">
        <f t="shared" si="0"/>
        <v>Null</v>
      </c>
      <c r="AE8">
        <v>4900</v>
      </c>
      <c r="AF8" t="str">
        <f>TEXT(AE8,"000\.000\.000\-00")</f>
        <v>000.000.049-00</v>
      </c>
      <c r="AJ8" s="22">
        <v>3800</v>
      </c>
      <c r="AK8">
        <v>3800</v>
      </c>
      <c r="AM8" s="21">
        <v>49500</v>
      </c>
      <c r="AN8">
        <v>49500</v>
      </c>
      <c r="AO8">
        <v>49500</v>
      </c>
      <c r="AQ8" t="s">
        <v>121</v>
      </c>
      <c r="AZ8" s="38" t="s">
        <v>120</v>
      </c>
      <c r="BA8" t="s">
        <v>121</v>
      </c>
      <c r="BB8" s="23">
        <f>_xlfn.XLOOKUP(TabelaClean[[#This Row],[nome]],Base_Dirty!$B:$B,Base_Dirty!AX:AX)</f>
        <v>0</v>
      </c>
      <c r="BC8" s="81">
        <f>IF(AND(TabelaClean[[#This Row],[analise_risco]]="Arriscado",TabelaClean[[#This Row],[analise_credito]]="Reprovado"),0,IF(TabelaClean[[#This Row],[status]]="Ativo",TabelaClean[[#This Row],[valor_solicitado]]*1.08,0))</f>
        <v>42120</v>
      </c>
    </row>
    <row r="9" spans="1:55">
      <c r="A9" s="24" t="s">
        <v>76</v>
      </c>
      <c r="B9" s="17" t="s">
        <v>397</v>
      </c>
      <c r="C9" s="25" t="s">
        <v>815</v>
      </c>
      <c r="D9" s="54">
        <f>_xlfn.XLOOKUP(TabelaClean[[#This Row],[nome]],Base_Dirty!B:B,Base_Dirty!E:E)</f>
        <v>53</v>
      </c>
      <c r="E9" s="51">
        <f>_xlfn.XLOOKUP(TabelaClean[[#This Row],[nome]],Base_Dirty!$B:$B,Base_Dirty!F:F)</f>
        <v>26584</v>
      </c>
      <c r="F9" s="50" t="s">
        <v>162</v>
      </c>
      <c r="G9" s="17" t="s">
        <v>142</v>
      </c>
      <c r="H9" s="24" t="s">
        <v>142</v>
      </c>
      <c r="I9" s="24">
        <v>12200</v>
      </c>
      <c r="J9" s="24">
        <v>79500</v>
      </c>
      <c r="K9" s="24" t="s">
        <v>190</v>
      </c>
      <c r="L9" s="24">
        <v>45</v>
      </c>
      <c r="M9" s="23">
        <f>_xlfn.XLOOKUP(TabelaClean[[#This Row],[nome]],Base_Dirty!$B:$B,Base_Dirty!I:I)</f>
        <v>12200</v>
      </c>
      <c r="N9" s="78">
        <f>_xlfn.XLOOKUP(TabelaClean[[#This Row],[nome]],Base_Dirty!$B:$B,Base_Dirty!J:J)</f>
        <v>79500</v>
      </c>
      <c r="O9" s="79" t="s">
        <v>190</v>
      </c>
      <c r="P9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" s="84">
        <f>_xlfn.XLOOKUP(TabelaClean[[#This Row],[nome]],Base_Dirty!$B:$B,Base_Dirty!L:L)</f>
        <v>45</v>
      </c>
      <c r="R9" s="76" t="str" cm="1">
        <f t="array" ref="R9">_xlfn.IFS(TabelaClean[[#This Row],[qtde_batalhas]]&lt;=10,"Baixo",TabelaClean[[#This Row],[qtde_batalhas]]&gt;=26,"Alto",TabelaClean[[#This Row],[qtde_batalhas]]&lt;26,"Médio")</f>
        <v>Alto</v>
      </c>
      <c r="S9" s="76" t="str">
        <f>IF(AND(TabelaClean[[#This Row],[nivel_risco]]="Alto",TabelaClean[[#This Row],[flag_inadimplente]]="Sim"),"Arriscado","Ok")</f>
        <v>Ok</v>
      </c>
      <c r="T9" s="26">
        <f>_xlfn.XLOOKUP(TabelaClean[[#This Row],[nome]],Base_Dirty!$B:$B,Base_Dirty!O:O)</f>
        <v>57000</v>
      </c>
      <c r="U9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  <c r="W9" s="1"/>
      <c r="Y9" t="s">
        <v>264</v>
      </c>
      <c r="Z9" t="str">
        <f t="shared" si="0"/>
        <v>Ilhas De Ferro</v>
      </c>
      <c r="AE9">
        <v>6300</v>
      </c>
      <c r="AF9" t="str">
        <f>TEXT(AE9,"000\.000\.000\-00")</f>
        <v>000.000.063-00</v>
      </c>
      <c r="AJ9" s="22">
        <v>14900</v>
      </c>
      <c r="AK9">
        <v>14900</v>
      </c>
      <c r="AM9" s="20">
        <v>17000</v>
      </c>
      <c r="AN9">
        <v>17000</v>
      </c>
      <c r="AO9">
        <v>17000</v>
      </c>
      <c r="AQ9" t="s">
        <v>169</v>
      </c>
      <c r="AZ9" s="39" t="s">
        <v>495</v>
      </c>
      <c r="BA9" t="s">
        <v>169</v>
      </c>
      <c r="BB9" s="23">
        <f>_xlfn.XLOOKUP(TabelaClean[[#This Row],[nome]],Base_Dirty!$B:$B,Base_Dirty!AX:AX)</f>
        <v>0</v>
      </c>
      <c r="BC9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</row>
    <row r="10" spans="1:55">
      <c r="A10" s="24" t="s">
        <v>76</v>
      </c>
      <c r="B10" s="17" t="s">
        <v>397</v>
      </c>
      <c r="C10" t="str">
        <f>_xlfn.XLOOKUP(TabelaClean[[#This Row],[nome]],Base_Dirty!$B:$B,Base_Dirty!D:D)</f>
        <v>000.000.314-00</v>
      </c>
      <c r="D10" s="54">
        <f>_xlfn.XLOOKUP(TabelaClean[[#This Row],[nome]],Base_Dirty!B:B,Base_Dirty!E:E)</f>
        <v>53</v>
      </c>
      <c r="E10" s="30">
        <v>53</v>
      </c>
      <c r="F10" s="50" t="s">
        <v>162</v>
      </c>
      <c r="G10" s="17" t="s">
        <v>142</v>
      </c>
      <c r="H10" s="24" t="s">
        <v>142</v>
      </c>
      <c r="I10" s="24">
        <v>12200</v>
      </c>
      <c r="J10" s="24">
        <v>79500</v>
      </c>
      <c r="K10" s="24" t="s">
        <v>190</v>
      </c>
      <c r="L10" s="24">
        <v>45</v>
      </c>
      <c r="M10" s="23">
        <f>_xlfn.XLOOKUP(TabelaClean[[#This Row],[nome]],Base_Dirty!$B:$B,Base_Dirty!I:I)</f>
        <v>12200</v>
      </c>
      <c r="N10" s="78">
        <f>_xlfn.XLOOKUP(TabelaClean[[#This Row],[nome]],Base_Dirty!$B:$B,Base_Dirty!J:J)</f>
        <v>79500</v>
      </c>
      <c r="O10" s="79" t="s">
        <v>50</v>
      </c>
      <c r="P1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" s="84">
        <f>_xlfn.XLOOKUP(TabelaClean[[#This Row],[nome]],Base_Dirty!$B:$B,Base_Dirty!L:L)</f>
        <v>45</v>
      </c>
      <c r="R10" s="76" t="str" cm="1">
        <f t="array" ref="R10">_xlfn.IFS(TabelaClean[[#This Row],[qtde_batalhas]]&lt;=10,"Baixo",TabelaClean[[#This Row],[qtde_batalhas]]&gt;=26,"Alto",TabelaClean[[#This Row],[qtde_batalhas]]&lt;26,"Médio")</f>
        <v>Alto</v>
      </c>
      <c r="S10" s="76" t="str">
        <f>IF(AND(TabelaClean[[#This Row],[nivel_risco]]="Alto",TabelaClean[[#This Row],[flag_inadimplente]]="Sim"),"Arriscado","Ok")</f>
        <v>Ok</v>
      </c>
      <c r="T10" s="26">
        <f>_xlfn.XLOOKUP(TabelaClean[[#This Row],[nome]],Base_Dirty!$B:$B,Base_Dirty!O:O)</f>
        <v>57000</v>
      </c>
      <c r="U10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  <c r="W10" s="1"/>
      <c r="Y10" t="s">
        <v>809</v>
      </c>
      <c r="Z10" t="str">
        <f t="shared" si="0"/>
        <v>Null</v>
      </c>
      <c r="AE10">
        <v>6400</v>
      </c>
      <c r="AF10" t="str">
        <f>TEXT(AE10,"000\.000\.000\-00")</f>
        <v>000.000.064-00</v>
      </c>
      <c r="AJ10" s="22">
        <v>16800</v>
      </c>
      <c r="AK10">
        <v>16800</v>
      </c>
      <c r="AM10" s="21">
        <v>79500</v>
      </c>
      <c r="AN10">
        <v>79500</v>
      </c>
      <c r="AO10">
        <v>79500</v>
      </c>
      <c r="AQ10" t="s">
        <v>242</v>
      </c>
      <c r="AZ10" s="38" t="s">
        <v>455</v>
      </c>
      <c r="BA10" t="s">
        <v>242</v>
      </c>
      <c r="BB10" s="23">
        <f>_xlfn.XLOOKUP(TabelaClean[[#This Row],[nome]],Base_Dirty!$B:$B,Base_Dirty!AX:AX)</f>
        <v>0</v>
      </c>
      <c r="BC10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</row>
    <row r="11" spans="1:55">
      <c r="A11" s="24" t="s">
        <v>81</v>
      </c>
      <c r="B11" s="17" t="s">
        <v>796</v>
      </c>
      <c r="C11" s="25" t="s">
        <v>814</v>
      </c>
      <c r="D11" s="54">
        <v>31</v>
      </c>
      <c r="E11" s="30">
        <v>34746</v>
      </c>
      <c r="F11" s="24" t="str">
        <f>TabelaClean[[#This Row],[CidadeCPF]]</f>
        <v>Braavos</v>
      </c>
      <c r="G11" s="17" t="str">
        <f>TabelaClean[[#This Row],[RegiaoCPF]]</f>
        <v>Essos</v>
      </c>
      <c r="H11" s="17" t="str">
        <f>_xlfn.XLOOKUP(TabelaClean[[#This Row],[cpf]],TabelaDirty[cpfclean],TabelaDirty[cidade])</f>
        <v>Braavos</v>
      </c>
      <c r="I11" s="17" t="str">
        <f>_xlfn.XLOOKUP(TabelaClean[[#This Row],[cpf]],TabelaDirty[cpfclean],TabelaDirty[regiao])</f>
        <v>ESSOS</v>
      </c>
      <c r="J11" s="17" t="str">
        <f>PROPER(TabelaClean[[#This Row],[Coluna1]])</f>
        <v>Essos</v>
      </c>
      <c r="K11" s="17" t="e">
        <f>_xlfn.TEXTBEFORE(TabelaClean[[#This Row],[CidadeCPF]]," | ")</f>
        <v>#N/A</v>
      </c>
      <c r="L11" s="24" t="e">
        <f>_xlfn.TEXTAFTER(TabelaClean[[#This Row],[CidadeCPF]]," | ")</f>
        <v>#N/A</v>
      </c>
      <c r="M11" s="26">
        <v>18200</v>
      </c>
      <c r="N11" s="78">
        <v>78500</v>
      </c>
      <c r="O11" s="1" t="s">
        <v>50</v>
      </c>
      <c r="P1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1" s="84">
        <v>9</v>
      </c>
      <c r="R11" s="1" t="str" cm="1">
        <f t="array" ref="R11">_xlfn.IFS(TabelaClean[[#This Row],[qtde_batalhas]]&lt;=10,"Baixo",TabelaClean[[#This Row],[qtde_batalhas]]&gt;=26,"Alto",TabelaClean[[#This Row],[qtde_batalhas]]&lt;26,"Médio")</f>
        <v>Baixo</v>
      </c>
      <c r="S11" s="1" t="str">
        <f>IF(AND(TabelaClean[[#This Row],[nivel_risco]]="Alto",TabelaClean[[#This Row],[flag_inadimplente]]="Sim"),"Arriscado","Ok")</f>
        <v>Ok</v>
      </c>
      <c r="T11" s="26">
        <v>73000</v>
      </c>
      <c r="U1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1" s="1"/>
      <c r="Y11" t="s">
        <v>809</v>
      </c>
      <c r="Z11" t="str">
        <f t="shared" si="0"/>
        <v>Null</v>
      </c>
      <c r="AE11">
        <v>6900</v>
      </c>
      <c r="AF11" t="str">
        <f>TEXT(AE11,"000\.000\.000\-00")</f>
        <v>000.000.069-00</v>
      </c>
      <c r="AJ11" s="22">
        <v>21600</v>
      </c>
      <c r="AK11">
        <v>21600</v>
      </c>
      <c r="AM11" s="20">
        <v>25000</v>
      </c>
      <c r="AN11">
        <v>25000</v>
      </c>
      <c r="AO11">
        <v>25000</v>
      </c>
      <c r="AQ11" t="s">
        <v>302</v>
      </c>
      <c r="AZ11" s="39" t="s">
        <v>816</v>
      </c>
      <c r="BA11" t="s">
        <v>302</v>
      </c>
      <c r="BB11" s="26">
        <v>18200</v>
      </c>
      <c r="BC1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2" spans="1:55">
      <c r="A12" s="24" t="s">
        <v>76</v>
      </c>
      <c r="B12" s="17" t="s">
        <v>185</v>
      </c>
      <c r="C12" s="25" t="s">
        <v>186</v>
      </c>
      <c r="D12" s="54">
        <v>27</v>
      </c>
      <c r="E12" s="30">
        <v>36319</v>
      </c>
      <c r="F12" s="24" t="str">
        <f>TabelaClean[[#This Row],[CidadeCPF]]</f>
        <v>Ponta Tempestade</v>
      </c>
      <c r="G12" s="17" t="str">
        <f>TabelaClean[[#This Row],[RegiaoCPF]]</f>
        <v>Terras Da Tempestade</v>
      </c>
      <c r="H12" s="17" t="str">
        <f>_xlfn.XLOOKUP(TabelaClean[[#This Row],[cpf]],TabelaDirty[cpfclean],TabelaDirty[cidade])</f>
        <v>Ponta Tempestade</v>
      </c>
      <c r="I12" s="17" t="str">
        <f>_xlfn.XLOOKUP(TabelaClean[[#This Row],[cpf]],TabelaDirty[cpfclean],TabelaDirty[regiao])</f>
        <v>terras da tempestade</v>
      </c>
      <c r="J12" s="17" t="str">
        <f>PROPER(TabelaClean[[#This Row],[Coluna1]])</f>
        <v>Terras Da Tempestade</v>
      </c>
      <c r="K12" s="17" t="e">
        <f>_xlfn.TEXTBEFORE(TabelaClean[[#This Row],[CidadeCPF]]," | ")</f>
        <v>#N/A</v>
      </c>
      <c r="L12" s="24" t="e">
        <f>_xlfn.TEXTAFTER(TabelaClean[[#This Row],[CidadeCPF]]," | ")</f>
        <v>#N/A</v>
      </c>
      <c r="M12" s="26">
        <v>28800</v>
      </c>
      <c r="N12" s="78">
        <v>78500</v>
      </c>
      <c r="O12" s="1" t="s">
        <v>50</v>
      </c>
      <c r="P1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" s="84">
        <v>2</v>
      </c>
      <c r="R12" s="1" t="str" cm="1">
        <f t="array" ref="R12">_xlfn.IFS(TabelaClean[[#This Row],[qtde_batalhas]]&lt;=10,"Baixo",TabelaClean[[#This Row],[qtde_batalhas]]&gt;=26,"Alto",TabelaClean[[#This Row],[qtde_batalhas]]&lt;26,"Médio")</f>
        <v>Baixo</v>
      </c>
      <c r="S12" s="1" t="str">
        <f>IF(AND(TabelaClean[[#This Row],[nivel_risco]]="Alto",TabelaClean[[#This Row],[flag_inadimplente]]="Sim"),"Arriscado","Ok")</f>
        <v>Ok</v>
      </c>
      <c r="T12" s="26">
        <v>53000</v>
      </c>
      <c r="U12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  <c r="W12" s="1"/>
      <c r="Y12" t="s">
        <v>139</v>
      </c>
      <c r="Z12" t="str">
        <f t="shared" si="0"/>
        <v>Terras Fluviais</v>
      </c>
      <c r="AE12">
        <v>7700</v>
      </c>
      <c r="AF12" t="str">
        <f>TEXT(AE12,"000\.000\.000\-00")</f>
        <v>000.000.077-00</v>
      </c>
      <c r="AJ12" s="22" t="s">
        <v>220</v>
      </c>
      <c r="AK12">
        <v>3800</v>
      </c>
      <c r="AM12" s="21">
        <v>0</v>
      </c>
      <c r="AN12">
        <v>0</v>
      </c>
      <c r="AO12">
        <v>0</v>
      </c>
      <c r="AQ12" t="s">
        <v>127</v>
      </c>
      <c r="AZ12" s="38" t="s">
        <v>453</v>
      </c>
      <c r="BA12" t="s">
        <v>127</v>
      </c>
      <c r="BB12" s="26">
        <v>28800</v>
      </c>
      <c r="BC12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</row>
    <row r="13" spans="1:55">
      <c r="A13" s="24" t="s">
        <v>76</v>
      </c>
      <c r="B13" s="17" t="s">
        <v>710</v>
      </c>
      <c r="C13" s="25" t="s">
        <v>711</v>
      </c>
      <c r="D13" s="54">
        <v>36</v>
      </c>
      <c r="E13" s="30">
        <v>33117</v>
      </c>
      <c r="F13" s="24" t="str">
        <f>TabelaClean[[#This Row],[CidadeCPF]]</f>
        <v>Atalaia da Água Cinzenta</v>
      </c>
      <c r="G13" s="17" t="str">
        <f>TabelaClean[[#This Row],[RegiaoCPF]]</f>
        <v>Gargalo</v>
      </c>
      <c r="H13" s="17" t="str">
        <f>_xlfn.XLOOKUP(TabelaClean[[#This Row],[cpf]],TabelaDirty[cpfclean],TabelaDirty[cidade])</f>
        <v>Atalaia da Água Cinzenta</v>
      </c>
      <c r="I13" s="17" t="str">
        <f>_xlfn.XLOOKUP(TabelaClean[[#This Row],[cpf]],TabelaDirty[cpfclean],TabelaDirty[regiao])</f>
        <v>Gargalo</v>
      </c>
      <c r="J13" s="17" t="str">
        <f>PROPER(TabelaClean[[#This Row],[Coluna1]])</f>
        <v>Gargalo</v>
      </c>
      <c r="K13" s="17" t="e">
        <f>_xlfn.TEXTBEFORE(TabelaClean[[#This Row],[CidadeCPF]]," | ")</f>
        <v>#N/A</v>
      </c>
      <c r="L13" s="24" t="e">
        <f>_xlfn.TEXTAFTER(TabelaClean[[#This Row],[CidadeCPF]]," | ")</f>
        <v>#N/A</v>
      </c>
      <c r="M13" s="26">
        <v>11600</v>
      </c>
      <c r="N13" s="78">
        <v>78500</v>
      </c>
      <c r="O13" s="1" t="s">
        <v>50</v>
      </c>
      <c r="P1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" s="84">
        <v>1</v>
      </c>
      <c r="R13" s="1" t="str" cm="1">
        <f t="array" ref="R13">_xlfn.IFS(TabelaClean[[#This Row],[qtde_batalhas]]&lt;=10,"Baixo",TabelaClean[[#This Row],[qtde_batalhas]]&gt;=26,"Alto",TabelaClean[[#This Row],[qtde_batalhas]]&lt;26,"Médio")</f>
        <v>Baixo</v>
      </c>
      <c r="S13" s="1" t="str">
        <f>IF(AND(TabelaClean[[#This Row],[nivel_risco]]="Alto",TabelaClean[[#This Row],[flag_inadimplente]]="Sim"),"Arriscado","Ok")</f>
        <v>Ok</v>
      </c>
      <c r="T13" s="26">
        <v>42000</v>
      </c>
      <c r="U13" s="81">
        <f>IF(AND(TabelaClean[[#This Row],[analise_risco]]="Arriscado",TabelaClean[[#This Row],[analise_credito]]="Reprovado"),0,IF(TabelaClean[[#This Row],[status]]="Ativo",TabelaClean[[#This Row],[valor_solicitado]]*1.08,0))</f>
        <v>45360</v>
      </c>
      <c r="W13" s="1"/>
      <c r="Y13" t="s">
        <v>809</v>
      </c>
      <c r="Z13" t="str">
        <f t="shared" si="0"/>
        <v>Null</v>
      </c>
      <c r="AE13">
        <v>8200</v>
      </c>
      <c r="AF13" t="str">
        <f>TEXT(AE13,"000\.000\.000\-00")</f>
        <v>000.000.082-00</v>
      </c>
      <c r="AJ13" s="22">
        <v>25200</v>
      </c>
      <c r="AK13">
        <v>25200</v>
      </c>
      <c r="AM13" s="20">
        <v>59500</v>
      </c>
      <c r="AN13">
        <v>59500</v>
      </c>
      <c r="AO13">
        <v>59500</v>
      </c>
      <c r="AQ13" t="s">
        <v>172</v>
      </c>
      <c r="AZ13" s="39" t="s">
        <v>817</v>
      </c>
      <c r="BA13" t="s">
        <v>172</v>
      </c>
      <c r="BB13" s="26">
        <v>11600</v>
      </c>
      <c r="BC13" s="81">
        <f>IF(AND(TabelaClean[[#This Row],[analise_risco]]="Arriscado",TabelaClean[[#This Row],[analise_credito]]="Reprovado"),0,IF(TabelaClean[[#This Row],[status]]="Ativo",TabelaClean[[#This Row],[valor_solicitado]]*1.08,0))</f>
        <v>45360</v>
      </c>
    </row>
    <row r="14" spans="1:55">
      <c r="A14" s="24" t="s">
        <v>81</v>
      </c>
      <c r="B14" s="17" t="s">
        <v>818</v>
      </c>
      <c r="C14" s="25" t="s">
        <v>502</v>
      </c>
      <c r="D14" s="54">
        <v>65</v>
      </c>
      <c r="E14" s="30">
        <v>22205</v>
      </c>
      <c r="F14" s="24" t="str">
        <f>TabelaClean[[#This Row],[CidadeCPF]]</f>
        <v>Castelo Negro</v>
      </c>
      <c r="G14" s="17" t="str">
        <f>TabelaClean[[#This Row],[RegiaoCPF]]</f>
        <v>Norte</v>
      </c>
      <c r="H14" s="17" t="str">
        <f>_xlfn.XLOOKUP(TabelaClean[[#This Row],[cpf]],TabelaDirty[cpfclean],TabelaDirty[cidade])</f>
        <v>Castelo Negro</v>
      </c>
      <c r="I14" s="17" t="str">
        <f>_xlfn.XLOOKUP(TabelaClean[[#This Row],[cpf]],TabelaDirty[cpfclean],TabelaDirty[regiao])</f>
        <v>Norte</v>
      </c>
      <c r="J14" s="17" t="str">
        <f>PROPER(TabelaClean[[#This Row],[Coluna1]])</f>
        <v>Norte</v>
      </c>
      <c r="K14" s="17" t="e">
        <f>_xlfn.TEXTBEFORE(TabelaClean[[#This Row],[CidadeCPF]]," | ")</f>
        <v>#N/A</v>
      </c>
      <c r="L14" s="24" t="e">
        <f>_xlfn.TEXTAFTER(TabelaClean[[#This Row],[CidadeCPF]]," | ")</f>
        <v>#N/A</v>
      </c>
      <c r="M14" s="26">
        <v>19800</v>
      </c>
      <c r="N14" s="78">
        <v>78500</v>
      </c>
      <c r="O14" s="1" t="s">
        <v>50</v>
      </c>
      <c r="P1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" s="84">
        <v>34</v>
      </c>
      <c r="R14" s="1" t="str" cm="1">
        <f t="array" ref="R14">_xlfn.IFS(TabelaClean[[#This Row],[qtde_batalhas]]&lt;=10,"Baixo",TabelaClean[[#This Row],[qtde_batalhas]]&gt;=26,"Alto",TabelaClean[[#This Row],[qtde_batalhas]]&lt;26,"Médio")</f>
        <v>Alto</v>
      </c>
      <c r="S14" s="1" t="str">
        <f>IF(AND(TabelaClean[[#This Row],[nivel_risco]]="Alto",TabelaClean[[#This Row],[flag_inadimplente]]="Sim"),"Arriscado","Ok")</f>
        <v>Ok</v>
      </c>
      <c r="T14" s="26">
        <v>23000</v>
      </c>
      <c r="U1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4" s="1"/>
      <c r="Y14" t="s">
        <v>122</v>
      </c>
      <c r="Z14" t="str">
        <f t="shared" si="0"/>
        <v>Essos</v>
      </c>
      <c r="AE14">
        <v>8600</v>
      </c>
      <c r="AF14" t="str">
        <f>TEXT(AE14,"000\.000\.000\-00")</f>
        <v>000.000.086-00</v>
      </c>
      <c r="AJ14" s="22">
        <v>16300</v>
      </c>
      <c r="AK14">
        <v>16300</v>
      </c>
      <c r="AM14" s="21">
        <v>16500</v>
      </c>
      <c r="AN14">
        <v>16500</v>
      </c>
      <c r="AO14">
        <v>16500</v>
      </c>
      <c r="AQ14" t="s">
        <v>148</v>
      </c>
      <c r="AZ14" s="38" t="s">
        <v>819</v>
      </c>
      <c r="BA14" t="s">
        <v>148</v>
      </c>
      <c r="BB14" s="26">
        <v>19800</v>
      </c>
      <c r="BC1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5" spans="1:55">
      <c r="A15" s="24" t="s">
        <v>81</v>
      </c>
      <c r="B15" s="17" t="s">
        <v>818</v>
      </c>
      <c r="C15" s="25" t="s">
        <v>502</v>
      </c>
      <c r="D15" s="54">
        <v>65</v>
      </c>
      <c r="E15" s="30">
        <v>22205</v>
      </c>
      <c r="F15" s="25" t="s">
        <v>141</v>
      </c>
      <c r="G15" s="25" t="s">
        <v>142</v>
      </c>
      <c r="H15" s="24">
        <v>19800</v>
      </c>
      <c r="I15" s="24">
        <v>78500</v>
      </c>
      <c r="J15" s="24" t="s">
        <v>50</v>
      </c>
      <c r="K15" s="24">
        <v>34</v>
      </c>
      <c r="L15" s="24"/>
      <c r="M15" s="26">
        <v>84000</v>
      </c>
      <c r="N15" s="78">
        <v>78500</v>
      </c>
      <c r="O15" s="1" t="s">
        <v>50</v>
      </c>
      <c r="P15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" s="84">
        <v>34</v>
      </c>
      <c r="R15" s="76" t="str" cm="1">
        <f t="array" ref="R15">_xlfn.IFS(TabelaClean[[#This Row],[qtde_batalhas]]&lt;=10,"Baixo",TabelaClean[[#This Row],[qtde_batalhas]]&gt;=26,"Alto",TabelaClean[[#This Row],[qtde_batalhas]]&lt;26,"Médio")</f>
        <v>Alto</v>
      </c>
      <c r="S15" s="76" t="str">
        <f>IF(AND(TabelaClean[[#This Row],[nivel_risco]]="Alto",TabelaClean[[#This Row],[flag_inadimplente]]="Sim"),"Arriscado","Ok")</f>
        <v>Ok</v>
      </c>
      <c r="T15" s="26">
        <v>84000</v>
      </c>
      <c r="U1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5" s="1"/>
      <c r="Y15" t="s">
        <v>809</v>
      </c>
      <c r="Z15" t="str">
        <f t="shared" si="0"/>
        <v>Null</v>
      </c>
      <c r="AE15">
        <v>9600</v>
      </c>
      <c r="AF15" t="str">
        <f>TEXT(AE15,"000\.000\.000\-00")</f>
        <v>000.000.096-00</v>
      </c>
      <c r="AJ15" s="22">
        <v>16100</v>
      </c>
      <c r="AK15">
        <v>16100</v>
      </c>
      <c r="AM15" s="20">
        <v>8000</v>
      </c>
      <c r="AN15">
        <v>8000</v>
      </c>
      <c r="AO15">
        <v>8000</v>
      </c>
      <c r="AQ15" t="s">
        <v>162</v>
      </c>
      <c r="AZ15" s="39" t="s">
        <v>312</v>
      </c>
      <c r="BA15" t="s">
        <v>162</v>
      </c>
      <c r="BB15" s="26">
        <v>84000</v>
      </c>
      <c r="BC1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6" spans="1:55">
      <c r="A16" s="24" t="s">
        <v>76</v>
      </c>
      <c r="B16" s="17" t="s">
        <v>359</v>
      </c>
      <c r="C16" s="25" t="s">
        <v>820</v>
      </c>
      <c r="D16" s="54">
        <v>47</v>
      </c>
      <c r="E16" s="30">
        <v>29031</v>
      </c>
      <c r="F16" s="17" t="str">
        <f>TabelaClean[[#This Row],[CidadeClean]]</f>
        <v>Meereen</v>
      </c>
      <c r="G16" s="17" t="str">
        <f>TabelaClean[[#This Row],[RegiaoClean]]</f>
        <v>Essos</v>
      </c>
      <c r="H16" s="17" t="str">
        <f>_xlfn.XLOOKUP(TabelaClean[[#This Row],[cpf]],TabelaDirty[cpfclean],TabelaDirty[cidade])</f>
        <v>Meereen | Essos</v>
      </c>
      <c r="I16" s="17">
        <f>_xlfn.XLOOKUP(TabelaClean[[#This Row],[cpf]],TabelaDirty[cpfclean],TabelaDirty[regiao])</f>
        <v>0</v>
      </c>
      <c r="J16" s="17" t="s">
        <v>122</v>
      </c>
      <c r="K16" s="17" t="str">
        <f>_xlfn.TEXTBEFORE(TabelaClean[[#This Row],[CidadeCPF]]," | ")</f>
        <v>Meereen</v>
      </c>
      <c r="L16" s="24" t="str">
        <f>_xlfn.TEXTAFTER(TabelaClean[[#This Row],[CidadeCPF]]," | ")</f>
        <v>Essos</v>
      </c>
      <c r="M16" s="26">
        <v>28400</v>
      </c>
      <c r="N16" s="78">
        <v>78000</v>
      </c>
      <c r="O16" s="1" t="s">
        <v>50</v>
      </c>
      <c r="P1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" s="84">
        <v>37</v>
      </c>
      <c r="R16" s="1" t="str" cm="1">
        <f t="array" ref="R16">_xlfn.IFS(TabelaClean[[#This Row],[qtde_batalhas]]&lt;=10,"Baixo",TabelaClean[[#This Row],[qtde_batalhas]]&gt;=26,"Alto",TabelaClean[[#This Row],[qtde_batalhas]]&lt;26,"Médio")</f>
        <v>Alto</v>
      </c>
      <c r="S16" s="1" t="str">
        <f>IF(AND(TabelaClean[[#This Row],[nivel_risco]]="Alto",TabelaClean[[#This Row],[flag_inadimplente]]="Sim"),"Arriscado","Ok")</f>
        <v>Ok</v>
      </c>
      <c r="T16" s="26">
        <v>99000</v>
      </c>
      <c r="U16" s="81">
        <f>IF(AND(TabelaClean[[#This Row],[analise_risco]]="Arriscado",TabelaClean[[#This Row],[analise_credito]]="Reprovado"),0,IF(TabelaClean[[#This Row],[status]]="Ativo",TabelaClean[[#This Row],[valor_solicitado]]*1.08,0))</f>
        <v>106920</v>
      </c>
      <c r="W16" s="1"/>
      <c r="Y16" t="s">
        <v>809</v>
      </c>
      <c r="Z16" t="str">
        <f t="shared" si="0"/>
        <v>Null</v>
      </c>
      <c r="AE16">
        <v>9800</v>
      </c>
      <c r="AF16" t="str">
        <f>TEXT(AE16,"000\.000\.000\-00")</f>
        <v>000.000.098-00</v>
      </c>
      <c r="AJ16" s="22">
        <v>19400</v>
      </c>
      <c r="AK16">
        <v>19400</v>
      </c>
      <c r="AM16" s="21">
        <v>4000</v>
      </c>
      <c r="AN16">
        <v>4000</v>
      </c>
      <c r="AO16">
        <v>4000</v>
      </c>
      <c r="AQ16" t="s">
        <v>141</v>
      </c>
      <c r="AZ16" s="38" t="s">
        <v>249</v>
      </c>
      <c r="BA16" t="s">
        <v>141</v>
      </c>
      <c r="BB16" s="26">
        <v>28400</v>
      </c>
      <c r="BC16" s="81">
        <f>IF(AND(TabelaClean[[#This Row],[analise_risco]]="Arriscado",TabelaClean[[#This Row],[analise_credito]]="Reprovado"),0,IF(TabelaClean[[#This Row],[status]]="Ativo",TabelaClean[[#This Row],[valor_solicitado]]*1.08,0))</f>
        <v>106920</v>
      </c>
    </row>
    <row r="17" spans="1:55">
      <c r="A17" s="24" t="s">
        <v>81</v>
      </c>
      <c r="B17" s="17" t="s">
        <v>467</v>
      </c>
      <c r="C17" s="25" t="s">
        <v>468</v>
      </c>
      <c r="D17" s="54">
        <v>33</v>
      </c>
      <c r="E17" s="30">
        <v>34154</v>
      </c>
      <c r="F17" s="24" t="str">
        <f>TabelaClean[[#This Row],[CidadeCPF]]</f>
        <v>Castelo Negro</v>
      </c>
      <c r="G17" s="17" t="str">
        <f>TabelaClean[[#This Row],[RegiaoCPF]]</f>
        <v>Norte</v>
      </c>
      <c r="H17" s="17" t="str">
        <f>_xlfn.XLOOKUP(TabelaClean[[#This Row],[cpf]],TabelaDirty[cpfclean],TabelaDirty[cidade])</f>
        <v>Castelo Negro</v>
      </c>
      <c r="I17" s="17" t="str">
        <f>_xlfn.XLOOKUP(TabelaClean[[#This Row],[cpf]],TabelaDirty[cpfclean],TabelaDirty[regiao])</f>
        <v>Norte</v>
      </c>
      <c r="J17" s="17" t="str">
        <f>PROPER(TabelaClean[[#This Row],[Coluna1]])</f>
        <v>Norte</v>
      </c>
      <c r="K17" s="17" t="e">
        <f>_xlfn.TEXTBEFORE(TabelaClean[[#This Row],[CidadeCPF]]," | ")</f>
        <v>#N/A</v>
      </c>
      <c r="L17" s="24" t="e">
        <f>_xlfn.TEXTAFTER(TabelaClean[[#This Row],[CidadeCPF]]," | ")</f>
        <v>#N/A</v>
      </c>
      <c r="M17" s="26">
        <v>2400</v>
      </c>
      <c r="N17" s="78">
        <v>78000</v>
      </c>
      <c r="O17" s="1" t="s">
        <v>50</v>
      </c>
      <c r="P1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" s="84">
        <v>6</v>
      </c>
      <c r="R17" s="1" t="str" cm="1">
        <f t="array" ref="R17">_xlfn.IFS(TabelaClean[[#This Row],[qtde_batalhas]]&lt;=10,"Baixo",TabelaClean[[#This Row],[qtde_batalhas]]&gt;=26,"Alto",TabelaClean[[#This Row],[qtde_batalhas]]&lt;26,"Médio")</f>
        <v>Baixo</v>
      </c>
      <c r="S17" s="1" t="str">
        <f>IF(AND(TabelaClean[[#This Row],[nivel_risco]]="Alto",TabelaClean[[#This Row],[flag_inadimplente]]="Sim"),"Arriscado","Ok")</f>
        <v>Ok</v>
      </c>
      <c r="T17" s="26">
        <v>28000</v>
      </c>
      <c r="U1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7" s="1"/>
      <c r="Y17" t="s">
        <v>809</v>
      </c>
      <c r="Z17" t="str">
        <f t="shared" si="0"/>
        <v>Null</v>
      </c>
      <c r="AE17">
        <v>9900</v>
      </c>
      <c r="AF17" t="str">
        <f>TEXT(AE17,"000\.000\.000\-00")</f>
        <v>000.000.099-00</v>
      </c>
      <c r="AJ17" s="22" t="s">
        <v>91</v>
      </c>
      <c r="AK17">
        <v>21500</v>
      </c>
      <c r="AM17" s="20" t="s">
        <v>92</v>
      </c>
      <c r="AN17" t="s">
        <v>809</v>
      </c>
      <c r="AO17" t="s">
        <v>809</v>
      </c>
      <c r="AQ17" t="s">
        <v>302</v>
      </c>
      <c r="AZ17" s="39" t="s">
        <v>821</v>
      </c>
      <c r="BA17" t="s">
        <v>302</v>
      </c>
      <c r="BB17" s="26">
        <v>2400</v>
      </c>
      <c r="BC1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8" spans="1:55">
      <c r="A18" s="24" t="s">
        <v>81</v>
      </c>
      <c r="B18" s="17" t="s">
        <v>511</v>
      </c>
      <c r="C18" s="25" t="s">
        <v>512</v>
      </c>
      <c r="D18" s="54">
        <v>66</v>
      </c>
      <c r="E18" s="30">
        <v>21954</v>
      </c>
      <c r="F18" s="24" t="str">
        <f>TabelaClean[[#This Row],[CidadeCPF]]</f>
        <v>Porto Real</v>
      </c>
      <c r="G18" s="17" t="str">
        <f>TabelaClean[[#This Row],[RegiaoCPF]]</f>
        <v>Terras Da Coroa</v>
      </c>
      <c r="H18" s="17" t="str">
        <f>_xlfn.XLOOKUP(TabelaClean[[#This Row],[cpf]],TabelaDirty[cpfclean],TabelaDirty[cidade])</f>
        <v>Porto Real</v>
      </c>
      <c r="I18" s="17" t="str">
        <f>_xlfn.XLOOKUP(TabelaClean[[#This Row],[cpf]],TabelaDirty[cpfclean],TabelaDirty[regiao])</f>
        <v>TERRAS DA COROA</v>
      </c>
      <c r="J18" s="17" t="str">
        <f>PROPER(TabelaClean[[#This Row],[Coluna1]])</f>
        <v>Terras Da Coroa</v>
      </c>
      <c r="K18" s="17" t="e">
        <f>_xlfn.TEXTBEFORE(TabelaClean[[#This Row],[CidadeCPF]]," | ")</f>
        <v>#N/A</v>
      </c>
      <c r="L18" s="24" t="e">
        <f>_xlfn.TEXTAFTER(TabelaClean[[#This Row],[CidadeCPF]]," | ")</f>
        <v>#N/A</v>
      </c>
      <c r="M18" s="26">
        <v>3400</v>
      </c>
      <c r="N18" s="78">
        <v>78000</v>
      </c>
      <c r="O18" s="1" t="s">
        <v>50</v>
      </c>
      <c r="P1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" s="84">
        <v>9</v>
      </c>
      <c r="R18" s="1" t="str" cm="1">
        <f t="array" ref="R18">_xlfn.IFS(TabelaClean[[#This Row],[qtde_batalhas]]&lt;=10,"Baixo",TabelaClean[[#This Row],[qtde_batalhas]]&gt;=26,"Alto",TabelaClean[[#This Row],[qtde_batalhas]]&lt;26,"Médio")</f>
        <v>Baixo</v>
      </c>
      <c r="S18" s="1" t="str">
        <f>IF(AND(TabelaClean[[#This Row],[nivel_risco]]="Alto",TabelaClean[[#This Row],[flag_inadimplente]]="Sim"),"Arriscado","Ok")</f>
        <v>Ok</v>
      </c>
      <c r="T18" s="26">
        <v>51500</v>
      </c>
      <c r="U1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8" s="1"/>
      <c r="Y18" t="s">
        <v>809</v>
      </c>
      <c r="Z18" t="str">
        <f t="shared" si="0"/>
        <v>Null</v>
      </c>
      <c r="AE18">
        <v>10200</v>
      </c>
      <c r="AF18" t="str">
        <f>TEXT(AE18,"000\.000\.000\-00")</f>
        <v>000.000.102-00</v>
      </c>
      <c r="AJ18" s="22">
        <v>13800</v>
      </c>
      <c r="AK18">
        <v>13800</v>
      </c>
      <c r="AM18" s="21">
        <v>41500</v>
      </c>
      <c r="AN18">
        <v>41500</v>
      </c>
      <c r="AO18">
        <v>41500</v>
      </c>
      <c r="AQ18" t="s">
        <v>215</v>
      </c>
      <c r="AZ18" s="38" t="s">
        <v>787</v>
      </c>
      <c r="BA18" t="s">
        <v>215</v>
      </c>
      <c r="BB18" s="26">
        <v>3400</v>
      </c>
      <c r="BC1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9" spans="1:55">
      <c r="A19" s="24" t="s">
        <v>443</v>
      </c>
      <c r="B19" s="17" t="s">
        <v>822</v>
      </c>
      <c r="C19" t="str">
        <f>_xlfn.XLOOKUP(TabelaClean[[#This Row],[nome]],Base_Dirty!$B:$B,Base_Dirty!D:D)</f>
        <v>000.000.000-00</v>
      </c>
      <c r="D19" s="54">
        <f>_xlfn.XLOOKUP(TabelaClean[[#This Row],[nome]],Base_Dirty!B:B,Base_Dirty!E:E)</f>
        <v>61</v>
      </c>
      <c r="E19" s="51">
        <f>_xlfn.XLOOKUP(TabelaClean[[#This Row],[nome]],Base_Dirty!$B:$B,Base_Dirty!F:F)</f>
        <v>23932</v>
      </c>
      <c r="F19" s="17" t="s">
        <v>138</v>
      </c>
      <c r="G19" s="17" t="s">
        <v>139</v>
      </c>
      <c r="H19" s="24" t="s">
        <v>139</v>
      </c>
      <c r="I19" s="24">
        <v>4100</v>
      </c>
      <c r="J19" s="24">
        <v>78000</v>
      </c>
      <c r="K19" s="24" t="s">
        <v>50</v>
      </c>
      <c r="L19" s="24">
        <v>25</v>
      </c>
      <c r="M19" s="23">
        <f>_xlfn.XLOOKUP(TabelaClean[[#This Row],[nome]],Base_Dirty!$B:$B,Base_Dirty!I:I)</f>
        <v>4100</v>
      </c>
      <c r="N19" s="78">
        <f>_xlfn.XLOOKUP(TabelaClean[[#This Row],[nome]],Base_Dirty!$B:$B,Base_Dirty!J:J)</f>
        <v>78000</v>
      </c>
      <c r="O19" s="79" t="s">
        <v>50</v>
      </c>
      <c r="P19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" s="84">
        <f>_xlfn.XLOOKUP(TabelaClean[[#This Row],[nome]],Base_Dirty!$B:$B,Base_Dirty!L:L)</f>
        <v>25</v>
      </c>
      <c r="R19" s="76" t="str" cm="1">
        <f t="array" ref="R19">_xlfn.IFS(TabelaClean[[#This Row],[qtde_batalhas]]&lt;=10,"Baixo",TabelaClean[[#This Row],[qtde_batalhas]]&gt;=26,"Alto",TabelaClean[[#This Row],[qtde_batalhas]]&lt;26,"Médio")</f>
        <v>Médio</v>
      </c>
      <c r="S19" s="76" t="str">
        <f>IF(AND(TabelaClean[[#This Row],[nivel_risco]]="Alto",TabelaClean[[#This Row],[flag_inadimplente]]="Sim"),"Arriscado","Ok")</f>
        <v>Ok</v>
      </c>
      <c r="T19" s="26">
        <f>_xlfn.XLOOKUP(TabelaClean[[#This Row],[nome]],Base_Dirty!$B:$B,Base_Dirty!O:O)</f>
        <v>48000</v>
      </c>
      <c r="U19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9" s="1"/>
      <c r="Y19" t="s">
        <v>809</v>
      </c>
      <c r="Z19" t="str">
        <f t="shared" si="0"/>
        <v>Null</v>
      </c>
      <c r="AE19">
        <v>10800</v>
      </c>
      <c r="AF19" t="str">
        <f>TEXT(AE19,"000\.000\.000\-00")</f>
        <v>000.000.108-00</v>
      </c>
      <c r="AJ19" s="22">
        <v>8400</v>
      </c>
      <c r="AK19">
        <v>8400</v>
      </c>
      <c r="AM19" s="20">
        <v>62500</v>
      </c>
      <c r="AN19">
        <v>62500</v>
      </c>
      <c r="AO19">
        <v>62500</v>
      </c>
      <c r="AQ19" t="s">
        <v>162</v>
      </c>
      <c r="AZ19" s="39" t="s">
        <v>300</v>
      </c>
      <c r="BA19" t="s">
        <v>162</v>
      </c>
      <c r="BB19" s="23">
        <f>_xlfn.XLOOKUP(TabelaClean[[#This Row],[nome]],Base_Dirty!$B:$B,Base_Dirty!AX:AX)</f>
        <v>0</v>
      </c>
      <c r="BC19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0" spans="1:55">
      <c r="A20" s="24" t="s">
        <v>81</v>
      </c>
      <c r="B20" s="17" t="s">
        <v>678</v>
      </c>
      <c r="C20" s="25" t="s">
        <v>679</v>
      </c>
      <c r="D20" s="54">
        <v>55</v>
      </c>
      <c r="E20" s="30">
        <v>26142</v>
      </c>
      <c r="F20" s="24" t="str">
        <f>TabelaClean[[#This Row],[CidadeCPF]]</f>
        <v>Ninho da Águia</v>
      </c>
      <c r="G20" s="17" t="str">
        <f>TabelaClean[[#This Row],[RegiaoCPF]]</f>
        <v>Vale</v>
      </c>
      <c r="H20" s="17" t="str">
        <f>_xlfn.XLOOKUP(TabelaClean[[#This Row],[cpf]],TabelaDirty[cpfclean],TabelaDirty[cidade])</f>
        <v>Ninho da Águia</v>
      </c>
      <c r="I20" s="17" t="str">
        <f>_xlfn.XLOOKUP(TabelaClean[[#This Row],[cpf]],TabelaDirty[cpfclean],TabelaDirty[regiao])</f>
        <v>VALE</v>
      </c>
      <c r="J20" s="17" t="str">
        <f>PROPER(TabelaClean[[#This Row],[Coluna1]])</f>
        <v>Vale</v>
      </c>
      <c r="K20" s="17" t="e">
        <f>_xlfn.TEXTBEFORE(TabelaClean[[#This Row],[CidadeCPF]]," | ")</f>
        <v>#N/A</v>
      </c>
      <c r="L20" s="24" t="e">
        <f>_xlfn.TEXTAFTER(TabelaClean[[#This Row],[CidadeCPF]]," | ")</f>
        <v>#N/A</v>
      </c>
      <c r="M20" s="26">
        <v>29700</v>
      </c>
      <c r="N20" s="78">
        <v>78000</v>
      </c>
      <c r="O20" s="1" t="s">
        <v>51</v>
      </c>
      <c r="P2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20" s="84">
        <v>14</v>
      </c>
      <c r="R20" s="1" t="str" cm="1">
        <f t="array" ref="R20">_xlfn.IFS(TabelaClean[[#This Row],[qtde_batalhas]]&lt;=10,"Baixo",TabelaClean[[#This Row],[qtde_batalhas]]&gt;=26,"Alto",TabelaClean[[#This Row],[qtde_batalhas]]&lt;26,"Médio")</f>
        <v>Médio</v>
      </c>
      <c r="S20" s="1" t="str">
        <f>IF(AND(TabelaClean[[#This Row],[nivel_risco]]="Alto",TabelaClean[[#This Row],[flag_inadimplente]]="Sim"),"Arriscado","Ok")</f>
        <v>Ok</v>
      </c>
      <c r="T20" s="26">
        <v>27000</v>
      </c>
      <c r="U2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0" s="1"/>
      <c r="Y20" t="s">
        <v>132</v>
      </c>
      <c r="Z20" t="str">
        <f t="shared" si="0"/>
        <v>Ilhas De Ferro</v>
      </c>
      <c r="AE20">
        <v>11600</v>
      </c>
      <c r="AF20" t="str">
        <f>TEXT(AE20,"000\.000\.000\-00")</f>
        <v>000.000.116-00</v>
      </c>
      <c r="AJ20" s="22" t="s">
        <v>133</v>
      </c>
      <c r="AK20">
        <v>17600</v>
      </c>
      <c r="AM20" s="21">
        <v>0</v>
      </c>
      <c r="AN20">
        <v>0</v>
      </c>
      <c r="AO20">
        <v>0</v>
      </c>
      <c r="AQ20" t="s">
        <v>215</v>
      </c>
      <c r="AZ20" s="38" t="s">
        <v>798</v>
      </c>
      <c r="BA20" t="s">
        <v>215</v>
      </c>
      <c r="BB20" s="26">
        <v>29700</v>
      </c>
      <c r="BC2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1" spans="1:55">
      <c r="A21" s="24" t="s">
        <v>81</v>
      </c>
      <c r="B21" s="17" t="s">
        <v>547</v>
      </c>
      <c r="C21" s="25" t="s">
        <v>548</v>
      </c>
      <c r="D21" s="54">
        <v>66</v>
      </c>
      <c r="E21" s="30">
        <v>22039</v>
      </c>
      <c r="F21" s="24" t="str">
        <f>TabelaClean[[#This Row],[CidadeCPF]]</f>
        <v>Dorne</v>
      </c>
      <c r="G21" s="17" t="str">
        <f>TabelaClean[[#This Row],[RegiaoCPF]]</f>
        <v>Dorne</v>
      </c>
      <c r="H21" s="17" t="str">
        <f>_xlfn.XLOOKUP(TabelaClean[[#This Row],[cpf]],TabelaDirty[cpfclean],TabelaDirty[cidade])</f>
        <v>Dorne</v>
      </c>
      <c r="I21" s="17" t="str">
        <f>_xlfn.XLOOKUP(TabelaClean[[#This Row],[cpf]],TabelaDirty[cpfclean],TabelaDirty[regiao])</f>
        <v>dorne</v>
      </c>
      <c r="J21" s="17" t="str">
        <f>PROPER(TabelaClean[[#This Row],[Coluna1]])</f>
        <v>Dorne</v>
      </c>
      <c r="K21" s="17" t="e">
        <f>_xlfn.TEXTBEFORE(TabelaClean[[#This Row],[CidadeCPF]]," | ")</f>
        <v>#N/A</v>
      </c>
      <c r="L21" s="24" t="e">
        <f>_xlfn.TEXTAFTER(TabelaClean[[#This Row],[CidadeCPF]]," | ")</f>
        <v>#N/A</v>
      </c>
      <c r="M21" s="26">
        <v>14300</v>
      </c>
      <c r="N21" s="78">
        <v>78000</v>
      </c>
      <c r="O21" s="1" t="s">
        <v>50</v>
      </c>
      <c r="P2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" s="84">
        <v>28</v>
      </c>
      <c r="R21" s="1" t="str" cm="1">
        <f t="array" ref="R21">_xlfn.IFS(TabelaClean[[#This Row],[qtde_batalhas]]&lt;=10,"Baixo",TabelaClean[[#This Row],[qtde_batalhas]]&gt;=26,"Alto",TabelaClean[[#This Row],[qtde_batalhas]]&lt;26,"Médio")</f>
        <v>Alto</v>
      </c>
      <c r="S21" s="1" t="str">
        <f>IF(AND(TabelaClean[[#This Row],[nivel_risco]]="Alto",TabelaClean[[#This Row],[flag_inadimplente]]="Sim"),"Arriscado","Ok")</f>
        <v>Ok</v>
      </c>
      <c r="T21" s="26">
        <v>74500</v>
      </c>
      <c r="U2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1" s="1"/>
      <c r="Y21" t="s">
        <v>809</v>
      </c>
      <c r="Z21" t="str">
        <f t="shared" si="0"/>
        <v>Null</v>
      </c>
      <c r="AE21">
        <v>11700</v>
      </c>
      <c r="AF21" t="str">
        <f>TEXT(AE21,"000\.000\.000\-00")</f>
        <v>000.000.117-00</v>
      </c>
      <c r="AJ21" s="22">
        <v>28900</v>
      </c>
      <c r="AK21">
        <v>28900</v>
      </c>
      <c r="AM21" s="20">
        <v>71000</v>
      </c>
      <c r="AN21">
        <v>71000</v>
      </c>
      <c r="AO21">
        <v>71000</v>
      </c>
      <c r="AQ21" t="s">
        <v>127</v>
      </c>
      <c r="AZ21" s="39" t="s">
        <v>355</v>
      </c>
      <c r="BA21" t="s">
        <v>127</v>
      </c>
      <c r="BB21" s="26">
        <v>14300</v>
      </c>
      <c r="BC2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2" spans="1:55">
      <c r="A22" s="24" t="s">
        <v>81</v>
      </c>
      <c r="B22" s="17" t="s">
        <v>82</v>
      </c>
      <c r="C22" s="25" t="s">
        <v>823</v>
      </c>
      <c r="D22" s="54">
        <v>24</v>
      </c>
      <c r="E22" s="30">
        <v>37313</v>
      </c>
      <c r="F22" s="24" t="str">
        <f>TabelaClean[[#This Row],[CidadeCPF]]</f>
        <v>Ponta Tempestade</v>
      </c>
      <c r="G22" s="17" t="str">
        <f>TabelaClean[[#This Row],[RegiaoCPF]]</f>
        <v>Terras Da Tempestade</v>
      </c>
      <c r="H22" s="17" t="str">
        <f>_xlfn.XLOOKUP(TabelaClean[[#This Row],[cpf]],TabelaDirty[cpfclean],TabelaDirty[cidade])</f>
        <v>Ponta Tempestade</v>
      </c>
      <c r="I22" s="17" t="str">
        <f>_xlfn.XLOOKUP(TabelaClean[[#This Row],[cpf]],TabelaDirty[cpfclean],TabelaDirty[regiao])</f>
        <v>Terras da Tempestade</v>
      </c>
      <c r="J22" s="17" t="str">
        <f>PROPER(TabelaClean[[#This Row],[Coluna1]])</f>
        <v>Terras Da Tempestade</v>
      </c>
      <c r="K22" s="17" t="e">
        <f>_xlfn.TEXTBEFORE(TabelaClean[[#This Row],[CidadeCPF]]," | ")</f>
        <v>#N/A</v>
      </c>
      <c r="L22" s="24" t="e">
        <f>_xlfn.TEXTAFTER(TabelaClean[[#This Row],[CidadeCPF]]," | ")</f>
        <v>#N/A</v>
      </c>
      <c r="M22" s="26">
        <v>11000</v>
      </c>
      <c r="N22" s="78">
        <v>76500</v>
      </c>
      <c r="O22" s="1" t="s">
        <v>51</v>
      </c>
      <c r="P2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22" s="84">
        <v>33</v>
      </c>
      <c r="R22" s="1" t="str" cm="1">
        <f t="array" ref="R22">_xlfn.IFS(TabelaClean[[#This Row],[qtde_batalhas]]&lt;=10,"Baixo",TabelaClean[[#This Row],[qtde_batalhas]]&gt;=26,"Alto",TabelaClean[[#This Row],[qtde_batalhas]]&lt;26,"Médio")</f>
        <v>Alto</v>
      </c>
      <c r="S22" s="1" t="str">
        <f>IF(AND(TabelaClean[[#This Row],[nivel_risco]]="Alto",TabelaClean[[#This Row],[flag_inadimplente]]="Sim"),"Arriscado","Ok")</f>
        <v>Arriscado</v>
      </c>
      <c r="T22" s="26">
        <v>26000</v>
      </c>
      <c r="U2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2" s="1"/>
      <c r="Y22" t="s">
        <v>331</v>
      </c>
      <c r="Z22" t="str">
        <f t="shared" si="0"/>
        <v>Terras Da Coroa</v>
      </c>
      <c r="AE22">
        <v>12700</v>
      </c>
      <c r="AF22" t="str">
        <f>TEXT(AE22,"000\.000\.000\-00")</f>
        <v>000.000.127-00</v>
      </c>
      <c r="AJ22" s="22">
        <v>12700</v>
      </c>
      <c r="AK22">
        <v>12700</v>
      </c>
      <c r="AM22" s="21">
        <v>79500</v>
      </c>
      <c r="AN22">
        <v>79500</v>
      </c>
      <c r="AO22">
        <v>79500</v>
      </c>
      <c r="AQ22" t="s">
        <v>83</v>
      </c>
      <c r="AZ22" s="38" t="s">
        <v>400</v>
      </c>
      <c r="BA22" t="s">
        <v>83</v>
      </c>
      <c r="BB22" s="26">
        <v>11000</v>
      </c>
      <c r="BC2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3" spans="1:55">
      <c r="A23" s="24" t="s">
        <v>76</v>
      </c>
      <c r="B23" s="17" t="s">
        <v>524</v>
      </c>
      <c r="C23" s="25" t="s">
        <v>525</v>
      </c>
      <c r="D23" s="54">
        <v>37</v>
      </c>
      <c r="E23" s="30">
        <v>32414</v>
      </c>
      <c r="F23" s="17" t="str">
        <f>TabelaClean[[#This Row],[CidadeClean]]</f>
        <v>Pedra do Dragão</v>
      </c>
      <c r="G23" s="17" t="str">
        <f>TabelaClean[[#This Row],[RegiaoClean]]</f>
        <v>Terras da Coroa</v>
      </c>
      <c r="H23" s="17" t="str">
        <f>_xlfn.XLOOKUP(TabelaClean[[#This Row],[cpf]],TabelaDirty[cpfclean],TabelaDirty[cidade])</f>
        <v>Pedra do Dragão | Terras da Coroa</v>
      </c>
      <c r="I23" s="17">
        <f>_xlfn.XLOOKUP(TabelaClean[[#This Row],[cpf]],TabelaDirty[cpfclean],TabelaDirty[regiao])</f>
        <v>0</v>
      </c>
      <c r="J23" s="17" t="s">
        <v>824</v>
      </c>
      <c r="K23" s="17" t="str">
        <f>_xlfn.TEXTBEFORE(TabelaClean[[#This Row],[CidadeCPF]]," | ")</f>
        <v>Pedra do Dragão</v>
      </c>
      <c r="L23" s="24" t="str">
        <f>_xlfn.TEXTAFTER(TabelaClean[[#This Row],[CidadeCPF]]," | ")</f>
        <v>Terras da Coroa</v>
      </c>
      <c r="M23" s="26">
        <v>12800</v>
      </c>
      <c r="N23" s="78">
        <v>76500</v>
      </c>
      <c r="O23" s="1" t="s">
        <v>50</v>
      </c>
      <c r="P2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" s="84">
        <v>30</v>
      </c>
      <c r="R23" s="1" t="str" cm="1">
        <f t="array" ref="R23">_xlfn.IFS(TabelaClean[[#This Row],[qtde_batalhas]]&lt;=10,"Baixo",TabelaClean[[#This Row],[qtde_batalhas]]&gt;=26,"Alto",TabelaClean[[#This Row],[qtde_batalhas]]&lt;26,"Médio")</f>
        <v>Alto</v>
      </c>
      <c r="S23" s="1" t="str">
        <f>IF(AND(TabelaClean[[#This Row],[nivel_risco]]="Alto",TabelaClean[[#This Row],[flag_inadimplente]]="Sim"),"Arriscado","Ok")</f>
        <v>Ok</v>
      </c>
      <c r="T23" s="26">
        <v>18500</v>
      </c>
      <c r="U23" s="81">
        <f>IF(AND(TabelaClean[[#This Row],[analise_risco]]="Arriscado",TabelaClean[[#This Row],[analise_credito]]="Reprovado"),0,IF(TabelaClean[[#This Row],[status]]="Ativo",TabelaClean[[#This Row],[valor_solicitado]]*1.08,0))</f>
        <v>19980</v>
      </c>
      <c r="W23" s="1"/>
      <c r="Y23" t="s">
        <v>809</v>
      </c>
      <c r="Z23" t="str">
        <f t="shared" si="0"/>
        <v>Null</v>
      </c>
      <c r="AE23">
        <v>13200</v>
      </c>
      <c r="AF23" t="str">
        <f>TEXT(AE23,"000\.000\.000\-00")</f>
        <v>000.000.132-00</v>
      </c>
      <c r="AJ23" s="22">
        <v>22100</v>
      </c>
      <c r="AK23">
        <v>22100</v>
      </c>
      <c r="AM23" s="20">
        <v>41500</v>
      </c>
      <c r="AN23">
        <v>41500</v>
      </c>
      <c r="AO23">
        <v>41500</v>
      </c>
      <c r="AQ23" t="s">
        <v>121</v>
      </c>
      <c r="AZ23" s="39" t="s">
        <v>125</v>
      </c>
      <c r="BA23" t="s">
        <v>121</v>
      </c>
      <c r="BB23" s="26">
        <v>12800</v>
      </c>
      <c r="BC23" s="81">
        <f>IF(AND(TabelaClean[[#This Row],[analise_risco]]="Arriscado",TabelaClean[[#This Row],[analise_credito]]="Reprovado"),0,IF(TabelaClean[[#This Row],[status]]="Ativo",TabelaClean[[#This Row],[valor_solicitado]]*1.08,0))</f>
        <v>19980</v>
      </c>
    </row>
    <row r="24" spans="1:55">
      <c r="A24" s="24" t="s">
        <v>76</v>
      </c>
      <c r="B24" s="17" t="s">
        <v>319</v>
      </c>
      <c r="C24" s="25" t="s">
        <v>320</v>
      </c>
      <c r="D24" s="54">
        <v>35</v>
      </c>
      <c r="E24" s="30" t="s">
        <v>809</v>
      </c>
      <c r="F24" s="24" t="str">
        <f>TabelaClean[[#This Row],[CidadeCPF]]</f>
        <v>Vilavelha</v>
      </c>
      <c r="G24" s="17" t="str">
        <f>TabelaClean[[#This Row],[RegiaoCPF]]</f>
        <v>Campina</v>
      </c>
      <c r="H24" s="17" t="str">
        <f>_xlfn.XLOOKUP(TabelaClean[[#This Row],[cpf]],TabelaDirty[cpfclean],TabelaDirty[cidade])</f>
        <v>Vilavelha</v>
      </c>
      <c r="I24" s="17" t="str">
        <f>_xlfn.XLOOKUP(TabelaClean[[#This Row],[cpf]],TabelaDirty[cpfclean],TabelaDirty[regiao])</f>
        <v>Campina</v>
      </c>
      <c r="J24" s="17" t="str">
        <f>PROPER(TabelaClean[[#This Row],[Coluna1]])</f>
        <v>Campina</v>
      </c>
      <c r="K24" s="17" t="e">
        <f>_xlfn.TEXTBEFORE(TabelaClean[[#This Row],[CidadeCPF]]," | ")</f>
        <v>#N/A</v>
      </c>
      <c r="L24" s="24" t="e">
        <f>_xlfn.TEXTAFTER(TabelaClean[[#This Row],[CidadeCPF]]," | ")</f>
        <v>#N/A</v>
      </c>
      <c r="M24" s="26">
        <v>28000</v>
      </c>
      <c r="N24" s="78">
        <v>76500</v>
      </c>
      <c r="O24" s="1" t="s">
        <v>50</v>
      </c>
      <c r="P2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" s="84">
        <v>39</v>
      </c>
      <c r="R24" s="1" t="str" cm="1">
        <f t="array" ref="R24">_xlfn.IFS(TabelaClean[[#This Row],[qtde_batalhas]]&lt;=10,"Baixo",TabelaClean[[#This Row],[qtde_batalhas]]&gt;=26,"Alto",TabelaClean[[#This Row],[qtde_batalhas]]&lt;26,"Médio")</f>
        <v>Alto</v>
      </c>
      <c r="S24" s="1" t="str">
        <f>IF(AND(TabelaClean[[#This Row],[nivel_risco]]="Alto",TabelaClean[[#This Row],[flag_inadimplente]]="Sim"),"Arriscado","Ok")</f>
        <v>Ok</v>
      </c>
      <c r="T24" s="26">
        <v>32000</v>
      </c>
      <c r="U24" s="81">
        <f>IF(AND(TabelaClean[[#This Row],[analise_risco]]="Arriscado",TabelaClean[[#This Row],[analise_credito]]="Reprovado"),0,IF(TabelaClean[[#This Row],[status]]="Ativo",TabelaClean[[#This Row],[valor_solicitado]]*1.08,0))</f>
        <v>34560</v>
      </c>
      <c r="W24" s="1"/>
      <c r="Y24" t="s">
        <v>809</v>
      </c>
      <c r="Z24" t="str">
        <f t="shared" si="0"/>
        <v>Null</v>
      </c>
      <c r="AE24">
        <v>13700</v>
      </c>
      <c r="AF24" t="str">
        <f>TEXT(AE24,"000\.000\.000\-00")</f>
        <v>000.000.137-00</v>
      </c>
      <c r="AJ24" s="22">
        <v>24500</v>
      </c>
      <c r="AK24">
        <v>24500</v>
      </c>
      <c r="AM24" s="21" t="s">
        <v>92</v>
      </c>
      <c r="AN24" t="s">
        <v>809</v>
      </c>
      <c r="AO24" t="s">
        <v>809</v>
      </c>
      <c r="AQ24" t="s">
        <v>172</v>
      </c>
      <c r="AZ24" s="38" t="s">
        <v>800</v>
      </c>
      <c r="BA24" t="s">
        <v>172</v>
      </c>
      <c r="BB24" s="26">
        <v>28000</v>
      </c>
      <c r="BC24" s="81">
        <f>IF(AND(TabelaClean[[#This Row],[analise_risco]]="Arriscado",TabelaClean[[#This Row],[analise_credito]]="Reprovado"),0,IF(TabelaClean[[#This Row],[status]]="Ativo",TabelaClean[[#This Row],[valor_solicitado]]*1.08,0))</f>
        <v>34560</v>
      </c>
    </row>
    <row r="25" spans="1:55">
      <c r="A25" s="24" t="s">
        <v>76</v>
      </c>
      <c r="B25" s="17" t="s">
        <v>524</v>
      </c>
      <c r="C25" t="str">
        <f>_xlfn.XLOOKUP(TabelaClean[[#This Row],[nome]],Base_Dirty!$B:$B,Base_Dirty!D:D)</f>
        <v>000.000.168-00</v>
      </c>
      <c r="D25" s="54">
        <f>_xlfn.XLOOKUP(TabelaClean[[#This Row],[nome]],Base_Dirty!B:B,Base_Dirty!E:E)</f>
        <v>37</v>
      </c>
      <c r="E25" s="51">
        <f>_xlfn.XLOOKUP(TabelaClean[[#This Row],[nome]],Base_Dirty!$B:$B,Base_Dirty!F:F)</f>
        <v>32414</v>
      </c>
      <c r="F25" s="17" t="s">
        <v>89</v>
      </c>
      <c r="G25" s="17" t="s">
        <v>413</v>
      </c>
      <c r="H25" s="24" t="str">
        <f>_xlfn.XLOOKUP(TabelaClean[[#This Row],[cpf]],TabelaDirty[cpfclean],TabelaDirty[cidade])</f>
        <v>Pedra do Dragão | Terras da Coroa</v>
      </c>
      <c r="I25" s="24">
        <v>12800</v>
      </c>
      <c r="J25" s="24">
        <v>76500</v>
      </c>
      <c r="K25" s="24" t="s">
        <v>50</v>
      </c>
      <c r="L25" s="24" t="s">
        <v>466</v>
      </c>
      <c r="M25" s="23">
        <f>_xlfn.XLOOKUP(TabelaClean[[#This Row],[nome]],Base_Dirty!$B:$B,Base_Dirty!I:I)</f>
        <v>12800</v>
      </c>
      <c r="N25" s="78">
        <f>_xlfn.XLOOKUP(TabelaClean[[#This Row],[nome]],Base_Dirty!$B:$B,Base_Dirty!J:J)</f>
        <v>76500</v>
      </c>
      <c r="O25" s="79" t="s">
        <v>50</v>
      </c>
      <c r="P25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" s="84">
        <v>30</v>
      </c>
      <c r="R25" s="76" t="str" cm="1">
        <f t="array" ref="R25">_xlfn.IFS(TabelaClean[[#This Row],[qtde_batalhas]]&lt;=10,"Baixo",TabelaClean[[#This Row],[qtde_batalhas]]&gt;=26,"Alto",TabelaClean[[#This Row],[qtde_batalhas]]&lt;26,"Médio")</f>
        <v>Alto</v>
      </c>
      <c r="S25" s="76" t="str">
        <f>IF(AND(TabelaClean[[#This Row],[nivel_risco]]="Alto",TabelaClean[[#This Row],[flag_inadimplente]]="Sim"),"Arriscado","Ok")</f>
        <v>Ok</v>
      </c>
      <c r="T25" s="26">
        <f>_xlfn.XLOOKUP(TabelaClean[[#This Row],[nome]],Base_Dirty!$B:$B,Base_Dirty!O:O)</f>
        <v>18500</v>
      </c>
      <c r="U25" s="81">
        <f>IF(AND(TabelaClean[[#This Row],[analise_risco]]="Arriscado",TabelaClean[[#This Row],[analise_credito]]="Reprovado"),0,IF(TabelaClean[[#This Row],[status]]="Ativo",TabelaClean[[#This Row],[valor_solicitado]]*1.08,0))</f>
        <v>19980</v>
      </c>
      <c r="W25" s="1"/>
      <c r="Y25" t="s">
        <v>139</v>
      </c>
      <c r="Z25" t="str">
        <f t="shared" si="0"/>
        <v>Terras Fluviais</v>
      </c>
      <c r="AE25">
        <v>14200</v>
      </c>
      <c r="AF25" t="str">
        <f>TEXT(AE25,"000\.000\.000\-00")</f>
        <v>000.000.142-00</v>
      </c>
      <c r="AJ25" s="22">
        <v>24300</v>
      </c>
      <c r="AK25">
        <v>24300</v>
      </c>
      <c r="AM25" s="20">
        <v>13500</v>
      </c>
      <c r="AN25">
        <v>13500</v>
      </c>
      <c r="AO25">
        <v>13500</v>
      </c>
      <c r="AQ25" t="s">
        <v>210</v>
      </c>
      <c r="AZ25" s="39" t="s">
        <v>584</v>
      </c>
      <c r="BA25" t="s">
        <v>210</v>
      </c>
      <c r="BB25" s="23">
        <f>_xlfn.XLOOKUP(TabelaClean[[#This Row],[nome]],Base_Dirty!$B:$B,Base_Dirty!AX:AX)</f>
        <v>0</v>
      </c>
      <c r="BC25" s="81">
        <f>IF(AND(TabelaClean[[#This Row],[analise_risco]]="Arriscado",TabelaClean[[#This Row],[analise_credito]]="Reprovado"),0,IF(TabelaClean[[#This Row],[status]]="Ativo",TabelaClean[[#This Row],[valor_solicitado]]*1.08,0))</f>
        <v>19980</v>
      </c>
    </row>
    <row r="26" spans="1:55">
      <c r="A26" s="24" t="s">
        <v>76</v>
      </c>
      <c r="B26" s="17" t="s">
        <v>524</v>
      </c>
      <c r="C26" t="str">
        <f>_xlfn.XLOOKUP(TabelaClean[[#This Row],[nome]],Base_Dirty!$B:$B,Base_Dirty!D:D)</f>
        <v>000.000.168-00</v>
      </c>
      <c r="D26" s="54">
        <f>_xlfn.XLOOKUP(TabelaClean[[#This Row],[nome]],Base_Dirty!B:B,Base_Dirty!E:E)</f>
        <v>37</v>
      </c>
      <c r="E26" s="30">
        <v>37</v>
      </c>
      <c r="F26" s="17" t="s">
        <v>89</v>
      </c>
      <c r="G26" s="17" t="s">
        <v>90</v>
      </c>
      <c r="H26" s="24" t="str">
        <f>_xlfn.XLOOKUP(TabelaClean[[#This Row],[cpf]],TabelaDirty[cpfclean],TabelaDirty[cidade])</f>
        <v>Pedra do Dragão | Terras da Coroa</v>
      </c>
      <c r="I26" s="24">
        <v>12800</v>
      </c>
      <c r="J26" s="24">
        <v>76500</v>
      </c>
      <c r="K26" s="24" t="s">
        <v>50</v>
      </c>
      <c r="L26" s="24" t="s">
        <v>466</v>
      </c>
      <c r="M26" s="23">
        <f>_xlfn.XLOOKUP(TabelaClean[[#This Row],[nome]],Base_Dirty!$B:$B,Base_Dirty!I:I)</f>
        <v>12800</v>
      </c>
      <c r="N26" s="78">
        <f>_xlfn.XLOOKUP(TabelaClean[[#This Row],[nome]],Base_Dirty!$B:$B,Base_Dirty!J:J)</f>
        <v>76500</v>
      </c>
      <c r="O26" s="79" t="s">
        <v>50</v>
      </c>
      <c r="P2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" s="84">
        <v>30</v>
      </c>
      <c r="R26" s="76" t="str" cm="1">
        <f t="array" ref="R26">_xlfn.IFS(TabelaClean[[#This Row],[qtde_batalhas]]&lt;=10,"Baixo",TabelaClean[[#This Row],[qtde_batalhas]]&gt;=26,"Alto",TabelaClean[[#This Row],[qtde_batalhas]]&lt;26,"Médio")</f>
        <v>Alto</v>
      </c>
      <c r="S26" s="76" t="str">
        <f>IF(AND(TabelaClean[[#This Row],[nivel_risco]]="Alto",TabelaClean[[#This Row],[flag_inadimplente]]="Sim"),"Arriscado","Ok")</f>
        <v>Ok</v>
      </c>
      <c r="T26" s="26">
        <f>_xlfn.XLOOKUP(TabelaClean[[#This Row],[nome]],Base_Dirty!$B:$B,Base_Dirty!O:O)</f>
        <v>18500</v>
      </c>
      <c r="U26" s="81">
        <f>IF(AND(TabelaClean[[#This Row],[analise_risco]]="Arriscado",TabelaClean[[#This Row],[analise_credito]]="Reprovado"),0,IF(TabelaClean[[#This Row],[status]]="Ativo",TabelaClean[[#This Row],[valor_solicitado]]*1.08,0))</f>
        <v>19980</v>
      </c>
      <c r="W26" s="1"/>
      <c r="Y26" t="s">
        <v>809</v>
      </c>
      <c r="Z26" t="str">
        <f t="shared" si="0"/>
        <v>Null</v>
      </c>
      <c r="AE26">
        <v>15000</v>
      </c>
      <c r="AF26" t="str">
        <f>TEXT(AE26,"000\.000\.000\-00")</f>
        <v>000.000.150-00</v>
      </c>
      <c r="AM26" s="21">
        <v>0</v>
      </c>
      <c r="AN26">
        <v>0</v>
      </c>
      <c r="AO26">
        <v>0</v>
      </c>
      <c r="AQ26" t="s">
        <v>83</v>
      </c>
      <c r="AZ26" s="38" t="s">
        <v>776</v>
      </c>
      <c r="BA26" t="s">
        <v>83</v>
      </c>
      <c r="BB26" s="23">
        <f>_xlfn.XLOOKUP(TabelaClean[[#This Row],[nome]],Base_Dirty!$B:$B,Base_Dirty!AX:AX)</f>
        <v>0</v>
      </c>
      <c r="BC26" s="81">
        <f>IF(AND(TabelaClean[[#This Row],[analise_risco]]="Arriscado",TabelaClean[[#This Row],[analise_credito]]="Reprovado"),0,IF(TabelaClean[[#This Row],[status]]="Ativo",TabelaClean[[#This Row],[valor_solicitado]]*1.08,0))</f>
        <v>19980</v>
      </c>
    </row>
    <row r="27" spans="1:55">
      <c r="A27" s="24" t="s">
        <v>76</v>
      </c>
      <c r="B27" s="17" t="s">
        <v>384</v>
      </c>
      <c r="C27" s="25" t="s">
        <v>825</v>
      </c>
      <c r="D27" s="54">
        <v>64</v>
      </c>
      <c r="E27" s="30">
        <v>22828</v>
      </c>
      <c r="F27" s="24" t="str">
        <f>TabelaClean[[#This Row],[CidadeCPF]]</f>
        <v>Harrenhal</v>
      </c>
      <c r="G27" s="17" t="str">
        <f>TabelaClean[[#This Row],[RegiaoCPF]]</f>
        <v>Terras Fluviais</v>
      </c>
      <c r="H27" s="17" t="str">
        <f>_xlfn.XLOOKUP(TabelaClean[[#This Row],[cpf]],TabelaDirty[cpfclean],TabelaDirty[cidade])</f>
        <v>Harrenhal</v>
      </c>
      <c r="I27" s="17" t="str">
        <f>_xlfn.XLOOKUP(TabelaClean[[#This Row],[cpf]],TabelaDirty[cpfclean],TabelaDirty[regiao])</f>
        <v>TERRAS FLUVIAIS</v>
      </c>
      <c r="J27" s="17" t="str">
        <f>PROPER(TabelaClean[[#This Row],[Coluna1]])</f>
        <v>Terras Fluviais</v>
      </c>
      <c r="K27" s="17" t="e">
        <f>_xlfn.TEXTBEFORE(TabelaClean[[#This Row],[CidadeCPF]]," | ")</f>
        <v>#N/A</v>
      </c>
      <c r="L27" s="24" t="e">
        <f>_xlfn.TEXTAFTER(TabelaClean[[#This Row],[CidadeCPF]]," | ")</f>
        <v>#N/A</v>
      </c>
      <c r="M27" s="26">
        <v>2900</v>
      </c>
      <c r="N27" s="78">
        <v>76000</v>
      </c>
      <c r="O27" s="1" t="s">
        <v>50</v>
      </c>
      <c r="P2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" s="84">
        <v>32</v>
      </c>
      <c r="R27" s="1" t="str" cm="1">
        <f t="array" ref="R27">_xlfn.IFS(TabelaClean[[#This Row],[qtde_batalhas]]&lt;=10,"Baixo",TabelaClean[[#This Row],[qtde_batalhas]]&gt;=26,"Alto",TabelaClean[[#This Row],[qtde_batalhas]]&lt;26,"Médio")</f>
        <v>Alto</v>
      </c>
      <c r="S27" s="1" t="str">
        <f>IF(AND(TabelaClean[[#This Row],[nivel_risco]]="Alto",TabelaClean[[#This Row],[flag_inadimplente]]="Sim"),"Arriscado","Ok")</f>
        <v>Ok</v>
      </c>
      <c r="T27" s="26">
        <v>72500</v>
      </c>
      <c r="U27" s="81">
        <f>IF(AND(TabelaClean[[#This Row],[analise_risco]]="Arriscado",TabelaClean[[#This Row],[analise_credito]]="Reprovado"),0,IF(TabelaClean[[#This Row],[status]]="Ativo",TabelaClean[[#This Row],[valor_solicitado]]*1.08,0))</f>
        <v>78300</v>
      </c>
      <c r="W27" s="1"/>
      <c r="Y27" t="s">
        <v>809</v>
      </c>
      <c r="Z27" t="str">
        <f t="shared" si="0"/>
        <v>Null</v>
      </c>
      <c r="AE27">
        <v>15100</v>
      </c>
      <c r="AF27" t="str">
        <f>TEXT(AE27,"000\.000\.000\-00")</f>
        <v>000.000.151-00</v>
      </c>
      <c r="AJ27" s="22">
        <v>11800</v>
      </c>
      <c r="AK27">
        <v>11800</v>
      </c>
      <c r="AM27" s="20">
        <v>2000</v>
      </c>
      <c r="AN27">
        <v>2000</v>
      </c>
      <c r="AO27">
        <v>2000</v>
      </c>
      <c r="AQ27" t="s">
        <v>121</v>
      </c>
      <c r="AZ27" s="39" t="s">
        <v>348</v>
      </c>
      <c r="BA27" t="s">
        <v>121</v>
      </c>
      <c r="BB27" s="26">
        <v>2900</v>
      </c>
      <c r="BC27" s="81">
        <f>IF(AND(TabelaClean[[#This Row],[analise_risco]]="Arriscado",TabelaClean[[#This Row],[analise_credito]]="Reprovado"),0,IF(TabelaClean[[#This Row],[status]]="Ativo",TabelaClean[[#This Row],[valor_solicitado]]*1.08,0))</f>
        <v>78300</v>
      </c>
    </row>
    <row r="28" spans="1:55">
      <c r="A28" s="24" t="s">
        <v>81</v>
      </c>
      <c r="B28" s="17" t="s">
        <v>826</v>
      </c>
      <c r="C28" s="25" t="s">
        <v>827</v>
      </c>
      <c r="D28" s="54">
        <v>68</v>
      </c>
      <c r="E28" s="30">
        <v>21190</v>
      </c>
      <c r="F28" s="25" t="s">
        <v>828</v>
      </c>
      <c r="G28" s="25" t="s">
        <v>142</v>
      </c>
      <c r="H28" s="24">
        <v>2800</v>
      </c>
      <c r="I28" s="24">
        <v>76000</v>
      </c>
      <c r="J28" s="24" t="s">
        <v>50</v>
      </c>
      <c r="K28" s="24"/>
      <c r="L28" s="24"/>
      <c r="M28" s="26">
        <v>27000</v>
      </c>
      <c r="N28" s="78">
        <v>76000</v>
      </c>
      <c r="O28" s="1" t="s">
        <v>50</v>
      </c>
      <c r="P28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28" s="76" t="str" cm="1">
        <f t="array" ref="R28">_xlfn.IFS(TabelaClean[[#This Row],[qtde_batalhas]]&lt;=10,"Baixo",TabelaClean[[#This Row],[qtde_batalhas]]&gt;=26,"Alto",TabelaClean[[#This Row],[qtde_batalhas]]&lt;26,"Médio")</f>
        <v>Baixo</v>
      </c>
      <c r="S28" s="76" t="str">
        <f>IF(AND(TabelaClean[[#This Row],[nivel_risco]]="Alto",TabelaClean[[#This Row],[flag_inadimplente]]="Sim"),"Arriscado","Ok")</f>
        <v>Ok</v>
      </c>
      <c r="T28" s="26">
        <v>27000</v>
      </c>
      <c r="U2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8" s="1"/>
      <c r="Y28" t="s">
        <v>413</v>
      </c>
      <c r="Z28" t="str">
        <f t="shared" si="0"/>
        <v>Terras Da Coroa</v>
      </c>
      <c r="AE28">
        <v>15400</v>
      </c>
      <c r="AF28" t="str">
        <f>TEXT(AE28,"000\.000\.000\-00")</f>
        <v>000.000.154-00</v>
      </c>
      <c r="AJ28" s="22">
        <v>17900</v>
      </c>
      <c r="AK28">
        <v>17900</v>
      </c>
      <c r="AM28" s="21">
        <v>28000</v>
      </c>
      <c r="AN28">
        <v>28000</v>
      </c>
      <c r="AO28">
        <v>28000</v>
      </c>
      <c r="AQ28" t="s">
        <v>112</v>
      </c>
      <c r="AZ28" s="38" t="s">
        <v>829</v>
      </c>
      <c r="BA28" t="s">
        <v>112</v>
      </c>
      <c r="BB28" s="26">
        <v>27000</v>
      </c>
      <c r="BC2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9" spans="1:55">
      <c r="A29" s="24" t="s">
        <v>76</v>
      </c>
      <c r="B29" s="17" t="s">
        <v>830</v>
      </c>
      <c r="C29" s="25" t="s">
        <v>633</v>
      </c>
      <c r="D29" s="54">
        <v>47</v>
      </c>
      <c r="E29" s="30">
        <v>29007</v>
      </c>
      <c r="F29" s="24" t="str">
        <f>TabelaClean[[#This Row],[CidadeCPF]]</f>
        <v>Meereen</v>
      </c>
      <c r="G29" s="17" t="str">
        <f>TabelaClean[[#This Row],[RegiaoCPF]]</f>
        <v>Essos</v>
      </c>
      <c r="H29" s="17" t="str">
        <f>_xlfn.XLOOKUP(TabelaClean[[#This Row],[cpf]],TabelaDirty[cpfclean],TabelaDirty[cidade])</f>
        <v>Meereen</v>
      </c>
      <c r="I29" s="17" t="str">
        <f>_xlfn.XLOOKUP(TabelaClean[[#This Row],[cpf]],TabelaDirty[cpfclean],TabelaDirty[regiao])</f>
        <v>Essos</v>
      </c>
      <c r="J29" s="17" t="str">
        <f>PROPER(TabelaClean[[#This Row],[Coluna1]])</f>
        <v>Essos</v>
      </c>
      <c r="K29" s="17" t="e">
        <f>_xlfn.TEXTBEFORE(TabelaClean[[#This Row],[CidadeCPF]]," | ")</f>
        <v>#N/A</v>
      </c>
      <c r="L29" s="24" t="e">
        <f>_xlfn.TEXTAFTER(TabelaClean[[#This Row],[CidadeCPF]]," | ")</f>
        <v>#N/A</v>
      </c>
      <c r="M29" s="26">
        <v>5000</v>
      </c>
      <c r="N29" s="78">
        <v>75500</v>
      </c>
      <c r="O29" s="1" t="s">
        <v>51</v>
      </c>
      <c r="P2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29" s="84">
        <v>2</v>
      </c>
      <c r="R29" s="1" t="str" cm="1">
        <f t="array" ref="R29">_xlfn.IFS(TabelaClean[[#This Row],[qtde_batalhas]]&lt;=10,"Baixo",TabelaClean[[#This Row],[qtde_batalhas]]&gt;=26,"Alto",TabelaClean[[#This Row],[qtde_batalhas]]&lt;26,"Médio")</f>
        <v>Baixo</v>
      </c>
      <c r="S29" s="1" t="str">
        <f>IF(AND(TabelaClean[[#This Row],[nivel_risco]]="Alto",TabelaClean[[#This Row],[flag_inadimplente]]="Sim"),"Arriscado","Ok")</f>
        <v>Ok</v>
      </c>
      <c r="T29" s="26">
        <v>89500</v>
      </c>
      <c r="U29" s="81">
        <f>IF(AND(TabelaClean[[#This Row],[analise_risco]]="Arriscado",TabelaClean[[#This Row],[analise_credito]]="Reprovado"),0,IF(TabelaClean[[#This Row],[status]]="Ativo",TabelaClean[[#This Row],[valor_solicitado]]*1.08,0))</f>
        <v>96660</v>
      </c>
      <c r="W29" s="1"/>
      <c r="Y29" t="s">
        <v>809</v>
      </c>
      <c r="Z29" t="str">
        <f t="shared" si="0"/>
        <v>Null</v>
      </c>
      <c r="AE29">
        <v>15600</v>
      </c>
      <c r="AF29" t="str">
        <f>TEXT(AE29,"000\.000\.000\-00")</f>
        <v>000.000.156-00</v>
      </c>
      <c r="AJ29" s="22" t="s">
        <v>232</v>
      </c>
      <c r="AK29">
        <v>4500</v>
      </c>
      <c r="AM29" s="20">
        <v>0</v>
      </c>
      <c r="AN29">
        <v>0</v>
      </c>
      <c r="AO29">
        <v>0</v>
      </c>
      <c r="AQ29" t="s">
        <v>169</v>
      </c>
      <c r="AZ29" s="39" t="s">
        <v>831</v>
      </c>
      <c r="BA29" t="s">
        <v>169</v>
      </c>
      <c r="BB29" s="26">
        <v>5000</v>
      </c>
      <c r="BC29" s="81">
        <f>IF(AND(TabelaClean[[#This Row],[analise_risco]]="Arriscado",TabelaClean[[#This Row],[analise_credito]]="Reprovado"),0,IF(TabelaClean[[#This Row],[status]]="Ativo",TabelaClean[[#This Row],[valor_solicitado]]*1.08,0))</f>
        <v>96660</v>
      </c>
    </row>
    <row r="30" spans="1:55">
      <c r="A30" s="24" t="s">
        <v>81</v>
      </c>
      <c r="B30" s="17" t="s">
        <v>832</v>
      </c>
      <c r="C30" s="25" t="s">
        <v>159</v>
      </c>
      <c r="D30" s="54">
        <v>33</v>
      </c>
      <c r="E30" s="30">
        <v>34082</v>
      </c>
      <c r="F30" s="24" t="str">
        <f>TabelaClean[[#This Row],[CidadeCPF]]</f>
        <v>Meereen</v>
      </c>
      <c r="G30" s="17" t="str">
        <f>TabelaClean[[#This Row],[RegiaoCPF]]</f>
        <v>Essos</v>
      </c>
      <c r="H30" s="17" t="str">
        <f>_xlfn.XLOOKUP(TabelaClean[[#This Row],[cpf]],TabelaDirty[cpfclean],TabelaDirty[cidade])</f>
        <v>Meereen</v>
      </c>
      <c r="I30" s="17" t="str">
        <f>_xlfn.XLOOKUP(TabelaClean[[#This Row],[cpf]],TabelaDirty[cpfclean],TabelaDirty[regiao])</f>
        <v>Essos</v>
      </c>
      <c r="J30" s="17" t="str">
        <f>PROPER(TabelaClean[[#This Row],[Coluna1]])</f>
        <v>Essos</v>
      </c>
      <c r="K30" s="17" t="e">
        <f>_xlfn.TEXTBEFORE(TabelaClean[[#This Row],[CidadeCPF]]," | ")</f>
        <v>#N/A</v>
      </c>
      <c r="L30" s="24" t="e">
        <f>_xlfn.TEXTAFTER(TabelaClean[[#This Row],[CidadeCPF]]," | ")</f>
        <v>#N/A</v>
      </c>
      <c r="M30" s="26">
        <v>23600</v>
      </c>
      <c r="N30" s="78">
        <v>75500</v>
      </c>
      <c r="O30" s="1" t="s">
        <v>50</v>
      </c>
      <c r="P3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" s="84">
        <v>16</v>
      </c>
      <c r="R30" s="1" t="str" cm="1">
        <f t="array" ref="R30">_xlfn.IFS(TabelaClean[[#This Row],[qtde_batalhas]]&lt;=10,"Baixo",TabelaClean[[#This Row],[qtde_batalhas]]&gt;=26,"Alto",TabelaClean[[#This Row],[qtde_batalhas]]&lt;26,"Médio")</f>
        <v>Médio</v>
      </c>
      <c r="S30" s="1" t="str">
        <f>IF(AND(TabelaClean[[#This Row],[nivel_risco]]="Alto",TabelaClean[[#This Row],[flag_inadimplente]]="Sim"),"Arriscado","Ok")</f>
        <v>Ok</v>
      </c>
      <c r="T30" s="26">
        <v>88000</v>
      </c>
      <c r="U3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0" s="1"/>
      <c r="Y30" t="s">
        <v>273</v>
      </c>
      <c r="Z30" t="str">
        <f t="shared" si="0"/>
        <v>Essos</v>
      </c>
      <c r="AE30">
        <v>15900</v>
      </c>
      <c r="AF30" t="str">
        <f>TEXT(AE30,"000\.000\.000\-00")</f>
        <v>000.000.159-00</v>
      </c>
      <c r="AJ30" s="22">
        <v>18500</v>
      </c>
      <c r="AK30">
        <v>18500</v>
      </c>
      <c r="AM30" s="21">
        <v>74500</v>
      </c>
      <c r="AN30">
        <v>74500</v>
      </c>
      <c r="AO30">
        <v>74500</v>
      </c>
      <c r="AQ30" t="s">
        <v>242</v>
      </c>
      <c r="AZ30" s="38" t="s">
        <v>246</v>
      </c>
      <c r="BA30" t="s">
        <v>242</v>
      </c>
      <c r="BB30" s="26">
        <v>23600</v>
      </c>
      <c r="BC3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1" spans="1:55">
      <c r="A31" s="24" t="s">
        <v>76</v>
      </c>
      <c r="B31" s="17" t="s">
        <v>760</v>
      </c>
      <c r="C31" s="25" t="s">
        <v>761</v>
      </c>
      <c r="D31" s="54">
        <v>55</v>
      </c>
      <c r="E31" s="30">
        <v>25844</v>
      </c>
      <c r="F31" s="24" t="str">
        <f>TabelaClean[[#This Row],[CidadeCPF]]</f>
        <v>Jardim de Cima</v>
      </c>
      <c r="G31" s="17" t="str">
        <f>TabelaClean[[#This Row],[RegiaoCPF]]</f>
        <v>Campina</v>
      </c>
      <c r="H31" s="17" t="str">
        <f>_xlfn.XLOOKUP(TabelaClean[[#This Row],[cpf]],TabelaDirty[cpfclean],TabelaDirty[cidade])</f>
        <v>Jardim de Cima</v>
      </c>
      <c r="I31" s="17" t="str">
        <f>_xlfn.XLOOKUP(TabelaClean[[#This Row],[cpf]],TabelaDirty[cpfclean],TabelaDirty[regiao])</f>
        <v>CAMPINA</v>
      </c>
      <c r="J31" s="17" t="str">
        <f>PROPER(TabelaClean[[#This Row],[Coluna1]])</f>
        <v>Campina</v>
      </c>
      <c r="K31" s="17" t="e">
        <f>_xlfn.TEXTBEFORE(TabelaClean[[#This Row],[CidadeCPF]]," | ")</f>
        <v>#N/A</v>
      </c>
      <c r="L31" s="24" t="e">
        <f>_xlfn.TEXTAFTER(TabelaClean[[#This Row],[CidadeCPF]]," | ")</f>
        <v>#N/A</v>
      </c>
      <c r="M31" s="26">
        <v>17400</v>
      </c>
      <c r="N31" s="78">
        <v>75500</v>
      </c>
      <c r="O31" s="1" t="s">
        <v>50</v>
      </c>
      <c r="P3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" s="84">
        <v>9</v>
      </c>
      <c r="R31" s="1" t="str" cm="1">
        <f t="array" ref="R31">_xlfn.IFS(TabelaClean[[#This Row],[qtde_batalhas]]&lt;=10,"Baixo",TabelaClean[[#This Row],[qtde_batalhas]]&gt;=26,"Alto",TabelaClean[[#This Row],[qtde_batalhas]]&lt;26,"Médio")</f>
        <v>Baixo</v>
      </c>
      <c r="S31" s="1" t="str">
        <f>IF(AND(TabelaClean[[#This Row],[nivel_risco]]="Alto",TabelaClean[[#This Row],[flag_inadimplente]]="Sim"),"Arriscado","Ok")</f>
        <v>Ok</v>
      </c>
      <c r="T31" s="26">
        <v>52000</v>
      </c>
      <c r="U31" s="81">
        <f>IF(AND(TabelaClean[[#This Row],[analise_risco]]="Arriscado",TabelaClean[[#This Row],[analise_credito]]="Reprovado"),0,IF(TabelaClean[[#This Row],[status]]="Ativo",TabelaClean[[#This Row],[valor_solicitado]]*1.08,0))</f>
        <v>56160.000000000007</v>
      </c>
      <c r="W31" s="1"/>
      <c r="Y31" t="s">
        <v>809</v>
      </c>
      <c r="Z31" t="str">
        <f t="shared" si="0"/>
        <v>Null</v>
      </c>
      <c r="AE31">
        <v>16000</v>
      </c>
      <c r="AF31" t="str">
        <f>TEXT(AE31,"000\.000\.000\-00")</f>
        <v>000.000.160-00</v>
      </c>
      <c r="AJ31" s="22" t="s">
        <v>184</v>
      </c>
      <c r="AK31">
        <v>0</v>
      </c>
      <c r="AM31" s="20" t="s">
        <v>92</v>
      </c>
      <c r="AN31" t="s">
        <v>809</v>
      </c>
      <c r="AO31" t="s">
        <v>809</v>
      </c>
      <c r="AQ31" t="s">
        <v>183</v>
      </c>
      <c r="AZ31" s="39" t="s">
        <v>718</v>
      </c>
      <c r="BA31" t="s">
        <v>183</v>
      </c>
      <c r="BB31" s="26">
        <v>17400</v>
      </c>
      <c r="BC31" s="81">
        <f>IF(AND(TabelaClean[[#This Row],[analise_risco]]="Arriscado",TabelaClean[[#This Row],[analise_credito]]="Reprovado"),0,IF(TabelaClean[[#This Row],[status]]="Ativo",TabelaClean[[#This Row],[valor_solicitado]]*1.08,0))</f>
        <v>56160.000000000007</v>
      </c>
    </row>
    <row r="32" spans="1:55">
      <c r="A32" s="24" t="s">
        <v>81</v>
      </c>
      <c r="B32" s="17" t="s">
        <v>833</v>
      </c>
      <c r="C32" s="25" t="s">
        <v>834</v>
      </c>
      <c r="D32" s="54">
        <v>57</v>
      </c>
      <c r="E32" s="30">
        <v>25147</v>
      </c>
      <c r="F32" s="25" t="s">
        <v>835</v>
      </c>
      <c r="G32" s="25" t="s">
        <v>149</v>
      </c>
      <c r="H32" s="24">
        <v>26300</v>
      </c>
      <c r="I32" s="24">
        <v>75500</v>
      </c>
      <c r="J32" s="24" t="s">
        <v>51</v>
      </c>
      <c r="K32" s="24"/>
      <c r="L32" s="24"/>
      <c r="M32" s="26">
        <v>44000</v>
      </c>
      <c r="N32" s="78">
        <v>75500</v>
      </c>
      <c r="O32" s="1" t="s">
        <v>51</v>
      </c>
      <c r="P32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R32" s="76" t="str" cm="1">
        <f t="array" ref="R32">_xlfn.IFS(TabelaClean[[#This Row],[qtde_batalhas]]&lt;=10,"Baixo",TabelaClean[[#This Row],[qtde_batalhas]]&gt;=26,"Alto",TabelaClean[[#This Row],[qtde_batalhas]]&lt;26,"Médio")</f>
        <v>Baixo</v>
      </c>
      <c r="S32" s="76" t="str">
        <f>IF(AND(TabelaClean[[#This Row],[nivel_risco]]="Alto",TabelaClean[[#This Row],[flag_inadimplente]]="Sim"),"Arriscado","Ok")</f>
        <v>Ok</v>
      </c>
      <c r="T32" s="26">
        <v>44000</v>
      </c>
      <c r="U3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2" s="1"/>
      <c r="Y32" t="s">
        <v>142</v>
      </c>
      <c r="Z32" t="str">
        <f t="shared" si="0"/>
        <v>Norte</v>
      </c>
      <c r="AE32">
        <v>16100</v>
      </c>
      <c r="AF32" t="str">
        <f>TEXT(AE32,"000\.000\.000\-00")</f>
        <v>000.000.161-00</v>
      </c>
      <c r="AJ32" s="22">
        <v>8000</v>
      </c>
      <c r="AK32">
        <v>8000</v>
      </c>
      <c r="AM32" s="21">
        <v>69000</v>
      </c>
      <c r="AN32">
        <v>69000</v>
      </c>
      <c r="AO32">
        <v>69000</v>
      </c>
      <c r="AQ32" t="s">
        <v>103</v>
      </c>
      <c r="AZ32" s="38" t="s">
        <v>774</v>
      </c>
      <c r="BA32" t="s">
        <v>103</v>
      </c>
      <c r="BB32" s="26">
        <v>44000</v>
      </c>
      <c r="BC3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3" spans="1:55">
      <c r="A33" s="24" t="s">
        <v>81</v>
      </c>
      <c r="B33" s="17" t="s">
        <v>432</v>
      </c>
      <c r="C33" s="25" t="s">
        <v>433</v>
      </c>
      <c r="D33" s="54">
        <v>29</v>
      </c>
      <c r="E33" s="30">
        <v>35598</v>
      </c>
      <c r="F33" s="24" t="str">
        <f>TabelaClean[[#This Row],[CidadeCPF]]</f>
        <v>Dorne</v>
      </c>
      <c r="G33" s="17" t="str">
        <f>TabelaClean[[#This Row],[RegiaoCPF]]</f>
        <v>Dorne</v>
      </c>
      <c r="H33" s="17" t="str">
        <f>_xlfn.XLOOKUP(TabelaClean[[#This Row],[cpf]],TabelaDirty[cpfclean],TabelaDirty[cidade])</f>
        <v>Dorne</v>
      </c>
      <c r="I33" s="17" t="str">
        <f>_xlfn.XLOOKUP(TabelaClean[[#This Row],[cpf]],TabelaDirty[cpfclean],TabelaDirty[regiao])</f>
        <v>Dorne</v>
      </c>
      <c r="J33" s="17" t="str">
        <f>PROPER(TabelaClean[[#This Row],[Coluna1]])</f>
        <v>Dorne</v>
      </c>
      <c r="K33" s="17" t="e">
        <f>_xlfn.TEXTBEFORE(TabelaClean[[#This Row],[CidadeCPF]]," | ")</f>
        <v>#N/A</v>
      </c>
      <c r="L33" s="24" t="e">
        <f>_xlfn.TEXTAFTER(TabelaClean[[#This Row],[CidadeCPF]]," | ")</f>
        <v>#N/A</v>
      </c>
      <c r="M33" s="26">
        <v>15500</v>
      </c>
      <c r="N33" s="78">
        <v>75000</v>
      </c>
      <c r="O33" s="1" t="s">
        <v>50</v>
      </c>
      <c r="P3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" s="84">
        <v>25</v>
      </c>
      <c r="R33" s="1" t="str" cm="1">
        <f t="array" ref="R33">_xlfn.IFS(TabelaClean[[#This Row],[qtde_batalhas]]&lt;=10,"Baixo",TabelaClean[[#This Row],[qtde_batalhas]]&gt;=26,"Alto",TabelaClean[[#This Row],[qtde_batalhas]]&lt;26,"Médio")</f>
        <v>Médio</v>
      </c>
      <c r="S33" s="1" t="str">
        <f>IF(AND(TabelaClean[[#This Row],[nivel_risco]]="Alto",TabelaClean[[#This Row],[flag_inadimplente]]="Sim"),"Arriscado","Ok")</f>
        <v>Ok</v>
      </c>
      <c r="T33" s="26">
        <v>47000</v>
      </c>
      <c r="U3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3" s="1"/>
      <c r="Y33" t="s">
        <v>264</v>
      </c>
      <c r="Z33" t="str">
        <f t="shared" si="0"/>
        <v>Ilhas De Ferro</v>
      </c>
      <c r="AE33">
        <v>16300</v>
      </c>
      <c r="AF33" t="str">
        <f>TEXT(AE33,"000\.000\.000\-00")</f>
        <v>000.000.163-00</v>
      </c>
      <c r="AJ33" s="22">
        <v>4400</v>
      </c>
      <c r="AK33">
        <v>4400</v>
      </c>
      <c r="AM33" s="20">
        <v>23500</v>
      </c>
      <c r="AN33">
        <v>23500</v>
      </c>
      <c r="AO33">
        <v>23500</v>
      </c>
      <c r="AQ33" t="s">
        <v>302</v>
      </c>
      <c r="AZ33" s="39" t="s">
        <v>836</v>
      </c>
      <c r="BA33" t="s">
        <v>302</v>
      </c>
      <c r="BB33" s="26">
        <v>15500</v>
      </c>
      <c r="BC3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4" spans="1:55">
      <c r="A34" s="24" t="s">
        <v>76</v>
      </c>
      <c r="B34" s="17" t="s">
        <v>837</v>
      </c>
      <c r="C34" s="25" t="s">
        <v>171</v>
      </c>
      <c r="D34" s="54">
        <v>29</v>
      </c>
      <c r="E34" s="30">
        <v>35323</v>
      </c>
      <c r="F34" s="24" t="str">
        <f>TabelaClean[[#This Row],[CidadeCPF]]</f>
        <v>Jardim de Cima</v>
      </c>
      <c r="G34" s="17" t="str">
        <f>TabelaClean[[#This Row],[RegiaoCPF]]</f>
        <v>Campina</v>
      </c>
      <c r="H34" s="17" t="str">
        <f>_xlfn.XLOOKUP(TabelaClean[[#This Row],[cpf]],TabelaDirty[cpfclean],TabelaDirty[cidade])</f>
        <v>Jardim de Cima</v>
      </c>
      <c r="I34" s="17" t="str">
        <f>_xlfn.XLOOKUP(TabelaClean[[#This Row],[cpf]],TabelaDirty[cpfclean],TabelaDirty[regiao])</f>
        <v>Campina</v>
      </c>
      <c r="J34" s="17" t="str">
        <f>PROPER(TabelaClean[[#This Row],[Coluna1]])</f>
        <v>Campina</v>
      </c>
      <c r="K34" s="17" t="e">
        <f>_xlfn.TEXTBEFORE(TabelaClean[[#This Row],[CidadeCPF]]," | ")</f>
        <v>#N/A</v>
      </c>
      <c r="L34" s="24" t="e">
        <f>_xlfn.TEXTAFTER(TabelaClean[[#This Row],[CidadeCPF]]," | ")</f>
        <v>#N/A</v>
      </c>
      <c r="M34" s="26">
        <v>21200</v>
      </c>
      <c r="N34" s="78">
        <v>75000</v>
      </c>
      <c r="O34" s="1" t="s">
        <v>50</v>
      </c>
      <c r="P3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" s="84">
        <v>6</v>
      </c>
      <c r="R34" s="1" t="str" cm="1">
        <f t="array" ref="R34">_xlfn.IFS(TabelaClean[[#This Row],[qtde_batalhas]]&lt;=10,"Baixo",TabelaClean[[#This Row],[qtde_batalhas]]&gt;=26,"Alto",TabelaClean[[#This Row],[qtde_batalhas]]&lt;26,"Médio")</f>
        <v>Baixo</v>
      </c>
      <c r="S34" s="1" t="str">
        <f>IF(AND(TabelaClean[[#This Row],[nivel_risco]]="Alto",TabelaClean[[#This Row],[flag_inadimplente]]="Sim"),"Arriscado","Ok")</f>
        <v>Ok</v>
      </c>
      <c r="T34" s="26">
        <v>63500</v>
      </c>
      <c r="U34" s="81">
        <f>IF(AND(TabelaClean[[#This Row],[analise_risco]]="Arriscado",TabelaClean[[#This Row],[analise_credito]]="Reprovado"),0,IF(TabelaClean[[#This Row],[status]]="Ativo",TabelaClean[[#This Row],[valor_solicitado]]*1.08,0))</f>
        <v>68580</v>
      </c>
      <c r="W34" s="1"/>
      <c r="Y34" t="s">
        <v>809</v>
      </c>
      <c r="Z34" t="str">
        <f t="shared" si="0"/>
        <v>Null</v>
      </c>
      <c r="AE34">
        <v>16500</v>
      </c>
      <c r="AF34" t="str">
        <f>TEXT(AE34,"000\.000\.000\-00")</f>
        <v>000.000.165-00</v>
      </c>
      <c r="AJ34" s="22" t="s">
        <v>184</v>
      </c>
      <c r="AK34">
        <v>0</v>
      </c>
      <c r="AM34" s="21">
        <v>21500</v>
      </c>
      <c r="AN34">
        <v>21500</v>
      </c>
      <c r="AO34">
        <v>21500</v>
      </c>
      <c r="AQ34" t="s">
        <v>83</v>
      </c>
      <c r="AZ34" s="38" t="s">
        <v>507</v>
      </c>
      <c r="BA34" t="s">
        <v>83</v>
      </c>
      <c r="BB34" s="26">
        <v>21200</v>
      </c>
      <c r="BC34" s="81">
        <f>IF(AND(TabelaClean[[#This Row],[analise_risco]]="Arriscado",TabelaClean[[#This Row],[analise_credito]]="Reprovado"),0,IF(TabelaClean[[#This Row],[status]]="Ativo",TabelaClean[[#This Row],[valor_solicitado]]*1.08,0))</f>
        <v>68580</v>
      </c>
    </row>
    <row r="35" spans="1:55">
      <c r="A35" s="24" t="s">
        <v>76</v>
      </c>
      <c r="B35" s="17" t="s">
        <v>546</v>
      </c>
      <c r="C35" s="25" t="s">
        <v>838</v>
      </c>
      <c r="D35" s="54">
        <v>18</v>
      </c>
      <c r="E35" s="30">
        <v>39369</v>
      </c>
      <c r="F35" s="24" t="str">
        <f>TabelaClean[[#This Row],[CidadeCPF]]</f>
        <v>Meereen</v>
      </c>
      <c r="G35" s="17" t="str">
        <f>TabelaClean[[#This Row],[RegiaoCPF]]</f>
        <v>Essos</v>
      </c>
      <c r="H35" s="17" t="str">
        <f>_xlfn.XLOOKUP(TabelaClean[[#This Row],[cpf]],TabelaDirty[cpfclean],TabelaDirty[cidade])</f>
        <v>Meereen</v>
      </c>
      <c r="I35" s="17" t="str">
        <f>_xlfn.XLOOKUP(TabelaClean[[#This Row],[cpf]],TabelaDirty[cpfclean],TabelaDirty[regiao])</f>
        <v>essos</v>
      </c>
      <c r="J35" s="17" t="str">
        <f>PROPER(TabelaClean[[#This Row],[Coluna1]])</f>
        <v>Essos</v>
      </c>
      <c r="K35" s="17" t="e">
        <f>_xlfn.TEXTBEFORE(TabelaClean[[#This Row],[CidadeCPF]]," | ")</f>
        <v>#N/A</v>
      </c>
      <c r="L35" s="24" t="e">
        <f>_xlfn.TEXTAFTER(TabelaClean[[#This Row],[CidadeCPF]]," | ")</f>
        <v>#N/A</v>
      </c>
      <c r="M35" s="26">
        <v>18500</v>
      </c>
      <c r="N35" s="78">
        <v>74500</v>
      </c>
      <c r="O35" s="1" t="s">
        <v>51</v>
      </c>
      <c r="P3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35" s="84">
        <v>20</v>
      </c>
      <c r="R35" s="1" t="str" cm="1">
        <f t="array" ref="R35">_xlfn.IFS(TabelaClean[[#This Row],[qtde_batalhas]]&lt;=10,"Baixo",TabelaClean[[#This Row],[qtde_batalhas]]&gt;=26,"Alto",TabelaClean[[#This Row],[qtde_batalhas]]&lt;26,"Médio")</f>
        <v>Médio</v>
      </c>
      <c r="S35" s="1" t="str">
        <f>IF(AND(TabelaClean[[#This Row],[nivel_risco]]="Alto",TabelaClean[[#This Row],[flag_inadimplente]]="Sim"),"Arriscado","Ok")</f>
        <v>Ok</v>
      </c>
      <c r="T35" s="26">
        <v>45500</v>
      </c>
      <c r="U35" s="81">
        <f>IF(AND(TabelaClean[[#This Row],[analise_risco]]="Arriscado",TabelaClean[[#This Row],[analise_credito]]="Reprovado"),0,IF(TabelaClean[[#This Row],[status]]="Ativo",TabelaClean[[#This Row],[valor_solicitado]]*1.08,0))</f>
        <v>49140</v>
      </c>
      <c r="W35" s="1"/>
      <c r="Y35" t="s">
        <v>809</v>
      </c>
      <c r="Z35" t="str">
        <f t="shared" si="0"/>
        <v>Null</v>
      </c>
      <c r="AE35">
        <v>16600</v>
      </c>
      <c r="AF35" t="str">
        <f>TEXT(AE35,"000\.000\.000\-00")</f>
        <v>000.000.166-00</v>
      </c>
      <c r="AJ35" s="22">
        <v>19500</v>
      </c>
      <c r="AK35">
        <v>19500</v>
      </c>
      <c r="AM35" s="20">
        <v>57000</v>
      </c>
      <c r="AN35">
        <v>57000</v>
      </c>
      <c r="AO35">
        <v>57000</v>
      </c>
      <c r="AQ35" t="s">
        <v>210</v>
      </c>
      <c r="AZ35" s="39" t="s">
        <v>516</v>
      </c>
      <c r="BA35" t="s">
        <v>210</v>
      </c>
      <c r="BB35" s="26">
        <v>18500</v>
      </c>
      <c r="BC35" s="81">
        <f>IF(AND(TabelaClean[[#This Row],[analise_risco]]="Arriscado",TabelaClean[[#This Row],[analise_credito]]="Reprovado"),0,IF(TabelaClean[[#This Row],[status]]="Ativo",TabelaClean[[#This Row],[valor_solicitado]]*1.08,0))</f>
        <v>49140</v>
      </c>
    </row>
    <row r="36" spans="1:55">
      <c r="A36" s="24" t="s">
        <v>81</v>
      </c>
      <c r="B36" s="17" t="s">
        <v>683</v>
      </c>
      <c r="C36" t="str">
        <f>_xlfn.XLOOKUP(TabelaClean[[#This Row],[nome]],Base_Dirty!$B:$B,Base_Dirty!D:D)</f>
        <v>000.000.147-00</v>
      </c>
      <c r="D36" s="54">
        <f>_xlfn.XLOOKUP(TabelaClean[[#This Row],[nome]],Base_Dirty!B:B,Base_Dirty!E:E)</f>
        <v>52</v>
      </c>
      <c r="E36" s="30">
        <v>46</v>
      </c>
      <c r="F36" s="50" t="s">
        <v>169</v>
      </c>
      <c r="G36" s="17" t="s">
        <v>139</v>
      </c>
      <c r="H36" s="24" t="s">
        <v>146</v>
      </c>
      <c r="I36" s="24" t="str">
        <f>_xlfn.XLOOKUP(TabelaClean[[#This Row],[cpf]],TabelaDirty[cpfclean],TabelaDirty[regiao])</f>
        <v>Norte</v>
      </c>
      <c r="J36" s="24">
        <v>37500</v>
      </c>
      <c r="K36" s="24" t="s">
        <v>50</v>
      </c>
      <c r="L36" s="24" t="e">
        <f>_xlfn.TEXTAFTER(TabelaClean[[#This Row],[CidadeCPF]]," | ")</f>
        <v>#N/A</v>
      </c>
      <c r="M36" s="23">
        <f>_xlfn.XLOOKUP(TabelaClean[[#This Row],[nome]],Base_Dirty!$B:$B,Base_Dirty!I:I)</f>
        <v>7300</v>
      </c>
      <c r="N36" s="78">
        <v>74000</v>
      </c>
      <c r="O36" s="79" t="s">
        <v>50</v>
      </c>
      <c r="P3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" s="84">
        <f>_xlfn.XLOOKUP(TabelaClean[[#This Row],[nome]],Base_Dirty!$B:$B,Base_Dirty!L:L)</f>
        <v>40</v>
      </c>
      <c r="R36" s="76" t="str" cm="1">
        <f t="array" ref="R36">_xlfn.IFS(TabelaClean[[#This Row],[qtde_batalhas]]&lt;=10,"Baixo",TabelaClean[[#This Row],[qtde_batalhas]]&gt;=26,"Alto",TabelaClean[[#This Row],[qtde_batalhas]]&lt;26,"Médio")</f>
        <v>Alto</v>
      </c>
      <c r="S36" s="76" t="str">
        <f>IF(AND(TabelaClean[[#This Row],[nivel_risco]]="Alto",TabelaClean[[#This Row],[flag_inadimplente]]="Sim"),"Arriscado","Ok")</f>
        <v>Ok</v>
      </c>
      <c r="T36" s="26">
        <f>_xlfn.XLOOKUP(TabelaClean[[#This Row],[nome]],Base_Dirty!$B:$B,Base_Dirty!O:O)</f>
        <v>34500</v>
      </c>
      <c r="U3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6" s="1"/>
      <c r="Y36" t="s">
        <v>809</v>
      </c>
      <c r="Z36" t="str">
        <f t="shared" si="0"/>
        <v>Null</v>
      </c>
      <c r="AE36">
        <v>17100</v>
      </c>
      <c r="AF36" t="str">
        <f>TEXT(AE36,"000\.000\.000\-00")</f>
        <v>000.000.171-00</v>
      </c>
      <c r="AJ36" s="22">
        <v>17500</v>
      </c>
      <c r="AK36">
        <v>17500</v>
      </c>
      <c r="AM36" s="21">
        <v>3500</v>
      </c>
      <c r="AN36">
        <v>3500</v>
      </c>
      <c r="AO36">
        <v>3500</v>
      </c>
      <c r="AQ36" t="s">
        <v>148</v>
      </c>
      <c r="AZ36" s="38" t="s">
        <v>426</v>
      </c>
      <c r="BA36" t="s">
        <v>148</v>
      </c>
      <c r="BB36" s="23">
        <f>_xlfn.XLOOKUP(TabelaClean[[#This Row],[nome]],Base_Dirty!$B:$B,Base_Dirty!AX:AX)</f>
        <v>0</v>
      </c>
      <c r="BC3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7" spans="1:55">
      <c r="A37" s="24" t="s">
        <v>81</v>
      </c>
      <c r="B37" s="17" t="s">
        <v>683</v>
      </c>
      <c r="C37" t="str">
        <f>_xlfn.XLOOKUP(TabelaClean[[#This Row],[nome]],Base_Dirty!$B:$B,Base_Dirty!D:D)</f>
        <v>000.000.147-00</v>
      </c>
      <c r="D37" s="54">
        <f>_xlfn.XLOOKUP(TabelaClean[[#This Row],[nome]],Base_Dirty!B:B,Base_Dirty!E:E)</f>
        <v>52</v>
      </c>
      <c r="E37" s="30">
        <v>46</v>
      </c>
      <c r="F37" s="50" t="s">
        <v>169</v>
      </c>
      <c r="G37" s="17" t="s">
        <v>139</v>
      </c>
      <c r="H37" s="24" t="s">
        <v>146</v>
      </c>
      <c r="I37" s="24" t="str">
        <f>_xlfn.XLOOKUP(TabelaClean[[#This Row],[cpf]],TabelaDirty[cpfclean],TabelaDirty[regiao])</f>
        <v>Norte</v>
      </c>
      <c r="J37" s="24">
        <v>37500</v>
      </c>
      <c r="K37" s="24" t="s">
        <v>50</v>
      </c>
      <c r="L37" s="24" t="e">
        <f>_xlfn.TEXTAFTER(TabelaClean[[#This Row],[CidadeCPF]]," | ")</f>
        <v>#N/A</v>
      </c>
      <c r="M37" s="23">
        <f>_xlfn.XLOOKUP(TabelaClean[[#This Row],[nome]],Base_Dirty!$B:$B,Base_Dirty!I:I)</f>
        <v>7300</v>
      </c>
      <c r="N37" s="78">
        <v>74000</v>
      </c>
      <c r="O37" s="79" t="s">
        <v>50</v>
      </c>
      <c r="P37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7" s="84">
        <f>_xlfn.XLOOKUP(TabelaClean[[#This Row],[nome]],Base_Dirty!$B:$B,Base_Dirty!L:L)</f>
        <v>40</v>
      </c>
      <c r="R37" s="76" t="str" cm="1">
        <f t="array" ref="R37">_xlfn.IFS(TabelaClean[[#This Row],[qtde_batalhas]]&lt;=10,"Baixo",TabelaClean[[#This Row],[qtde_batalhas]]&gt;=26,"Alto",TabelaClean[[#This Row],[qtde_batalhas]]&lt;26,"Médio")</f>
        <v>Alto</v>
      </c>
      <c r="S37" s="76" t="str">
        <f>IF(AND(TabelaClean[[#This Row],[nivel_risco]]="Alto",TabelaClean[[#This Row],[flag_inadimplente]]="Sim"),"Arriscado","Ok")</f>
        <v>Ok</v>
      </c>
      <c r="T37" s="26">
        <f>_xlfn.XLOOKUP(TabelaClean[[#This Row],[nome]],Base_Dirty!$B:$B,Base_Dirty!O:O)</f>
        <v>34500</v>
      </c>
      <c r="U3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7" s="1"/>
      <c r="Y37" t="s">
        <v>809</v>
      </c>
      <c r="Z37" t="str">
        <f t="shared" si="0"/>
        <v>Null</v>
      </c>
      <c r="AE37">
        <v>17500</v>
      </c>
      <c r="AF37" t="str">
        <f>TEXT(AE37,"000\.000\.000\-00")</f>
        <v>000.000.175-00</v>
      </c>
      <c r="AJ37" s="22">
        <v>11900</v>
      </c>
      <c r="AK37">
        <v>11900</v>
      </c>
      <c r="AM37" s="20">
        <v>58500</v>
      </c>
      <c r="AN37">
        <v>58500</v>
      </c>
      <c r="AO37">
        <v>58500</v>
      </c>
      <c r="AQ37" t="s">
        <v>154</v>
      </c>
      <c r="AZ37" s="39" t="s">
        <v>668</v>
      </c>
      <c r="BA37" t="s">
        <v>154</v>
      </c>
      <c r="BB37" s="23">
        <f>_xlfn.XLOOKUP(TabelaClean[[#This Row],[nome]],Base_Dirty!$B:$B,Base_Dirty!AX:AX)</f>
        <v>0</v>
      </c>
      <c r="BC3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8" spans="1:55">
      <c r="A38" s="24" t="s">
        <v>76</v>
      </c>
      <c r="B38" s="17" t="s">
        <v>683</v>
      </c>
      <c r="C38" s="25" t="s">
        <v>684</v>
      </c>
      <c r="D38" s="54">
        <v>52</v>
      </c>
      <c r="E38" s="30">
        <v>26921</v>
      </c>
      <c r="F38" s="24" t="str">
        <f>TabelaClean[[#This Row],[CidadeCPF]]</f>
        <v>Ilha dos Ursos</v>
      </c>
      <c r="G38" s="17" t="str">
        <f>TabelaClean[[#This Row],[RegiaoCPF]]</f>
        <v>Norte</v>
      </c>
      <c r="H38" s="17" t="str">
        <f>_xlfn.XLOOKUP(TabelaClean[[#This Row],[cpf]],TabelaDirty[cpfclean],TabelaDirty[cidade])</f>
        <v>Ilha dos Ursos</v>
      </c>
      <c r="I38" s="17" t="str">
        <f>_xlfn.XLOOKUP(TabelaClean[[#This Row],[cpf]],TabelaDirty[cpfclean],TabelaDirty[regiao])</f>
        <v>Norte</v>
      </c>
      <c r="J38" s="17" t="str">
        <f>PROPER(TabelaClean[[#This Row],[Coluna1]])</f>
        <v>Norte</v>
      </c>
      <c r="K38" s="17" t="e">
        <f>_xlfn.TEXTBEFORE(TabelaClean[[#This Row],[CidadeCPF]]," | ")</f>
        <v>#N/A</v>
      </c>
      <c r="L38" s="24" t="e">
        <f>_xlfn.TEXTAFTER(TabelaClean[[#This Row],[CidadeCPF]]," | ")</f>
        <v>#N/A</v>
      </c>
      <c r="M38" s="26">
        <v>7300</v>
      </c>
      <c r="N38" s="78">
        <v>74000</v>
      </c>
      <c r="O38" s="1" t="s">
        <v>50</v>
      </c>
      <c r="P3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8" s="84">
        <v>40</v>
      </c>
      <c r="R38" s="1" t="str" cm="1">
        <f t="array" ref="R38">_xlfn.IFS(TabelaClean[[#This Row],[qtde_batalhas]]&lt;=10,"Baixo",TabelaClean[[#This Row],[qtde_batalhas]]&gt;=26,"Alto",TabelaClean[[#This Row],[qtde_batalhas]]&lt;26,"Médio")</f>
        <v>Alto</v>
      </c>
      <c r="S38" s="1" t="str">
        <f>IF(AND(TabelaClean[[#This Row],[nivel_risco]]="Alto",TabelaClean[[#This Row],[flag_inadimplente]]="Sim"),"Arriscado","Ok")</f>
        <v>Ok</v>
      </c>
      <c r="T38" s="26">
        <v>34500</v>
      </c>
      <c r="U38" s="81">
        <f>IF(AND(TabelaClean[[#This Row],[analise_risco]]="Arriscado",TabelaClean[[#This Row],[analise_credito]]="Reprovado"),0,IF(TabelaClean[[#This Row],[status]]="Ativo",TabelaClean[[#This Row],[valor_solicitado]]*1.08,0))</f>
        <v>37260</v>
      </c>
      <c r="W38" s="1"/>
      <c r="Y38" t="s">
        <v>809</v>
      </c>
      <c r="Z38" t="str">
        <f t="shared" si="0"/>
        <v>Null</v>
      </c>
      <c r="AE38">
        <v>17900</v>
      </c>
      <c r="AF38" t="str">
        <f>TEXT(AE38,"000\.000\.000\-00")</f>
        <v>000.000.179-00</v>
      </c>
      <c r="AJ38" s="22">
        <v>9300</v>
      </c>
      <c r="AK38">
        <v>9300</v>
      </c>
      <c r="AM38" s="21">
        <v>36500</v>
      </c>
      <c r="AN38">
        <v>36500</v>
      </c>
      <c r="AO38">
        <v>36500</v>
      </c>
      <c r="AQ38" t="s">
        <v>172</v>
      </c>
      <c r="AZ38" s="38" t="s">
        <v>670</v>
      </c>
      <c r="BA38" t="s">
        <v>172</v>
      </c>
      <c r="BB38" s="26">
        <v>7300</v>
      </c>
      <c r="BC38" s="81">
        <f>IF(AND(TabelaClean[[#This Row],[analise_risco]]="Arriscado",TabelaClean[[#This Row],[analise_credito]]="Reprovado"),0,IF(TabelaClean[[#This Row],[status]]="Ativo",TabelaClean[[#This Row],[valor_solicitado]]*1.08,0))</f>
        <v>37260</v>
      </c>
    </row>
    <row r="39" spans="1:55">
      <c r="A39" s="24" t="s">
        <v>76</v>
      </c>
      <c r="B39" s="17" t="s">
        <v>744</v>
      </c>
      <c r="C39" s="25" t="s">
        <v>745</v>
      </c>
      <c r="D39" s="54">
        <v>67</v>
      </c>
      <c r="E39" s="30">
        <v>21497</v>
      </c>
      <c r="F39" s="17" t="str">
        <f>TabelaClean[[#This Row],[CidadeClean]]</f>
        <v>Pyke</v>
      </c>
      <c r="G39" s="17" t="str">
        <f>TabelaClean[[#This Row],[RegiaoClean]]</f>
        <v>Ilhas de Ferro</v>
      </c>
      <c r="H39" s="28" t="str">
        <f>_xlfn.XLOOKUP(TabelaClean[[#This Row],[cpf]],TabelaDirty[cpfclean],TabelaDirty[cidade])</f>
        <v>Pyke | Ilhas de Ferro</v>
      </c>
      <c r="I39" s="28">
        <f>_xlfn.XLOOKUP(TabelaClean[[#This Row],[cpf]],TabelaDirty[cpfclean],TabelaDirty[regiao])</f>
        <v>0</v>
      </c>
      <c r="J39" s="28" t="s">
        <v>132</v>
      </c>
      <c r="K39" s="28" t="str">
        <f>_xlfn.TEXTBEFORE(TabelaClean[[#This Row],[CidadeCPF]]," | ")</f>
        <v>Pyke</v>
      </c>
      <c r="L39" s="24" t="str">
        <f>_xlfn.TEXTAFTER(TabelaClean[[#This Row],[CidadeCPF]]," | ")</f>
        <v>Ilhas de Ferro</v>
      </c>
      <c r="M39" s="26">
        <v>21600</v>
      </c>
      <c r="N39" s="78">
        <v>73500</v>
      </c>
      <c r="O39" s="1" t="s">
        <v>51</v>
      </c>
      <c r="P3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39" s="84">
        <v>7</v>
      </c>
      <c r="R39" s="1" t="str" cm="1">
        <f t="array" ref="R39">_xlfn.IFS(TabelaClean[[#This Row],[qtde_batalhas]]&lt;=10,"Baixo",TabelaClean[[#This Row],[qtde_batalhas]]&gt;=26,"Alto",TabelaClean[[#This Row],[qtde_batalhas]]&lt;26,"Médio")</f>
        <v>Baixo</v>
      </c>
      <c r="S39" s="1" t="str">
        <f>IF(AND(TabelaClean[[#This Row],[nivel_risco]]="Alto",TabelaClean[[#This Row],[flag_inadimplente]]="Sim"),"Arriscado","Ok")</f>
        <v>Ok</v>
      </c>
      <c r="T39" s="26">
        <v>24500</v>
      </c>
      <c r="U39" s="81">
        <f>IF(AND(TabelaClean[[#This Row],[analise_risco]]="Arriscado",TabelaClean[[#This Row],[analise_credito]]="Reprovado"),0,IF(TabelaClean[[#This Row],[status]]="Ativo",TabelaClean[[#This Row],[valor_solicitado]]*1.08,0))</f>
        <v>26460</v>
      </c>
      <c r="W39" s="1"/>
      <c r="Y39" t="s">
        <v>303</v>
      </c>
      <c r="Z39" t="str">
        <f t="shared" si="0"/>
        <v>Terras Da Tempestade</v>
      </c>
      <c r="AE39">
        <v>18000</v>
      </c>
      <c r="AF39" t="str">
        <f>TEXT(AE39,"000\.000\.000\-00")</f>
        <v>000.000.180-00</v>
      </c>
      <c r="AJ39" s="22">
        <v>11300</v>
      </c>
      <c r="AK39">
        <v>11300</v>
      </c>
      <c r="AM39" s="20">
        <v>49500</v>
      </c>
      <c r="AN39">
        <v>49500</v>
      </c>
      <c r="AO39">
        <v>49500</v>
      </c>
      <c r="AQ39" t="s">
        <v>210</v>
      </c>
      <c r="AZ39" s="39" t="s">
        <v>326</v>
      </c>
      <c r="BA39" t="s">
        <v>210</v>
      </c>
      <c r="BB39" s="26">
        <v>21600</v>
      </c>
      <c r="BC39" s="81">
        <f>IF(AND(TabelaClean[[#This Row],[analise_risco]]="Arriscado",TabelaClean[[#This Row],[analise_credito]]="Reprovado"),0,IF(TabelaClean[[#This Row],[status]]="Ativo",TabelaClean[[#This Row],[valor_solicitado]]*1.08,0))</f>
        <v>26460</v>
      </c>
    </row>
    <row r="40" spans="1:55">
      <c r="A40" s="24" t="s">
        <v>76</v>
      </c>
      <c r="B40" s="17" t="s">
        <v>439</v>
      </c>
      <c r="C40" s="25" t="s">
        <v>839</v>
      </c>
      <c r="D40" s="54">
        <v>33</v>
      </c>
      <c r="E40" s="30">
        <v>34021</v>
      </c>
      <c r="F40" s="24" t="str">
        <f>TabelaClean[[#This Row],[CidadeCPF]]</f>
        <v>Ponta Tempestade</v>
      </c>
      <c r="G40" s="17" t="str">
        <f>TabelaClean[[#This Row],[RegiaoCPF]]</f>
        <v>Terras Da Tempestade</v>
      </c>
      <c r="H40" s="17" t="str">
        <f>_xlfn.XLOOKUP(TabelaClean[[#This Row],[cpf]],TabelaDirty[cpfclean],TabelaDirty[cidade])</f>
        <v>Ponta Tempestade</v>
      </c>
      <c r="I40" s="17" t="str">
        <f>_xlfn.XLOOKUP(TabelaClean[[#This Row],[cpf]],TabelaDirty[cpfclean],TabelaDirty[regiao])</f>
        <v>Terras da Tempestade</v>
      </c>
      <c r="J40" s="17" t="str">
        <f>PROPER(TabelaClean[[#This Row],[Coluna1]])</f>
        <v>Terras Da Tempestade</v>
      </c>
      <c r="K40" s="17" t="e">
        <f>_xlfn.TEXTBEFORE(TabelaClean[[#This Row],[CidadeCPF]]," | ")</f>
        <v>#N/A</v>
      </c>
      <c r="L40" s="24" t="e">
        <f>_xlfn.TEXTAFTER(TabelaClean[[#This Row],[CidadeCPF]]," | ")</f>
        <v>#N/A</v>
      </c>
      <c r="N40" s="78">
        <v>73500</v>
      </c>
      <c r="O40" s="1" t="s">
        <v>50</v>
      </c>
      <c r="P4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0" s="84">
        <v>33</v>
      </c>
      <c r="R40" s="1" t="str" cm="1">
        <f t="array" ref="R40">_xlfn.IFS(TabelaClean[[#This Row],[qtde_batalhas]]&lt;=10,"Baixo",TabelaClean[[#This Row],[qtde_batalhas]]&gt;=26,"Alto",TabelaClean[[#This Row],[qtde_batalhas]]&lt;26,"Médio")</f>
        <v>Alto</v>
      </c>
      <c r="S40" s="1" t="str">
        <f>IF(AND(TabelaClean[[#This Row],[nivel_risco]]="Alto",TabelaClean[[#This Row],[flag_inadimplente]]="Sim"),"Arriscado","Ok")</f>
        <v>Ok</v>
      </c>
      <c r="T40" s="26">
        <v>95000</v>
      </c>
      <c r="U40" s="81">
        <f>IF(AND(TabelaClean[[#This Row],[analise_risco]]="Arriscado",TabelaClean[[#This Row],[analise_credito]]="Reprovado"),0,IF(TabelaClean[[#This Row],[status]]="Ativo",TabelaClean[[#This Row],[valor_solicitado]]*1.08,0))</f>
        <v>102600</v>
      </c>
      <c r="W40" s="1"/>
      <c r="Y40" s="18" t="s">
        <v>132</v>
      </c>
      <c r="Z40" t="str">
        <f t="shared" si="0"/>
        <v>Ilhas De Ferro</v>
      </c>
      <c r="AE40">
        <v>18800</v>
      </c>
      <c r="AF40" t="str">
        <f>TEXT(AE40,"000\.000\.000\-00")</f>
        <v>000.000.188-00</v>
      </c>
      <c r="AJ40" s="22">
        <v>10700</v>
      </c>
      <c r="AK40">
        <v>10700</v>
      </c>
      <c r="AM40" s="21">
        <v>15000</v>
      </c>
      <c r="AN40">
        <v>15000</v>
      </c>
      <c r="AO40">
        <v>15000</v>
      </c>
      <c r="AQ40" t="s">
        <v>79</v>
      </c>
      <c r="AZ40" s="38" t="s">
        <v>78</v>
      </c>
      <c r="BA40" t="s">
        <v>79</v>
      </c>
      <c r="BC40" s="81">
        <f>IF(AND(TabelaClean[[#This Row],[analise_risco]]="Arriscado",TabelaClean[[#This Row],[analise_credito]]="Reprovado"),0,IF(TabelaClean[[#This Row],[status]]="Ativo",TabelaClean[[#This Row],[valor_solicitado]]*1.08,0))</f>
        <v>102600</v>
      </c>
    </row>
    <row r="41" spans="1:55">
      <c r="A41" s="24" t="s">
        <v>76</v>
      </c>
      <c r="B41" s="17" t="s">
        <v>639</v>
      </c>
      <c r="C41" s="25" t="s">
        <v>640</v>
      </c>
      <c r="D41" s="54">
        <v>71</v>
      </c>
      <c r="E41" s="30">
        <v>20187</v>
      </c>
      <c r="F41" s="24" t="str">
        <f>TabelaClean[[#This Row],[CidadeCPF]]</f>
        <v>Braavos</v>
      </c>
      <c r="G41" s="17" t="str">
        <f>TabelaClean[[#This Row],[RegiaoCPF]]</f>
        <v>Essos</v>
      </c>
      <c r="H41" s="17" t="str">
        <f>_xlfn.XLOOKUP(TabelaClean[[#This Row],[cpf]],TabelaDirty[cpfclean],TabelaDirty[cidade])</f>
        <v>Braavos</v>
      </c>
      <c r="I41" s="17" t="str">
        <f>_xlfn.XLOOKUP(TabelaClean[[#This Row],[cpf]],TabelaDirty[cpfclean],TabelaDirty[regiao])</f>
        <v>Essos</v>
      </c>
      <c r="J41" s="17" t="str">
        <f>PROPER(TabelaClean[[#This Row],[Coluna1]])</f>
        <v>Essos</v>
      </c>
      <c r="K41" s="17" t="e">
        <f>_xlfn.TEXTBEFORE(TabelaClean[[#This Row],[CidadeCPF]]," | ")</f>
        <v>#N/A</v>
      </c>
      <c r="L41" s="24" t="e">
        <f>_xlfn.TEXTAFTER(TabelaClean[[#This Row],[CidadeCPF]]," | ")</f>
        <v>#N/A</v>
      </c>
      <c r="M41" s="26">
        <v>29200</v>
      </c>
      <c r="N41" s="78">
        <v>73500</v>
      </c>
      <c r="O41" s="1" t="s">
        <v>50</v>
      </c>
      <c r="P4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1" s="84">
        <v>2</v>
      </c>
      <c r="R41" s="1" t="str" cm="1">
        <f t="array" ref="R41">_xlfn.IFS(TabelaClean[[#This Row],[qtde_batalhas]]&lt;=10,"Baixo",TabelaClean[[#This Row],[qtde_batalhas]]&gt;=26,"Alto",TabelaClean[[#This Row],[qtde_batalhas]]&lt;26,"Médio")</f>
        <v>Baixo</v>
      </c>
      <c r="S41" s="1" t="str">
        <f>IF(AND(TabelaClean[[#This Row],[nivel_risco]]="Alto",TabelaClean[[#This Row],[flag_inadimplente]]="Sim"),"Arriscado","Ok")</f>
        <v>Ok</v>
      </c>
      <c r="T41" s="26">
        <v>33000</v>
      </c>
      <c r="U41" s="81">
        <f>IF(AND(TabelaClean[[#This Row],[analise_risco]]="Arriscado",TabelaClean[[#This Row],[analise_credito]]="Reprovado"),0,IF(TabelaClean[[#This Row],[status]]="Ativo",TabelaClean[[#This Row],[valor_solicitado]]*1.08,0))</f>
        <v>35640</v>
      </c>
      <c r="W41" s="1"/>
      <c r="Y41" t="s">
        <v>142</v>
      </c>
      <c r="Z41" t="str">
        <f t="shared" si="0"/>
        <v>Norte</v>
      </c>
      <c r="AE41">
        <v>19000</v>
      </c>
      <c r="AF41" t="str">
        <f>TEXT(AE41,"000\.000\.000\-00")</f>
        <v>000.000.190-00</v>
      </c>
      <c r="AJ41" s="22">
        <v>9500</v>
      </c>
      <c r="AK41">
        <v>9500</v>
      </c>
      <c r="AM41" s="20">
        <v>66500</v>
      </c>
      <c r="AN41">
        <v>66500</v>
      </c>
      <c r="AO41">
        <v>66500</v>
      </c>
      <c r="AQ41" t="s">
        <v>183</v>
      </c>
      <c r="AZ41" s="39" t="s">
        <v>200</v>
      </c>
      <c r="BA41" t="s">
        <v>183</v>
      </c>
      <c r="BB41" s="26">
        <v>29200</v>
      </c>
      <c r="BC41" s="81">
        <f>IF(AND(TabelaClean[[#This Row],[analise_risco]]="Arriscado",TabelaClean[[#This Row],[analise_credito]]="Reprovado"),0,IF(TabelaClean[[#This Row],[status]]="Ativo",TabelaClean[[#This Row],[valor_solicitado]]*1.08,0))</f>
        <v>35640</v>
      </c>
    </row>
    <row r="42" spans="1:55">
      <c r="A42" s="24" t="s">
        <v>76</v>
      </c>
      <c r="B42" s="17" t="s">
        <v>217</v>
      </c>
      <c r="C42" s="25" t="s">
        <v>840</v>
      </c>
      <c r="D42" s="54">
        <v>25</v>
      </c>
      <c r="E42" s="30">
        <v>37125</v>
      </c>
      <c r="F42" s="24" t="str">
        <f>TabelaClean[[#This Row],[CidadeCPF]]</f>
        <v>Dorne</v>
      </c>
      <c r="G42" s="17" t="str">
        <f>TabelaClean[[#This Row],[RegiaoCPF]]</f>
        <v>Dorne</v>
      </c>
      <c r="H42" s="17" t="str">
        <f>_xlfn.XLOOKUP(TabelaClean[[#This Row],[cpf]],TabelaDirty[cpfclean],TabelaDirty[cidade])</f>
        <v>Dorne</v>
      </c>
      <c r="I42" s="17" t="str">
        <f>_xlfn.XLOOKUP(TabelaClean[[#This Row],[cpf]],TabelaDirty[cpfclean],TabelaDirty[regiao])</f>
        <v>Dorne</v>
      </c>
      <c r="J42" s="17" t="str">
        <f>PROPER(TabelaClean[[#This Row],[Coluna1]])</f>
        <v>Dorne</v>
      </c>
      <c r="K42" s="17" t="e">
        <f>_xlfn.TEXTBEFORE(TabelaClean[[#This Row],[CidadeCPF]]," | ")</f>
        <v>#N/A</v>
      </c>
      <c r="L42" s="24" t="e">
        <f>_xlfn.TEXTAFTER(TabelaClean[[#This Row],[CidadeCPF]]," | ")</f>
        <v>#N/A</v>
      </c>
      <c r="M42" s="26">
        <v>2500</v>
      </c>
      <c r="N42" s="78">
        <v>72500</v>
      </c>
      <c r="O42" s="1" t="s">
        <v>50</v>
      </c>
      <c r="P4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2" s="84">
        <v>32</v>
      </c>
      <c r="R42" s="1" t="str" cm="1">
        <f t="array" ref="R42">_xlfn.IFS(TabelaClean[[#This Row],[qtde_batalhas]]&lt;=10,"Baixo",TabelaClean[[#This Row],[qtde_batalhas]]&gt;=26,"Alto",TabelaClean[[#This Row],[qtde_batalhas]]&lt;26,"Médio")</f>
        <v>Alto</v>
      </c>
      <c r="S42" s="1" t="str">
        <f>IF(AND(TabelaClean[[#This Row],[nivel_risco]]="Alto",TabelaClean[[#This Row],[flag_inadimplente]]="Sim"),"Arriscado","Ok")</f>
        <v>Ok</v>
      </c>
      <c r="T42" s="26">
        <v>97000</v>
      </c>
      <c r="U42" s="81">
        <f>IF(AND(TabelaClean[[#This Row],[analise_risco]]="Arriscado",TabelaClean[[#This Row],[analise_credito]]="Reprovado"),0,IF(TabelaClean[[#This Row],[status]]="Ativo",TabelaClean[[#This Row],[valor_solicitado]]*1.08,0))</f>
        <v>104760</v>
      </c>
      <c r="W42" s="1"/>
      <c r="Y42" t="s">
        <v>809</v>
      </c>
      <c r="Z42" t="str">
        <f t="shared" si="0"/>
        <v>Null</v>
      </c>
      <c r="AE42">
        <v>19200</v>
      </c>
      <c r="AF42" t="str">
        <f>TEXT(AE42,"000\.000\.000\-00")</f>
        <v>000.000.192-00</v>
      </c>
      <c r="AJ42" s="22" t="s">
        <v>109</v>
      </c>
      <c r="AK42">
        <v>8600</v>
      </c>
      <c r="AM42" s="21">
        <v>19000</v>
      </c>
      <c r="AN42">
        <v>19000</v>
      </c>
      <c r="AO42">
        <v>19000</v>
      </c>
      <c r="AQ42" t="s">
        <v>210</v>
      </c>
      <c r="AZ42" s="38" t="s">
        <v>841</v>
      </c>
      <c r="BA42" t="s">
        <v>210</v>
      </c>
      <c r="BB42" s="26">
        <v>2500</v>
      </c>
      <c r="BC42" s="81">
        <f>IF(AND(TabelaClean[[#This Row],[analise_risco]]="Arriscado",TabelaClean[[#This Row],[analise_credito]]="Reprovado"),0,IF(TabelaClean[[#This Row],[status]]="Ativo",TabelaClean[[#This Row],[valor_solicitado]]*1.08,0))</f>
        <v>104760</v>
      </c>
    </row>
    <row r="43" spans="1:55">
      <c r="A43" s="24" t="s">
        <v>76</v>
      </c>
      <c r="B43" s="17" t="s">
        <v>655</v>
      </c>
      <c r="C43" s="25" t="s">
        <v>656</v>
      </c>
      <c r="D43" s="54">
        <v>24</v>
      </c>
      <c r="E43" s="30">
        <v>37394</v>
      </c>
      <c r="F43" s="17" t="str">
        <f>TabelaClean[[#This Row],[CidadeClean]]</f>
        <v>Lannisporto</v>
      </c>
      <c r="G43" s="17" t="str">
        <f>TabelaClean[[#This Row],[RegiaoClean]]</f>
        <v>Oeste</v>
      </c>
      <c r="H43" s="17" t="str">
        <f>_xlfn.XLOOKUP(TabelaClean[[#This Row],[cpf]],TabelaDirty[cpfclean],TabelaDirty[cidade])</f>
        <v>Lannisporto | Oeste</v>
      </c>
      <c r="I43" s="17">
        <f>_xlfn.XLOOKUP(TabelaClean[[#This Row],[cpf]],TabelaDirty[cpfclean],TabelaDirty[regiao])</f>
        <v>0</v>
      </c>
      <c r="J43" s="17" t="s">
        <v>108</v>
      </c>
      <c r="K43" s="17" t="str">
        <f>_xlfn.TEXTBEFORE(TabelaClean[[#This Row],[CidadeCPF]]," | ")</f>
        <v>Lannisporto</v>
      </c>
      <c r="L43" s="24" t="str">
        <f>_xlfn.TEXTAFTER(TabelaClean[[#This Row],[CidadeCPF]]," | ")</f>
        <v>Oeste</v>
      </c>
      <c r="M43" s="26">
        <v>14200</v>
      </c>
      <c r="N43" s="78">
        <v>71000</v>
      </c>
      <c r="O43" s="1" t="s">
        <v>50</v>
      </c>
      <c r="P4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3" s="84">
        <v>10</v>
      </c>
      <c r="R43" s="1" t="str" cm="1">
        <f t="array" ref="R43">_xlfn.IFS(TabelaClean[[#This Row],[qtde_batalhas]]&lt;=10,"Baixo",TabelaClean[[#This Row],[qtde_batalhas]]&gt;=26,"Alto",TabelaClean[[#This Row],[qtde_batalhas]]&lt;26,"Médio")</f>
        <v>Baixo</v>
      </c>
      <c r="S43" s="1" t="str">
        <f>IF(AND(TabelaClean[[#This Row],[nivel_risco]]="Alto",TabelaClean[[#This Row],[flag_inadimplente]]="Sim"),"Arriscado","Ok")</f>
        <v>Ok</v>
      </c>
      <c r="T43" s="26">
        <v>91500</v>
      </c>
      <c r="U43" s="81">
        <f>IF(AND(TabelaClean[[#This Row],[analise_risco]]="Arriscado",TabelaClean[[#This Row],[analise_credito]]="Reprovado"),0,IF(TabelaClean[[#This Row],[status]]="Ativo",TabelaClean[[#This Row],[valor_solicitado]]*1.08,0))</f>
        <v>98820</v>
      </c>
      <c r="W43" s="1"/>
      <c r="Y43" t="s">
        <v>132</v>
      </c>
      <c r="Z43" t="str">
        <f t="shared" si="0"/>
        <v>Ilhas De Ferro</v>
      </c>
      <c r="AE43">
        <v>19300</v>
      </c>
      <c r="AF43" t="str">
        <f>TEXT(AE43,"000\.000\.000\-00")</f>
        <v>000.000.193-00</v>
      </c>
      <c r="AJ43" s="22">
        <v>3800</v>
      </c>
      <c r="AK43">
        <v>3800</v>
      </c>
      <c r="AM43" s="20">
        <v>70000</v>
      </c>
      <c r="AN43">
        <v>70000</v>
      </c>
      <c r="AO43">
        <v>70000</v>
      </c>
      <c r="AQ43" t="s">
        <v>210</v>
      </c>
      <c r="AZ43" s="39" t="s">
        <v>753</v>
      </c>
      <c r="BA43" t="s">
        <v>210</v>
      </c>
      <c r="BB43" s="26">
        <v>14200</v>
      </c>
      <c r="BC43" s="81">
        <f>IF(AND(TabelaClean[[#This Row],[analise_risco]]="Arriscado",TabelaClean[[#This Row],[analise_credito]]="Reprovado"),0,IF(TabelaClean[[#This Row],[status]]="Ativo",TabelaClean[[#This Row],[valor_solicitado]]*1.08,0))</f>
        <v>98820</v>
      </c>
    </row>
    <row r="44" spans="1:55">
      <c r="A44" s="24" t="s">
        <v>76</v>
      </c>
      <c r="B44" s="17" t="s">
        <v>696</v>
      </c>
      <c r="C44" s="25" t="s">
        <v>697</v>
      </c>
      <c r="D44" s="54">
        <v>37</v>
      </c>
      <c r="E44" s="30">
        <v>32680</v>
      </c>
      <c r="F44" s="24" t="str">
        <f>TabelaClean[[#This Row],[CidadeCPF]]</f>
        <v>Braavos</v>
      </c>
      <c r="G44" s="17" t="str">
        <f>TabelaClean[[#This Row],[RegiaoCPF]]</f>
        <v>Essos</v>
      </c>
      <c r="H44" s="17" t="str">
        <f>_xlfn.XLOOKUP(TabelaClean[[#This Row],[cpf]],TabelaDirty[cpfclean],TabelaDirty[cidade])</f>
        <v>Braavos</v>
      </c>
      <c r="I44" s="17" t="str">
        <f>_xlfn.XLOOKUP(TabelaClean[[#This Row],[cpf]],TabelaDirty[cpfclean],TabelaDirty[regiao])</f>
        <v>Essos</v>
      </c>
      <c r="J44" s="17" t="str">
        <f>PROPER(TabelaClean[[#This Row],[Coluna1]])</f>
        <v>Essos</v>
      </c>
      <c r="K44" s="17" t="e">
        <f>_xlfn.TEXTBEFORE(TabelaClean[[#This Row],[CidadeCPF]]," | ")</f>
        <v>#N/A</v>
      </c>
      <c r="L44" s="24" t="e">
        <f>_xlfn.TEXTAFTER(TabelaClean[[#This Row],[CidadeCPF]]," | ")</f>
        <v>#N/A</v>
      </c>
      <c r="M44" s="26">
        <v>28900</v>
      </c>
      <c r="N44" s="78">
        <v>71000</v>
      </c>
      <c r="O44" s="1" t="s">
        <v>50</v>
      </c>
      <c r="P4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4" s="84">
        <v>28</v>
      </c>
      <c r="R44" s="1" t="str" cm="1">
        <f t="array" ref="R44">_xlfn.IFS(TabelaClean[[#This Row],[qtde_batalhas]]&lt;=10,"Baixo",TabelaClean[[#This Row],[qtde_batalhas]]&gt;=26,"Alto",TabelaClean[[#This Row],[qtde_batalhas]]&lt;26,"Médio")</f>
        <v>Alto</v>
      </c>
      <c r="S44" s="1" t="str">
        <f>IF(AND(TabelaClean[[#This Row],[nivel_risco]]="Alto",TabelaClean[[#This Row],[flag_inadimplente]]="Sim"),"Arriscado","Ok")</f>
        <v>Ok</v>
      </c>
      <c r="T44" s="26">
        <v>36500</v>
      </c>
      <c r="U44" s="81">
        <f>IF(AND(TabelaClean[[#This Row],[analise_risco]]="Arriscado",TabelaClean[[#This Row],[analise_credito]]="Reprovado"),0,IF(TabelaClean[[#This Row],[status]]="Ativo",TabelaClean[[#This Row],[valor_solicitado]]*1.08,0))</f>
        <v>39420</v>
      </c>
      <c r="W44" s="1"/>
      <c r="Y44" t="s">
        <v>809</v>
      </c>
      <c r="Z44" t="str">
        <f t="shared" si="0"/>
        <v>Null</v>
      </c>
      <c r="AE44">
        <v>20700</v>
      </c>
      <c r="AF44" t="str">
        <f>TEXT(AE44,"000\.000\.000\-00")</f>
        <v>000.000.207-00</v>
      </c>
      <c r="AJ44" s="22">
        <v>24700</v>
      </c>
      <c r="AK44">
        <v>24700</v>
      </c>
      <c r="AM44" s="21" t="s">
        <v>226</v>
      </c>
      <c r="AN44">
        <v>23500</v>
      </c>
      <c r="AO44">
        <v>23500</v>
      </c>
      <c r="AQ44" t="s">
        <v>89</v>
      </c>
      <c r="AZ44" s="38" t="s">
        <v>164</v>
      </c>
      <c r="BA44" t="s">
        <v>89</v>
      </c>
      <c r="BB44" s="26">
        <v>28900</v>
      </c>
      <c r="BC44" s="81">
        <f>IF(AND(TabelaClean[[#This Row],[analise_risco]]="Arriscado",TabelaClean[[#This Row],[analise_credito]]="Reprovado"),0,IF(TabelaClean[[#This Row],[status]]="Ativo",TabelaClean[[#This Row],[valor_solicitado]]*1.08,0))</f>
        <v>39420</v>
      </c>
    </row>
    <row r="45" spans="1:55">
      <c r="A45" s="24" t="s">
        <v>76</v>
      </c>
      <c r="B45" s="17" t="s">
        <v>842</v>
      </c>
      <c r="C45" s="25" t="s">
        <v>843</v>
      </c>
      <c r="D45" s="54">
        <v>72</v>
      </c>
      <c r="E45" s="30">
        <v>19852</v>
      </c>
      <c r="F45" s="25" t="s">
        <v>302</v>
      </c>
      <c r="G45" s="25" t="s">
        <v>303</v>
      </c>
      <c r="H45" s="24">
        <v>27100</v>
      </c>
      <c r="I45" s="24">
        <v>71000</v>
      </c>
      <c r="J45" s="24" t="s">
        <v>50</v>
      </c>
      <c r="K45" s="24">
        <v>32</v>
      </c>
      <c r="L45" s="24"/>
      <c r="M45" s="26">
        <v>29500</v>
      </c>
      <c r="N45" s="78">
        <v>71000</v>
      </c>
      <c r="O45" s="1" t="s">
        <v>50</v>
      </c>
      <c r="P45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5" s="84">
        <v>32</v>
      </c>
      <c r="R45" s="76" t="str" cm="1">
        <f t="array" ref="R45">_xlfn.IFS(TabelaClean[[#This Row],[qtde_batalhas]]&lt;=10,"Baixo",TabelaClean[[#This Row],[qtde_batalhas]]&gt;=26,"Alto",TabelaClean[[#This Row],[qtde_batalhas]]&lt;26,"Médio")</f>
        <v>Alto</v>
      </c>
      <c r="S45" s="76" t="str">
        <f>IF(AND(TabelaClean[[#This Row],[nivel_risco]]="Alto",TabelaClean[[#This Row],[flag_inadimplente]]="Sim"),"Arriscado","Ok")</f>
        <v>Ok</v>
      </c>
      <c r="T45" s="26">
        <v>29500</v>
      </c>
      <c r="U45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  <c r="W45" s="1"/>
      <c r="Y45" t="s">
        <v>809</v>
      </c>
      <c r="Z45" t="str">
        <f t="shared" si="0"/>
        <v>Null</v>
      </c>
      <c r="AE45">
        <v>20900</v>
      </c>
      <c r="AF45" t="str">
        <f>TEXT(AE45,"000\.000\.000\-00")</f>
        <v>000.000.209-00</v>
      </c>
      <c r="AJ45" s="22">
        <v>6600</v>
      </c>
      <c r="AK45">
        <v>6600</v>
      </c>
      <c r="AM45" s="20">
        <v>50000</v>
      </c>
      <c r="AN45">
        <v>50000</v>
      </c>
      <c r="AO45">
        <v>50000</v>
      </c>
      <c r="AQ45" t="s">
        <v>127</v>
      </c>
      <c r="AZ45" s="39" t="s">
        <v>795</v>
      </c>
      <c r="BA45" t="s">
        <v>127</v>
      </c>
      <c r="BB45" s="26">
        <v>29500</v>
      </c>
      <c r="BC45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</row>
    <row r="46" spans="1:55">
      <c r="A46" s="24" t="s">
        <v>76</v>
      </c>
      <c r="B46" s="17" t="s">
        <v>167</v>
      </c>
      <c r="C46" s="25" t="s">
        <v>168</v>
      </c>
      <c r="D46" s="54">
        <v>58</v>
      </c>
      <c r="E46" s="30">
        <v>24911</v>
      </c>
      <c r="F46" s="24" t="str">
        <f>TabelaClean[[#This Row],[CidadeCPF]]</f>
        <v>Harrenhal</v>
      </c>
      <c r="G46" s="17" t="str">
        <f>TabelaClean[[#This Row],[RegiaoCPF]]</f>
        <v>Terras Fluviais</v>
      </c>
      <c r="H46" s="17" t="str">
        <f>_xlfn.XLOOKUP(TabelaClean[[#This Row],[cpf]],TabelaDirty[cpfclean],TabelaDirty[cidade])</f>
        <v>Harrenhal</v>
      </c>
      <c r="I46" s="17" t="str">
        <f>_xlfn.XLOOKUP(TabelaClean[[#This Row],[cpf]],TabelaDirty[cpfclean],TabelaDirty[regiao])</f>
        <v>Terras Fluviais</v>
      </c>
      <c r="J46" s="17" t="str">
        <f>PROPER(TabelaClean[[#This Row],[Coluna1]])</f>
        <v>Terras Fluviais</v>
      </c>
      <c r="K46" s="17" t="e">
        <f>_xlfn.TEXTBEFORE(TabelaClean[[#This Row],[CidadeCPF]]," | ")</f>
        <v>#N/A</v>
      </c>
      <c r="L46" s="24" t="e">
        <f>_xlfn.TEXTAFTER(TabelaClean[[#This Row],[CidadeCPF]]," | ")</f>
        <v>#N/A</v>
      </c>
      <c r="M46" s="26">
        <v>25400</v>
      </c>
      <c r="N46" s="78">
        <v>70500</v>
      </c>
      <c r="O46" s="1" t="s">
        <v>51</v>
      </c>
      <c r="P4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46" s="84">
        <v>11</v>
      </c>
      <c r="R46" s="1" t="str" cm="1">
        <f t="array" ref="R46">_xlfn.IFS(TabelaClean[[#This Row],[qtde_batalhas]]&lt;=10,"Baixo",TabelaClean[[#This Row],[qtde_batalhas]]&gt;=26,"Alto",TabelaClean[[#This Row],[qtde_batalhas]]&lt;26,"Médio")</f>
        <v>Médio</v>
      </c>
      <c r="S46" s="1" t="str">
        <f>IF(AND(TabelaClean[[#This Row],[nivel_risco]]="Alto",TabelaClean[[#This Row],[flag_inadimplente]]="Sim"),"Arriscado","Ok")</f>
        <v>Ok</v>
      </c>
      <c r="T46" s="26">
        <v>47000</v>
      </c>
      <c r="U46" s="81">
        <f>IF(AND(TabelaClean[[#This Row],[analise_risco]]="Arriscado",TabelaClean[[#This Row],[analise_credito]]="Reprovado"),0,IF(TabelaClean[[#This Row],[status]]="Ativo",TabelaClean[[#This Row],[valor_solicitado]]*1.08,0))</f>
        <v>50760</v>
      </c>
      <c r="W46" s="1"/>
      <c r="Y46" t="s">
        <v>809</v>
      </c>
      <c r="Z46" t="str">
        <f t="shared" si="0"/>
        <v>Null</v>
      </c>
      <c r="AE46">
        <v>21400</v>
      </c>
      <c r="AF46" t="str">
        <f>TEXT(AE46,"000\.000\.000\-00")</f>
        <v>000.000.214-00</v>
      </c>
      <c r="AJ46" s="22">
        <v>5300</v>
      </c>
      <c r="AK46">
        <v>5300</v>
      </c>
      <c r="AM46" s="21">
        <v>6000</v>
      </c>
      <c r="AN46">
        <v>6000</v>
      </c>
      <c r="AO46">
        <v>6000</v>
      </c>
      <c r="AQ46" t="s">
        <v>121</v>
      </c>
      <c r="AZ46" s="38" t="s">
        <v>357</v>
      </c>
      <c r="BA46" t="s">
        <v>121</v>
      </c>
      <c r="BB46" s="26">
        <v>25400</v>
      </c>
      <c r="BC46" s="81">
        <f>IF(AND(TabelaClean[[#This Row],[analise_risco]]="Arriscado",TabelaClean[[#This Row],[analise_credito]]="Reprovado"),0,IF(TabelaClean[[#This Row],[status]]="Ativo",TabelaClean[[#This Row],[valor_solicitado]]*1.08,0))</f>
        <v>50760</v>
      </c>
    </row>
    <row r="47" spans="1:55">
      <c r="A47" s="24" t="s">
        <v>76</v>
      </c>
      <c r="B47" s="17" t="s">
        <v>306</v>
      </c>
      <c r="C47" s="25" t="s">
        <v>307</v>
      </c>
      <c r="D47" s="54" t="s">
        <v>844</v>
      </c>
      <c r="E47" s="30">
        <v>26161</v>
      </c>
      <c r="F47" s="24" t="str">
        <f>TabelaClean[[#This Row],[CidadeCPF]]</f>
        <v>Jardim de Cima</v>
      </c>
      <c r="G47" s="17" t="str">
        <f>TabelaClean[[#This Row],[RegiaoCPF]]</f>
        <v>Campina</v>
      </c>
      <c r="H47" s="17" t="str">
        <f>_xlfn.XLOOKUP(TabelaClean[[#This Row],[cpf]],TabelaDirty[cpfclean],TabelaDirty[cidade])</f>
        <v>Jardim de Cima</v>
      </c>
      <c r="I47" s="17" t="s">
        <v>149</v>
      </c>
      <c r="J47" s="17" t="str">
        <f>PROPER(TabelaClean[[#This Row],[Coluna1]])</f>
        <v>Campina</v>
      </c>
      <c r="K47" s="17" t="e">
        <f>_xlfn.TEXTBEFORE(TabelaClean[[#This Row],[CidadeCPF]]," | ")</f>
        <v>#N/A</v>
      </c>
      <c r="L47" s="24" t="e">
        <f>_xlfn.TEXTAFTER(TabelaClean[[#This Row],[CidadeCPF]]," | ")</f>
        <v>#N/A</v>
      </c>
      <c r="M47" s="26">
        <v>12200</v>
      </c>
      <c r="N47" s="78">
        <v>70500</v>
      </c>
      <c r="O47" s="1" t="s">
        <v>50</v>
      </c>
      <c r="P4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47" s="84">
        <v>33</v>
      </c>
      <c r="R47" s="1" t="str" cm="1">
        <f t="array" ref="R47">_xlfn.IFS(TabelaClean[[#This Row],[qtde_batalhas]]&lt;=10,"Baixo",TabelaClean[[#This Row],[qtde_batalhas]]&gt;=26,"Alto",TabelaClean[[#This Row],[qtde_batalhas]]&lt;26,"Médio")</f>
        <v>Alto</v>
      </c>
      <c r="S47" s="1" t="str">
        <f>IF(AND(TabelaClean[[#This Row],[nivel_risco]]="Alto",TabelaClean[[#This Row],[flag_inadimplente]]="Sim"),"Arriscado","Ok")</f>
        <v>Ok</v>
      </c>
      <c r="T47" s="26">
        <v>78000</v>
      </c>
      <c r="U47" s="81">
        <f>IF(AND(TabelaClean[[#This Row],[analise_risco]]="Arriscado",TabelaClean[[#This Row],[analise_credito]]="Reprovado"),0,IF(TabelaClean[[#This Row],[status]]="Ativo",TabelaClean[[#This Row],[valor_solicitado]]*1.08,0))</f>
        <v>84240</v>
      </c>
      <c r="W47" s="1"/>
      <c r="Y47" t="s">
        <v>809</v>
      </c>
      <c r="Z47" t="str">
        <f t="shared" si="0"/>
        <v>Null</v>
      </c>
      <c r="AE47">
        <v>21900</v>
      </c>
      <c r="AF47" t="str">
        <f>TEXT(AE47,"000\.000\.000\-00")</f>
        <v>000.000.219-00</v>
      </c>
      <c r="AJ47" s="22">
        <v>6900</v>
      </c>
      <c r="AK47">
        <v>6900</v>
      </c>
      <c r="AM47" s="20">
        <v>52500</v>
      </c>
      <c r="AN47">
        <v>52500</v>
      </c>
      <c r="AO47">
        <v>52500</v>
      </c>
      <c r="AQ47" t="s">
        <v>83</v>
      </c>
      <c r="AZ47" s="39" t="s">
        <v>275</v>
      </c>
      <c r="BA47" t="s">
        <v>83</v>
      </c>
      <c r="BB47" s="26">
        <v>12200</v>
      </c>
      <c r="BC47" s="81">
        <f>IF(AND(TabelaClean[[#This Row],[analise_risco]]="Arriscado",TabelaClean[[#This Row],[analise_credito]]="Reprovado"),0,IF(TabelaClean[[#This Row],[status]]="Ativo",TabelaClean[[#This Row],[valor_solicitado]]*1.08,0))</f>
        <v>84240</v>
      </c>
    </row>
    <row r="48" spans="1:55">
      <c r="A48" s="24" t="s">
        <v>81</v>
      </c>
      <c r="B48" s="17" t="s">
        <v>177</v>
      </c>
      <c r="C48" s="25" t="s">
        <v>178</v>
      </c>
      <c r="D48" s="54">
        <v>68</v>
      </c>
      <c r="E48" s="30">
        <v>21293</v>
      </c>
      <c r="F48" s="24" t="str">
        <f>TabelaClean[[#This Row],[CidadeCPF]]</f>
        <v>Pyke</v>
      </c>
      <c r="G48" s="17" t="str">
        <f>TabelaClean[[#This Row],[RegiaoCPF]]</f>
        <v>Ilhas De Ferro</v>
      </c>
      <c r="H48" s="17" t="str">
        <f>_xlfn.XLOOKUP(TabelaClean[[#This Row],[cpf]],TabelaDirty[cpfclean],TabelaDirty[cidade])</f>
        <v>Pyke</v>
      </c>
      <c r="I48" s="17" t="str">
        <f>_xlfn.XLOOKUP(TabelaClean[[#This Row],[cpf]],TabelaDirty[cpfclean],TabelaDirty[regiao])</f>
        <v>Ilhas de Ferro</v>
      </c>
      <c r="J48" s="17" t="str">
        <f>PROPER(TabelaClean[[#This Row],[Coluna1]])</f>
        <v>Ilhas De Ferro</v>
      </c>
      <c r="K48" s="17" t="e">
        <f>_xlfn.TEXTBEFORE(TabelaClean[[#This Row],[CidadeCPF]]," | ")</f>
        <v>#N/A</v>
      </c>
      <c r="L48" s="24" t="e">
        <f>_xlfn.TEXTAFTER(TabelaClean[[#This Row],[CidadeCPF]]," | ")</f>
        <v>#N/A</v>
      </c>
      <c r="M48" s="26">
        <v>3800</v>
      </c>
      <c r="N48" s="78">
        <v>70000</v>
      </c>
      <c r="O48" s="1" t="s">
        <v>51</v>
      </c>
      <c r="P4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48" s="84">
        <v>34</v>
      </c>
      <c r="R48" s="1" t="str" cm="1">
        <f t="array" ref="R48">_xlfn.IFS(TabelaClean[[#This Row],[qtde_batalhas]]&lt;=10,"Baixo",TabelaClean[[#This Row],[qtde_batalhas]]&gt;=26,"Alto",TabelaClean[[#This Row],[qtde_batalhas]]&lt;26,"Médio")</f>
        <v>Alto</v>
      </c>
      <c r="S48" s="1" t="str">
        <f>IF(AND(TabelaClean[[#This Row],[nivel_risco]]="Alto",TabelaClean[[#This Row],[flag_inadimplente]]="Sim"),"Arriscado","Ok")</f>
        <v>Arriscado</v>
      </c>
      <c r="T48" s="26">
        <v>7500</v>
      </c>
      <c r="U4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48" s="1"/>
      <c r="Y48" t="s">
        <v>809</v>
      </c>
      <c r="Z48" t="str">
        <f t="shared" si="0"/>
        <v>Null</v>
      </c>
      <c r="AE48">
        <v>22300</v>
      </c>
      <c r="AF48" t="str">
        <f>TEXT(AE48,"000\.000\.000\-00")</f>
        <v>000.000.223-00</v>
      </c>
      <c r="AJ48" s="22">
        <v>18400</v>
      </c>
      <c r="AK48">
        <v>18400</v>
      </c>
      <c r="AM48" s="21">
        <v>62000</v>
      </c>
      <c r="AN48">
        <v>62000</v>
      </c>
      <c r="AO48">
        <v>62000</v>
      </c>
      <c r="AQ48" t="s">
        <v>103</v>
      </c>
      <c r="AZ48" s="38" t="s">
        <v>107</v>
      </c>
      <c r="BA48" t="s">
        <v>103</v>
      </c>
      <c r="BB48" s="26">
        <v>3800</v>
      </c>
      <c r="BC4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49" spans="1:55">
      <c r="A49" s="24" t="s">
        <v>76</v>
      </c>
      <c r="B49" s="17" t="s">
        <v>845</v>
      </c>
      <c r="C49" s="25" t="s">
        <v>846</v>
      </c>
      <c r="D49" s="54">
        <v>50</v>
      </c>
      <c r="E49" s="30">
        <v>27729</v>
      </c>
      <c r="F49" s="25" t="s">
        <v>89</v>
      </c>
      <c r="G49" s="25" t="s">
        <v>90</v>
      </c>
      <c r="H49" s="24">
        <v>22800</v>
      </c>
      <c r="I49" s="24">
        <v>70000</v>
      </c>
      <c r="J49" s="24" t="s">
        <v>51</v>
      </c>
      <c r="K49" s="24"/>
      <c r="L49" s="24"/>
      <c r="M49" s="26">
        <v>25500</v>
      </c>
      <c r="N49" s="78">
        <v>70000</v>
      </c>
      <c r="O49" s="1" t="s">
        <v>51</v>
      </c>
      <c r="P49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R49" s="76" t="str" cm="1">
        <f t="array" ref="R49">_xlfn.IFS(TabelaClean[[#This Row],[qtde_batalhas]]&lt;=10,"Baixo",TabelaClean[[#This Row],[qtde_batalhas]]&gt;=26,"Alto",TabelaClean[[#This Row],[qtde_batalhas]]&lt;26,"Médio")</f>
        <v>Baixo</v>
      </c>
      <c r="S49" s="76" t="str">
        <f>IF(AND(TabelaClean[[#This Row],[nivel_risco]]="Alto",TabelaClean[[#This Row],[flag_inadimplente]]="Sim"),"Arriscado","Ok")</f>
        <v>Ok</v>
      </c>
      <c r="T49" s="26">
        <v>25500</v>
      </c>
      <c r="U49" s="81">
        <f>IF(AND(TabelaClean[[#This Row],[analise_risco]]="Arriscado",TabelaClean[[#This Row],[analise_credito]]="Reprovado"),0,IF(TabelaClean[[#This Row],[status]]="Ativo",TabelaClean[[#This Row],[valor_solicitado]]*1.08,0))</f>
        <v>27540</v>
      </c>
      <c r="W49" s="1"/>
      <c r="Y49" t="s">
        <v>809</v>
      </c>
      <c r="Z49" t="str">
        <f t="shared" si="0"/>
        <v>Null</v>
      </c>
      <c r="AE49">
        <v>23000</v>
      </c>
      <c r="AF49" t="str">
        <f>TEXT(AE49,"000\.000\.000\-00")</f>
        <v>000.000.230-00</v>
      </c>
      <c r="AJ49" s="22" t="s">
        <v>496</v>
      </c>
      <c r="AK49">
        <v>26800</v>
      </c>
      <c r="AM49" s="20">
        <v>42500</v>
      </c>
      <c r="AN49">
        <v>42500</v>
      </c>
      <c r="AO49">
        <v>42500</v>
      </c>
      <c r="AQ49" t="s">
        <v>223</v>
      </c>
      <c r="AZ49" s="39" t="s">
        <v>769</v>
      </c>
      <c r="BA49" t="s">
        <v>223</v>
      </c>
      <c r="BB49" s="26">
        <v>25500</v>
      </c>
      <c r="BC49" s="81">
        <f>IF(AND(TabelaClean[[#This Row],[analise_risco]]="Arriscado",TabelaClean[[#This Row],[analise_credito]]="Reprovado"),0,IF(TabelaClean[[#This Row],[status]]="Ativo",TabelaClean[[#This Row],[valor_solicitado]]*1.08,0))</f>
        <v>27540</v>
      </c>
    </row>
    <row r="50" spans="1:55">
      <c r="A50" s="24" t="s">
        <v>76</v>
      </c>
      <c r="B50" s="17" t="s">
        <v>369</v>
      </c>
      <c r="C50" s="25" t="s">
        <v>370</v>
      </c>
      <c r="D50" s="54">
        <v>51</v>
      </c>
      <c r="E50" s="30">
        <v>27413</v>
      </c>
      <c r="F50" s="24" t="str">
        <f>TabelaClean[[#This Row],[CidadeCPF]]</f>
        <v>Fosso Cailin</v>
      </c>
      <c r="G50" s="17" t="str">
        <f>TabelaClean[[#This Row],[RegiaoCPF]]</f>
        <v>Norte</v>
      </c>
      <c r="H50" s="17" t="str">
        <f>_xlfn.XLOOKUP(TabelaClean[[#This Row],[cpf]],TabelaDirty[cpfclean],TabelaDirty[cidade])</f>
        <v>Fosso Cailin</v>
      </c>
      <c r="I50" s="17" t="str">
        <f>_xlfn.XLOOKUP(TabelaClean[[#This Row],[cpf]],TabelaDirty[cpfclean],TabelaDirty[regiao])</f>
        <v>NORTE</v>
      </c>
      <c r="J50" s="17" t="str">
        <f>PROPER(TabelaClean[[#This Row],[Coluna1]])</f>
        <v>Norte</v>
      </c>
      <c r="K50" s="17" t="e">
        <f>_xlfn.TEXTBEFORE(TabelaClean[[#This Row],[CidadeCPF]]," | ")</f>
        <v>#N/A</v>
      </c>
      <c r="L50" s="24" t="e">
        <f>_xlfn.TEXTAFTER(TabelaClean[[#This Row],[CidadeCPF]]," | ")</f>
        <v>#N/A</v>
      </c>
      <c r="M50" s="26">
        <v>18500</v>
      </c>
      <c r="N50" s="78">
        <v>69500</v>
      </c>
      <c r="O50" s="1" t="s">
        <v>50</v>
      </c>
      <c r="P5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0" s="84">
        <v>31</v>
      </c>
      <c r="R50" s="1" t="str" cm="1">
        <f t="array" ref="R50">_xlfn.IFS(TabelaClean[[#This Row],[qtde_batalhas]]&lt;=10,"Baixo",TabelaClean[[#This Row],[qtde_batalhas]]&gt;=26,"Alto",TabelaClean[[#This Row],[qtde_batalhas]]&lt;26,"Médio")</f>
        <v>Alto</v>
      </c>
      <c r="S50" s="1" t="str">
        <f>IF(AND(TabelaClean[[#This Row],[nivel_risco]]="Alto",TabelaClean[[#This Row],[flag_inadimplente]]="Sim"),"Arriscado","Ok")</f>
        <v>Ok</v>
      </c>
      <c r="T50" s="26">
        <v>18000</v>
      </c>
      <c r="U50" s="81">
        <f>IF(AND(TabelaClean[[#This Row],[analise_risco]]="Arriscado",TabelaClean[[#This Row],[analise_credito]]="Reprovado"),0,IF(TabelaClean[[#This Row],[status]]="Ativo",TabelaClean[[#This Row],[valor_solicitado]]*1.08,0))</f>
        <v>19440</v>
      </c>
      <c r="W50" s="1"/>
      <c r="Y50" t="s">
        <v>247</v>
      </c>
      <c r="Z50" t="str">
        <f t="shared" si="0"/>
        <v>Gargalo</v>
      </c>
      <c r="AE50">
        <v>23300</v>
      </c>
      <c r="AF50" t="str">
        <f>TEXT(AE50,"000\.000\.000\-00")</f>
        <v>000.000.233-00</v>
      </c>
      <c r="AJ50" s="22" t="s">
        <v>664</v>
      </c>
      <c r="AK50">
        <v>3600</v>
      </c>
      <c r="AM50" s="21">
        <v>64500</v>
      </c>
      <c r="AN50">
        <v>64500</v>
      </c>
      <c r="AO50">
        <v>64500</v>
      </c>
      <c r="AQ50" t="s">
        <v>223</v>
      </c>
      <c r="AZ50" s="38" t="s">
        <v>847</v>
      </c>
      <c r="BA50" t="s">
        <v>223</v>
      </c>
      <c r="BB50" s="26">
        <v>18500</v>
      </c>
      <c r="BC50" s="81">
        <f>IF(AND(TabelaClean[[#This Row],[analise_risco]]="Arriscado",TabelaClean[[#This Row],[analise_credito]]="Reprovado"),0,IF(TabelaClean[[#This Row],[status]]="Ativo",TabelaClean[[#This Row],[valor_solicitado]]*1.08,0))</f>
        <v>19440</v>
      </c>
    </row>
    <row r="51" spans="1:55">
      <c r="A51" s="24" t="s">
        <v>76</v>
      </c>
      <c r="B51" s="17" t="s">
        <v>848</v>
      </c>
      <c r="C51" s="25" t="s">
        <v>849</v>
      </c>
      <c r="D51" s="54">
        <v>35</v>
      </c>
      <c r="E51" s="30">
        <v>33370</v>
      </c>
      <c r="F51" s="25" t="s">
        <v>89</v>
      </c>
      <c r="G51" s="25" t="s">
        <v>413</v>
      </c>
      <c r="H51" s="24">
        <v>5600</v>
      </c>
      <c r="I51" s="24">
        <v>69500</v>
      </c>
      <c r="J51" s="24" t="s">
        <v>50</v>
      </c>
      <c r="K51" s="24">
        <v>13</v>
      </c>
      <c r="L51" s="24"/>
      <c r="M51" s="26">
        <v>43500</v>
      </c>
      <c r="N51" s="78">
        <v>69500</v>
      </c>
      <c r="O51" s="1" t="s">
        <v>50</v>
      </c>
      <c r="P5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1" s="84">
        <v>13</v>
      </c>
      <c r="R51" s="76" t="str" cm="1">
        <f t="array" ref="R51">_xlfn.IFS(TabelaClean[[#This Row],[qtde_batalhas]]&lt;=10,"Baixo",TabelaClean[[#This Row],[qtde_batalhas]]&gt;=26,"Alto",TabelaClean[[#This Row],[qtde_batalhas]]&lt;26,"Médio")</f>
        <v>Médio</v>
      </c>
      <c r="S51" s="76" t="str">
        <f>IF(AND(TabelaClean[[#This Row],[nivel_risco]]="Alto",TabelaClean[[#This Row],[flag_inadimplente]]="Sim"),"Arriscado","Ok")</f>
        <v>Ok</v>
      </c>
      <c r="T51" s="26">
        <v>43500</v>
      </c>
      <c r="U51" s="81">
        <f>IF(AND(TabelaClean[[#This Row],[analise_risco]]="Arriscado",TabelaClean[[#This Row],[analise_credito]]="Reprovado"),0,IF(TabelaClean[[#This Row],[status]]="Ativo",TabelaClean[[#This Row],[valor_solicitado]]*1.08,0))</f>
        <v>46980</v>
      </c>
      <c r="W51" s="1"/>
      <c r="Y51" t="s">
        <v>809</v>
      </c>
      <c r="Z51" t="str">
        <f t="shared" si="0"/>
        <v>Null</v>
      </c>
      <c r="AE51">
        <v>23700</v>
      </c>
      <c r="AF51" t="str">
        <f>TEXT(AE51,"000\.000\.000\-00")</f>
        <v>000.000.237-00</v>
      </c>
      <c r="AH51" s="14" t="s">
        <v>339</v>
      </c>
      <c r="AI51" t="e" cm="1" vm="1">
        <f t="array" aca="1" ref="AI51" ca="1">_xlfn.TEXTSPLIT(AH51," | ")</f>
        <v>#VALUE!</v>
      </c>
      <c r="AJ51" s="22">
        <v>20300</v>
      </c>
      <c r="AK51">
        <v>20300</v>
      </c>
      <c r="AM51" s="20">
        <v>12000</v>
      </c>
      <c r="AN51">
        <v>12000</v>
      </c>
      <c r="AO51">
        <v>12000</v>
      </c>
      <c r="AQ51" t="s">
        <v>112</v>
      </c>
      <c r="AZ51" s="39" t="s">
        <v>117</v>
      </c>
      <c r="BA51" t="s">
        <v>112</v>
      </c>
      <c r="BB51" s="26">
        <v>43500</v>
      </c>
      <c r="BC51" s="81">
        <f>IF(AND(TabelaClean[[#This Row],[analise_risco]]="Arriscado",TabelaClean[[#This Row],[analise_credito]]="Reprovado"),0,IF(TabelaClean[[#This Row],[status]]="Ativo",TabelaClean[[#This Row],[valor_solicitado]]*1.08,0))</f>
        <v>46980</v>
      </c>
    </row>
    <row r="52" spans="1:55">
      <c r="A52" s="24" t="s">
        <v>76</v>
      </c>
      <c r="B52" s="17" t="s">
        <v>653</v>
      </c>
      <c r="C52" s="25" t="s">
        <v>654</v>
      </c>
      <c r="D52" s="54">
        <v>33</v>
      </c>
      <c r="E52" s="30">
        <v>34070</v>
      </c>
      <c r="F52" s="24" t="str">
        <f>TabelaClean[[#This Row],[CidadeCPF]]</f>
        <v>Solar do Entardecer</v>
      </c>
      <c r="G52" s="17" t="str">
        <f>TabelaClean[[#This Row],[RegiaoCPF]]</f>
        <v>Terras Da Tempestade</v>
      </c>
      <c r="H52" s="17" t="str">
        <f>_xlfn.XLOOKUP(TabelaClean[[#This Row],[cpf]],TabelaDirty[cpfclean],TabelaDirty[cidade])</f>
        <v>Solar do Entardecer</v>
      </c>
      <c r="I52" s="17" t="str">
        <f>_xlfn.XLOOKUP(TabelaClean[[#This Row],[cpf]],TabelaDirty[cpfclean],TabelaDirty[regiao])</f>
        <v>terras da tempestade</v>
      </c>
      <c r="J52" s="17" t="str">
        <f>PROPER(TabelaClean[[#This Row],[Coluna1]])</f>
        <v>Terras Da Tempestade</v>
      </c>
      <c r="K52" s="17" t="e">
        <f>_xlfn.TEXTBEFORE(TabelaClean[[#This Row],[CidadeCPF]]," | ")</f>
        <v>#N/A</v>
      </c>
      <c r="L52" s="24" t="e">
        <f>_xlfn.TEXTAFTER(TabelaClean[[#This Row],[CidadeCPF]]," | ")</f>
        <v>#N/A</v>
      </c>
      <c r="M52" s="26">
        <v>29300</v>
      </c>
      <c r="N52" s="78">
        <v>69000</v>
      </c>
      <c r="O52" s="1" t="s">
        <v>51</v>
      </c>
      <c r="P5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52" s="84">
        <v>0</v>
      </c>
      <c r="R52" s="1" t="str" cm="1">
        <f t="array" ref="R52">_xlfn.IFS(TabelaClean[[#This Row],[qtde_batalhas]]&lt;=10,"Baixo",TabelaClean[[#This Row],[qtde_batalhas]]&gt;=26,"Alto",TabelaClean[[#This Row],[qtde_batalhas]]&lt;26,"Médio")</f>
        <v>Baixo</v>
      </c>
      <c r="S52" s="1" t="str">
        <f>IF(AND(TabelaClean[[#This Row],[nivel_risco]]="Alto",TabelaClean[[#This Row],[flag_inadimplente]]="Sim"),"Arriscado","Ok")</f>
        <v>Ok</v>
      </c>
      <c r="T52" s="26">
        <v>4500</v>
      </c>
      <c r="U52" s="81">
        <f>IF(AND(TabelaClean[[#This Row],[analise_risco]]="Arriscado",TabelaClean[[#This Row],[analise_credito]]="Reprovado"),0,IF(TabelaClean[[#This Row],[status]]="Ativo",TabelaClean[[#This Row],[valor_solicitado]]*1.08,0))</f>
        <v>4860</v>
      </c>
      <c r="W52" s="1"/>
      <c r="Y52" t="s">
        <v>809</v>
      </c>
      <c r="Z52" t="str">
        <f t="shared" si="0"/>
        <v>Null</v>
      </c>
      <c r="AE52">
        <v>23900</v>
      </c>
      <c r="AF52" t="str">
        <f>TEXT(AE52,"000\.000\.000\-00")</f>
        <v>000.000.239-00</v>
      </c>
      <c r="AH52" s="15" t="s">
        <v>162</v>
      </c>
      <c r="AJ52" s="22">
        <v>28000</v>
      </c>
      <c r="AK52">
        <v>28000</v>
      </c>
      <c r="AM52" s="21" t="s">
        <v>321</v>
      </c>
      <c r="AN52">
        <v>76500</v>
      </c>
      <c r="AO52">
        <v>76500</v>
      </c>
      <c r="AQ52" t="s">
        <v>103</v>
      </c>
      <c r="AZ52" s="38" t="s">
        <v>192</v>
      </c>
      <c r="BA52" t="s">
        <v>103</v>
      </c>
      <c r="BB52" s="26">
        <v>29300</v>
      </c>
      <c r="BC52" s="81">
        <f>IF(AND(TabelaClean[[#This Row],[analise_risco]]="Arriscado",TabelaClean[[#This Row],[analise_credito]]="Reprovado"),0,IF(TabelaClean[[#This Row],[status]]="Ativo",TabelaClean[[#This Row],[valor_solicitado]]*1.08,0))</f>
        <v>4860</v>
      </c>
    </row>
    <row r="53" spans="1:55">
      <c r="A53" s="24" t="s">
        <v>76</v>
      </c>
      <c r="B53" s="17" t="s">
        <v>721</v>
      </c>
      <c r="C53" s="25" t="s">
        <v>722</v>
      </c>
      <c r="D53" s="54">
        <v>39</v>
      </c>
      <c r="E53" s="30">
        <v>31968</v>
      </c>
      <c r="F53" s="17" t="str">
        <f>TabelaClean[[#This Row],[CidadeClean]]</f>
        <v>Ilha dos Ursos</v>
      </c>
      <c r="G53" s="17" t="str">
        <f>TabelaClean[[#This Row],[RegiaoClean]]</f>
        <v>Norte</v>
      </c>
      <c r="H53" s="17" t="str">
        <f>_xlfn.XLOOKUP(TabelaClean[[#This Row],[cpf]],TabelaDirty[cpfclean],TabelaDirty[cidade])</f>
        <v>Ilha dos Ursos | Norte</v>
      </c>
      <c r="I53" s="17">
        <f>_xlfn.XLOOKUP(TabelaClean[[#This Row],[cpf]],TabelaDirty[cpfclean],TabelaDirty[regiao])</f>
        <v>0</v>
      </c>
      <c r="J53" s="17" t="s">
        <v>142</v>
      </c>
      <c r="K53" s="17" t="str">
        <f>_xlfn.TEXTBEFORE(TabelaClean[[#This Row],[CidadeCPF]]," | ")</f>
        <v>Ilha dos Ursos</v>
      </c>
      <c r="L53" s="24" t="str">
        <f>_xlfn.TEXTAFTER(TabelaClean[[#This Row],[CidadeCPF]]," | ")</f>
        <v>Norte</v>
      </c>
      <c r="M53" s="26">
        <v>8000</v>
      </c>
      <c r="N53" s="78">
        <v>69000</v>
      </c>
      <c r="O53" s="1" t="s">
        <v>50</v>
      </c>
      <c r="P5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3" s="84">
        <v>15</v>
      </c>
      <c r="R53" s="1" t="str" cm="1">
        <f t="array" ref="R53">_xlfn.IFS(TabelaClean[[#This Row],[qtde_batalhas]]&lt;=10,"Baixo",TabelaClean[[#This Row],[qtde_batalhas]]&gt;=26,"Alto",TabelaClean[[#This Row],[qtde_batalhas]]&lt;26,"Médio")</f>
        <v>Médio</v>
      </c>
      <c r="S53" s="1" t="str">
        <f>IF(AND(TabelaClean[[#This Row],[nivel_risco]]="Alto",TabelaClean[[#This Row],[flag_inadimplente]]="Sim"),"Arriscado","Ok")</f>
        <v>Ok</v>
      </c>
      <c r="T53" s="26">
        <v>39500</v>
      </c>
      <c r="U53" s="81">
        <f>IF(AND(TabelaClean[[#This Row],[analise_risco]]="Arriscado",TabelaClean[[#This Row],[analise_credito]]="Reprovado"),0,IF(TabelaClean[[#This Row],[status]]="Ativo",TabelaClean[[#This Row],[valor_solicitado]]*1.08,0))</f>
        <v>42660</v>
      </c>
      <c r="W53" s="1"/>
      <c r="Y53" t="s">
        <v>155</v>
      </c>
      <c r="Z53" t="str">
        <f t="shared" si="0"/>
        <v>Norte</v>
      </c>
      <c r="AE53">
        <v>24000</v>
      </c>
      <c r="AF53" t="str">
        <f>TEXT(AE53,"000\.000\.000\-00")</f>
        <v>000.000.240-00</v>
      </c>
      <c r="AH53" s="15" t="s">
        <v>223</v>
      </c>
      <c r="AJ53" s="22">
        <v>16000</v>
      </c>
      <c r="AK53">
        <v>16000</v>
      </c>
      <c r="AM53" s="20">
        <v>48000</v>
      </c>
      <c r="AN53">
        <v>48000</v>
      </c>
      <c r="AO53">
        <v>48000</v>
      </c>
      <c r="AQ53" t="s">
        <v>302</v>
      </c>
      <c r="AZ53" s="39" t="s">
        <v>780</v>
      </c>
      <c r="BA53" t="s">
        <v>302</v>
      </c>
      <c r="BB53" s="26">
        <v>8000</v>
      </c>
      <c r="BC53" s="81">
        <f>IF(AND(TabelaClean[[#This Row],[analise_risco]]="Arriscado",TabelaClean[[#This Row],[analise_credito]]="Reprovado"),0,IF(TabelaClean[[#This Row],[status]]="Ativo",TabelaClean[[#This Row],[valor_solicitado]]*1.08,0))</f>
        <v>42660</v>
      </c>
    </row>
    <row r="54" spans="1:55">
      <c r="A54" s="24" t="s">
        <v>76</v>
      </c>
      <c r="B54" s="17" t="s">
        <v>150</v>
      </c>
      <c r="C54" s="25" t="s">
        <v>151</v>
      </c>
      <c r="D54" s="54">
        <v>23</v>
      </c>
      <c r="E54" s="30">
        <v>37627</v>
      </c>
      <c r="F54" s="24" t="str">
        <f>TabelaClean[[#This Row],[CidadeCPF]]</f>
        <v>Correrrio</v>
      </c>
      <c r="G54" s="17" t="str">
        <f>TabelaClean[[#This Row],[RegiaoCPF]]</f>
        <v>Terras Fluviais</v>
      </c>
      <c r="H54" s="17" t="str">
        <f>_xlfn.XLOOKUP(TabelaClean[[#This Row],[cpf]],TabelaDirty[cpfclean],TabelaDirty[cidade])</f>
        <v>Correrrio</v>
      </c>
      <c r="I54" s="17" t="str">
        <f>_xlfn.XLOOKUP(TabelaClean[[#This Row],[cpf]],TabelaDirty[cpfclean],TabelaDirty[regiao])</f>
        <v>TERRAS FLUVIAIS</v>
      </c>
      <c r="J54" s="17" t="str">
        <f>PROPER(TabelaClean[[#This Row],[Coluna1]])</f>
        <v>Terras Fluviais</v>
      </c>
      <c r="K54" s="17" t="e">
        <f>_xlfn.TEXTBEFORE(TabelaClean[[#This Row],[CidadeCPF]]," | ")</f>
        <v>#N/A</v>
      </c>
      <c r="L54" s="24" t="e">
        <f>_xlfn.TEXTAFTER(TabelaClean[[#This Row],[CidadeCPF]]," | ")</f>
        <v>#N/A</v>
      </c>
      <c r="N54" s="78">
        <v>69000</v>
      </c>
      <c r="O54" s="1" t="s">
        <v>50</v>
      </c>
      <c r="P5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4" s="84">
        <v>20</v>
      </c>
      <c r="R54" s="1" t="str" cm="1">
        <f t="array" ref="R54">_xlfn.IFS(TabelaClean[[#This Row],[qtde_batalhas]]&lt;=10,"Baixo",TabelaClean[[#This Row],[qtde_batalhas]]&gt;=26,"Alto",TabelaClean[[#This Row],[qtde_batalhas]]&lt;26,"Médio")</f>
        <v>Médio</v>
      </c>
      <c r="S54" s="1" t="str">
        <f>IF(AND(TabelaClean[[#This Row],[nivel_risco]]="Alto",TabelaClean[[#This Row],[flag_inadimplente]]="Sim"),"Arriscado","Ok")</f>
        <v>Ok</v>
      </c>
      <c r="T54" s="26">
        <v>69000</v>
      </c>
      <c r="U54" s="81">
        <f>IF(AND(TabelaClean[[#This Row],[analise_risco]]="Arriscado",TabelaClean[[#This Row],[analise_credito]]="Reprovado"),0,IF(TabelaClean[[#This Row],[status]]="Ativo",TabelaClean[[#This Row],[valor_solicitado]]*1.08,0))</f>
        <v>74520</v>
      </c>
      <c r="W54" s="1"/>
      <c r="Y54" t="s">
        <v>809</v>
      </c>
      <c r="Z54" t="str">
        <f t="shared" si="0"/>
        <v>Null</v>
      </c>
      <c r="AE54">
        <v>24300</v>
      </c>
      <c r="AF54" t="str">
        <f>TEXT(AE54,"000\.000\.000\-00")</f>
        <v>000.000.243-00</v>
      </c>
      <c r="AH54" s="15" t="s">
        <v>148</v>
      </c>
      <c r="AJ54" s="22">
        <v>22900</v>
      </c>
      <c r="AK54">
        <v>22900</v>
      </c>
      <c r="AM54" s="21">
        <v>7500</v>
      </c>
      <c r="AN54">
        <v>7500</v>
      </c>
      <c r="AO54">
        <v>7500</v>
      </c>
      <c r="AQ54" t="s">
        <v>141</v>
      </c>
      <c r="AZ54" s="38" t="s">
        <v>850</v>
      </c>
      <c r="BA54" t="s">
        <v>141</v>
      </c>
      <c r="BC54" s="81">
        <f>IF(AND(TabelaClean[[#This Row],[analise_risco]]="Arriscado",TabelaClean[[#This Row],[analise_credito]]="Reprovado"),0,IF(TabelaClean[[#This Row],[status]]="Ativo",TabelaClean[[#This Row],[valor_solicitado]]*1.08,0))</f>
        <v>74520</v>
      </c>
    </row>
    <row r="55" spans="1:55">
      <c r="A55" s="24" t="s">
        <v>81</v>
      </c>
      <c r="B55" s="17" t="s">
        <v>851</v>
      </c>
      <c r="C55" s="25" t="s">
        <v>637</v>
      </c>
      <c r="D55" s="54">
        <v>49</v>
      </c>
      <c r="E55" s="30">
        <v>28286</v>
      </c>
      <c r="F55" s="24" t="str">
        <f>TabelaClean[[#This Row],[CidadeCPF]]</f>
        <v>Pyke</v>
      </c>
      <c r="G55" s="17" t="str">
        <f>TabelaClean[[#This Row],[RegiaoCPF]]</f>
        <v>Ilhas De Ferro</v>
      </c>
      <c r="H55" s="17" t="str">
        <f>_xlfn.XLOOKUP(TabelaClean[[#This Row],[cpf]],TabelaDirty[cpfclean],TabelaDirty[cidade])</f>
        <v>Pyke</v>
      </c>
      <c r="I55" s="17" t="str">
        <f>_xlfn.XLOOKUP(TabelaClean[[#This Row],[cpf]],TabelaDirty[cpfclean],TabelaDirty[regiao])</f>
        <v>Ilhas De Ferro</v>
      </c>
      <c r="J55" s="17" t="str">
        <f>PROPER(TabelaClean[[#This Row],[Coluna1]])</f>
        <v>Ilhas De Ferro</v>
      </c>
      <c r="K55" s="17" t="e">
        <f>_xlfn.TEXTBEFORE(TabelaClean[[#This Row],[CidadeCPF]]," | ")</f>
        <v>#N/A</v>
      </c>
      <c r="L55" s="24" t="e">
        <f>_xlfn.TEXTAFTER(TabelaClean[[#This Row],[CidadeCPF]]," | ")</f>
        <v>#N/A</v>
      </c>
      <c r="M55" s="26">
        <v>21900</v>
      </c>
      <c r="N55" s="78">
        <v>69000</v>
      </c>
      <c r="O55" s="1" t="s">
        <v>50</v>
      </c>
      <c r="P5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5" s="84">
        <v>4</v>
      </c>
      <c r="R55" s="1" t="str" cm="1">
        <f t="array" ref="R55">_xlfn.IFS(TabelaClean[[#This Row],[qtde_batalhas]]&lt;=10,"Baixo",TabelaClean[[#This Row],[qtde_batalhas]]&gt;=26,"Alto",TabelaClean[[#This Row],[qtde_batalhas]]&lt;26,"Médio")</f>
        <v>Baixo</v>
      </c>
      <c r="S55" s="1" t="str">
        <f>IF(AND(TabelaClean[[#This Row],[nivel_risco]]="Alto",TabelaClean[[#This Row],[flag_inadimplente]]="Sim"),"Arriscado","Ok")</f>
        <v>Ok</v>
      </c>
      <c r="T55" s="26">
        <v>80500</v>
      </c>
      <c r="U5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55" s="1"/>
      <c r="Y55" t="s">
        <v>809</v>
      </c>
      <c r="Z55" t="str">
        <f t="shared" si="0"/>
        <v>Null</v>
      </c>
      <c r="AE55">
        <v>25200</v>
      </c>
      <c r="AF55" t="str">
        <f>TEXT(AE55,"000\.000\.000\-00")</f>
        <v>000.000.252-00</v>
      </c>
      <c r="AH55" s="15" t="s">
        <v>183</v>
      </c>
      <c r="AJ55" s="22">
        <v>13800</v>
      </c>
      <c r="AK55">
        <v>13800</v>
      </c>
      <c r="AM55" s="20">
        <v>42000</v>
      </c>
      <c r="AN55">
        <v>42000</v>
      </c>
      <c r="AO55">
        <v>42000</v>
      </c>
      <c r="AQ55" t="s">
        <v>154</v>
      </c>
      <c r="AZ55" s="39" t="s">
        <v>153</v>
      </c>
      <c r="BA55" t="s">
        <v>154</v>
      </c>
      <c r="BB55" s="26">
        <v>21900</v>
      </c>
      <c r="BC5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56" spans="1:55">
      <c r="A56" s="24" t="s">
        <v>76</v>
      </c>
      <c r="B56" s="17" t="s">
        <v>721</v>
      </c>
      <c r="C56" s="25" t="s">
        <v>722</v>
      </c>
      <c r="D56" s="54">
        <v>39</v>
      </c>
      <c r="E56" s="30">
        <v>31968</v>
      </c>
      <c r="F56" s="25" t="s">
        <v>154</v>
      </c>
      <c r="G56" s="25" t="s">
        <v>142</v>
      </c>
      <c r="H56" s="24">
        <v>8000</v>
      </c>
      <c r="I56" s="24">
        <v>69000</v>
      </c>
      <c r="J56" s="24" t="s">
        <v>50</v>
      </c>
      <c r="K56" s="24"/>
      <c r="L56" s="24"/>
      <c r="M56" s="26">
        <v>6500</v>
      </c>
      <c r="N56" s="78">
        <v>69000</v>
      </c>
      <c r="O56" s="1" t="s">
        <v>50</v>
      </c>
      <c r="P5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56" s="76" t="str" cm="1">
        <f t="array" ref="R56">_xlfn.IFS(TabelaClean[[#This Row],[qtde_batalhas]]&lt;=10,"Baixo",TabelaClean[[#This Row],[qtde_batalhas]]&gt;=26,"Alto",TabelaClean[[#This Row],[qtde_batalhas]]&lt;26,"Médio")</f>
        <v>Baixo</v>
      </c>
      <c r="S56" s="76" t="str">
        <f>IF(AND(TabelaClean[[#This Row],[nivel_risco]]="Alto",TabelaClean[[#This Row],[flag_inadimplente]]="Sim"),"Arriscado","Ok")</f>
        <v>Ok</v>
      </c>
      <c r="T56" s="26">
        <v>6500</v>
      </c>
      <c r="U56" s="81">
        <f>IF(AND(TabelaClean[[#This Row],[analise_risco]]="Arriscado",TabelaClean[[#This Row],[analise_credito]]="Reprovado"),0,IF(TabelaClean[[#This Row],[status]]="Ativo",TabelaClean[[#This Row],[valor_solicitado]]*1.08,0))</f>
        <v>7020.0000000000009</v>
      </c>
      <c r="W56" s="1"/>
      <c r="Y56" t="s">
        <v>809</v>
      </c>
      <c r="Z56" t="str">
        <f t="shared" si="0"/>
        <v>Null</v>
      </c>
      <c r="AE56">
        <v>25700</v>
      </c>
      <c r="AF56" t="str">
        <f>TEXT(AE56,"000\.000\.000\-00")</f>
        <v>000.000.257-00</v>
      </c>
      <c r="AH56" s="15" t="s">
        <v>121</v>
      </c>
      <c r="AJ56" s="22">
        <v>11100</v>
      </c>
      <c r="AK56">
        <v>11100</v>
      </c>
      <c r="AM56" s="21">
        <v>13000</v>
      </c>
      <c r="AN56">
        <v>13000</v>
      </c>
      <c r="AO56">
        <v>13000</v>
      </c>
      <c r="AQ56" t="s">
        <v>162</v>
      </c>
      <c r="AZ56" s="38" t="s">
        <v>586</v>
      </c>
      <c r="BA56" t="s">
        <v>162</v>
      </c>
      <c r="BB56" s="26">
        <v>6500</v>
      </c>
      <c r="BC56" s="81">
        <f>IF(AND(TabelaClean[[#This Row],[analise_risco]]="Arriscado",TabelaClean[[#This Row],[analise_credito]]="Reprovado"),0,IF(TabelaClean[[#This Row],[status]]="Ativo",TabelaClean[[#This Row],[valor_solicitado]]*1.08,0))</f>
        <v>7020.0000000000009</v>
      </c>
    </row>
    <row r="57" spans="1:55">
      <c r="A57" s="24" t="s">
        <v>76</v>
      </c>
      <c r="B57" s="17" t="s">
        <v>634</v>
      </c>
      <c r="C57" s="25" t="s">
        <v>852</v>
      </c>
      <c r="D57" s="54">
        <v>26</v>
      </c>
      <c r="E57" s="30">
        <v>36411</v>
      </c>
      <c r="F57" s="24" t="str">
        <f>TabelaClean[[#This Row],[CidadeCPF]]</f>
        <v>Correrrio</v>
      </c>
      <c r="G57" s="17" t="str">
        <f>TabelaClean[[#This Row],[RegiaoCPF]]</f>
        <v>Terras Fluviais</v>
      </c>
      <c r="H57" s="17" t="str">
        <f>_xlfn.XLOOKUP(TabelaClean[[#This Row],[cpf]],TabelaDirty[cpfclean],TabelaDirty[cidade])</f>
        <v>Correrrio</v>
      </c>
      <c r="I57" s="17" t="str">
        <f>_xlfn.XLOOKUP(TabelaClean[[#This Row],[cpf]],TabelaDirty[cpfclean],TabelaDirty[regiao])</f>
        <v>Terras Fluviais</v>
      </c>
      <c r="J57" s="17" t="str">
        <f>PROPER(TabelaClean[[#This Row],[Coluna1]])</f>
        <v>Terras Fluviais</v>
      </c>
      <c r="K57" s="17" t="e">
        <f>_xlfn.TEXTBEFORE(TabelaClean[[#This Row],[CidadeCPF]]," | ")</f>
        <v>#N/A</v>
      </c>
      <c r="L57" s="24" t="e">
        <f>_xlfn.TEXTAFTER(TabelaClean[[#This Row],[CidadeCPF]]," | ")</f>
        <v>#N/A</v>
      </c>
      <c r="M57" s="26">
        <v>9200</v>
      </c>
      <c r="N57" s="78">
        <v>68500</v>
      </c>
      <c r="O57" s="1" t="s">
        <v>50</v>
      </c>
      <c r="P5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7" s="84">
        <v>27</v>
      </c>
      <c r="R57" s="1" t="str" cm="1">
        <f t="array" ref="R57">_xlfn.IFS(TabelaClean[[#This Row],[qtde_batalhas]]&lt;=10,"Baixo",TabelaClean[[#This Row],[qtde_batalhas]]&gt;=26,"Alto",TabelaClean[[#This Row],[qtde_batalhas]]&lt;26,"Médio")</f>
        <v>Alto</v>
      </c>
      <c r="S57" s="1" t="str">
        <f>IF(AND(TabelaClean[[#This Row],[nivel_risco]]="Alto",TabelaClean[[#This Row],[flag_inadimplente]]="Sim"),"Arriscado","Ok")</f>
        <v>Ok</v>
      </c>
      <c r="T57" s="26">
        <v>7000</v>
      </c>
      <c r="U57" s="81">
        <f>IF(AND(TabelaClean[[#This Row],[analise_risco]]="Arriscado",TabelaClean[[#This Row],[analise_credito]]="Reprovado"),0,IF(TabelaClean[[#This Row],[status]]="Ativo",TabelaClean[[#This Row],[valor_solicitado]]*1.08,0))</f>
        <v>7560.0000000000009</v>
      </c>
      <c r="W57" s="1"/>
      <c r="Y57" t="s">
        <v>84</v>
      </c>
      <c r="Z57" t="str">
        <f t="shared" si="0"/>
        <v>Terras Da Tempestade</v>
      </c>
      <c r="AE57">
        <v>26400</v>
      </c>
      <c r="AF57" t="str">
        <f>TEXT(AE57,"000\.000\.000\-00")</f>
        <v>000.000.264-00</v>
      </c>
      <c r="AH57" s="15" t="s">
        <v>141</v>
      </c>
      <c r="AJ57" s="22">
        <v>24500</v>
      </c>
      <c r="AK57">
        <v>24500</v>
      </c>
      <c r="AM57" s="20">
        <v>16500</v>
      </c>
      <c r="AN57">
        <v>16500</v>
      </c>
      <c r="AO57">
        <v>16500</v>
      </c>
      <c r="AQ57" t="s">
        <v>112</v>
      </c>
      <c r="AZ57" s="39" t="s">
        <v>189</v>
      </c>
      <c r="BA57" t="s">
        <v>112</v>
      </c>
      <c r="BB57" s="26">
        <v>9200</v>
      </c>
      <c r="BC57" s="81">
        <f>IF(AND(TabelaClean[[#This Row],[analise_risco]]="Arriscado",TabelaClean[[#This Row],[analise_credito]]="Reprovado"),0,IF(TabelaClean[[#This Row],[status]]="Ativo",TabelaClean[[#This Row],[valor_solicitado]]*1.08,0))</f>
        <v>7560.0000000000009</v>
      </c>
    </row>
    <row r="58" spans="1:55">
      <c r="A58" s="24" t="s">
        <v>76</v>
      </c>
      <c r="B58" s="17" t="s">
        <v>521</v>
      </c>
      <c r="C58" s="25" t="s">
        <v>522</v>
      </c>
      <c r="D58" s="54">
        <v>53</v>
      </c>
      <c r="E58" s="30">
        <v>26898</v>
      </c>
      <c r="F58" s="24" t="str">
        <f>TabelaClean[[#This Row],[CidadeCPF]]</f>
        <v>Fosso Cailin</v>
      </c>
      <c r="G58" s="17" t="str">
        <f>TabelaClean[[#This Row],[RegiaoCPF]]</f>
        <v>Norte</v>
      </c>
      <c r="H58" s="17" t="str">
        <f>_xlfn.XLOOKUP(TabelaClean[[#This Row],[cpf]],TabelaDirty[cpfclean],TabelaDirty[cidade])</f>
        <v>Fosso Cailin</v>
      </c>
      <c r="I58" s="17" t="str">
        <f>_xlfn.XLOOKUP(TabelaClean[[#This Row],[cpf]],TabelaDirty[cpfclean],TabelaDirty[regiao])</f>
        <v>Norte</v>
      </c>
      <c r="J58" s="17" t="str">
        <f>PROPER(TabelaClean[[#This Row],[Coluna1]])</f>
        <v>Norte</v>
      </c>
      <c r="K58" s="17" t="e">
        <f>_xlfn.TEXTBEFORE(TabelaClean[[#This Row],[CidadeCPF]]," | ")</f>
        <v>#N/A</v>
      </c>
      <c r="L58" s="24" t="e">
        <f>_xlfn.TEXTAFTER(TabelaClean[[#This Row],[CidadeCPF]]," | ")</f>
        <v>#N/A</v>
      </c>
      <c r="M58" s="26">
        <v>27100</v>
      </c>
      <c r="N58" s="78">
        <v>68000</v>
      </c>
      <c r="O58" s="1" t="s">
        <v>50</v>
      </c>
      <c r="P5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8" s="84">
        <v>40</v>
      </c>
      <c r="R58" s="1" t="str" cm="1">
        <f t="array" ref="R58">_xlfn.IFS(TabelaClean[[#This Row],[qtde_batalhas]]&lt;=10,"Baixo",TabelaClean[[#This Row],[qtde_batalhas]]&gt;=26,"Alto",TabelaClean[[#This Row],[qtde_batalhas]]&lt;26,"Médio")</f>
        <v>Alto</v>
      </c>
      <c r="S58" s="1" t="str">
        <f>IF(AND(TabelaClean[[#This Row],[nivel_risco]]="Alto",TabelaClean[[#This Row],[flag_inadimplente]]="Sim"),"Arriscado","Ok")</f>
        <v>Ok</v>
      </c>
      <c r="T58" s="26">
        <v>49500</v>
      </c>
      <c r="U58" s="81">
        <f>IF(AND(TabelaClean[[#This Row],[analise_risco]]="Arriscado",TabelaClean[[#This Row],[analise_credito]]="Reprovado"),0,IF(TabelaClean[[#This Row],[status]]="Ativo",TabelaClean[[#This Row],[valor_solicitado]]*1.08,0))</f>
        <v>53460</v>
      </c>
      <c r="W58" s="1"/>
      <c r="Y58" t="s">
        <v>809</v>
      </c>
      <c r="Z58" t="str">
        <f t="shared" si="0"/>
        <v>Null</v>
      </c>
      <c r="AE58">
        <v>26700</v>
      </c>
      <c r="AF58" t="str">
        <f>TEXT(AE58,"000\.000\.000\-00")</f>
        <v>000.000.267-00</v>
      </c>
      <c r="AH58" s="15" t="s">
        <v>112</v>
      </c>
      <c r="AJ58" s="22">
        <v>13800</v>
      </c>
      <c r="AK58">
        <v>13800</v>
      </c>
      <c r="AM58" s="21">
        <v>45500</v>
      </c>
      <c r="AN58">
        <v>45500</v>
      </c>
      <c r="AO58">
        <v>45500</v>
      </c>
      <c r="AQ58" t="s">
        <v>162</v>
      </c>
      <c r="AZ58" s="38" t="s">
        <v>195</v>
      </c>
      <c r="BA58" t="s">
        <v>162</v>
      </c>
      <c r="BB58" s="26">
        <v>27100</v>
      </c>
      <c r="BC58" s="81">
        <f>IF(AND(TabelaClean[[#This Row],[analise_risco]]="Arriscado",TabelaClean[[#This Row],[analise_credito]]="Reprovado"),0,IF(TabelaClean[[#This Row],[status]]="Ativo",TabelaClean[[#This Row],[valor_solicitado]]*1.08,0))</f>
        <v>53460</v>
      </c>
    </row>
    <row r="59" spans="1:55">
      <c r="A59" s="24" t="s">
        <v>76</v>
      </c>
      <c r="B59" s="17" t="s">
        <v>160</v>
      </c>
      <c r="C59" s="25" t="s">
        <v>161</v>
      </c>
      <c r="D59" s="54">
        <v>68</v>
      </c>
      <c r="E59" s="30">
        <v>21145</v>
      </c>
      <c r="F59" s="24" t="str">
        <f>TabelaClean[[#This Row],[CidadeCPF]]</f>
        <v>Fosso Cailin</v>
      </c>
      <c r="G59" s="17" t="str">
        <f>TabelaClean[[#This Row],[RegiaoCPF]]</f>
        <v>Norte</v>
      </c>
      <c r="H59" s="17" t="str">
        <f>_xlfn.XLOOKUP(TabelaClean[[#This Row],[cpf]],TabelaDirty[cpfclean],TabelaDirty[cidade])</f>
        <v>Fosso Cailin</v>
      </c>
      <c r="I59" s="17" t="str">
        <f>_xlfn.XLOOKUP(TabelaClean[[#This Row],[cpf]],TabelaDirty[cpfclean],TabelaDirty[regiao])</f>
        <v>Norte</v>
      </c>
      <c r="J59" s="17" t="str">
        <f>PROPER(TabelaClean[[#This Row],[Coluna1]])</f>
        <v>Norte</v>
      </c>
      <c r="K59" s="17" t="e">
        <f>_xlfn.TEXTBEFORE(TabelaClean[[#This Row],[CidadeCPF]]," | ")</f>
        <v>#N/A</v>
      </c>
      <c r="L59" s="24" t="e">
        <f>_xlfn.TEXTAFTER(TabelaClean[[#This Row],[CidadeCPF]]," | ")</f>
        <v>#N/A</v>
      </c>
      <c r="M59" s="26">
        <v>29000</v>
      </c>
      <c r="N59" s="78">
        <v>67500</v>
      </c>
      <c r="O59" s="1" t="s">
        <v>50</v>
      </c>
      <c r="P5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59" s="84">
        <v>25</v>
      </c>
      <c r="R59" s="1" t="str" cm="1">
        <f t="array" ref="R59">_xlfn.IFS(TabelaClean[[#This Row],[qtde_batalhas]]&lt;=10,"Baixo",TabelaClean[[#This Row],[qtde_batalhas]]&gt;=26,"Alto",TabelaClean[[#This Row],[qtde_batalhas]]&lt;26,"Médio")</f>
        <v>Médio</v>
      </c>
      <c r="S59" s="1" t="str">
        <f>IF(AND(TabelaClean[[#This Row],[nivel_risco]]="Alto",TabelaClean[[#This Row],[flag_inadimplente]]="Sim"),"Arriscado","Ok")</f>
        <v>Ok</v>
      </c>
      <c r="T59" s="26">
        <v>18000</v>
      </c>
      <c r="U59" s="81">
        <f>IF(AND(TabelaClean[[#This Row],[analise_risco]]="Arriscado",TabelaClean[[#This Row],[analise_credito]]="Reprovado"),0,IF(TabelaClean[[#This Row],[status]]="Ativo",TabelaClean[[#This Row],[valor_solicitado]]*1.08,0))</f>
        <v>19440</v>
      </c>
      <c r="W59" s="1"/>
      <c r="Y59" t="s">
        <v>809</v>
      </c>
      <c r="Z59" t="str">
        <f t="shared" si="0"/>
        <v>Null</v>
      </c>
      <c r="AE59">
        <v>27100</v>
      </c>
      <c r="AF59" t="str">
        <f>TEXT(AE59,"000\.000\.000\-00")</f>
        <v>000.000.271-00</v>
      </c>
      <c r="AH59" s="15" t="s">
        <v>83</v>
      </c>
      <c r="AJ59" s="22">
        <v>29300</v>
      </c>
      <c r="AK59">
        <v>29300</v>
      </c>
      <c r="AM59" s="20">
        <v>69000</v>
      </c>
      <c r="AN59">
        <v>69000</v>
      </c>
      <c r="AO59">
        <v>69000</v>
      </c>
      <c r="AQ59" t="s">
        <v>162</v>
      </c>
      <c r="AZ59" s="39" t="s">
        <v>853</v>
      </c>
      <c r="BA59" t="s">
        <v>162</v>
      </c>
      <c r="BB59" s="26">
        <v>29000</v>
      </c>
      <c r="BC59" s="81">
        <f>IF(AND(TabelaClean[[#This Row],[analise_risco]]="Arriscado",TabelaClean[[#This Row],[analise_credito]]="Reprovado"),0,IF(TabelaClean[[#This Row],[status]]="Ativo",TabelaClean[[#This Row],[valor_solicitado]]*1.08,0))</f>
        <v>19440</v>
      </c>
    </row>
    <row r="60" spans="1:55">
      <c r="A60" s="24" t="s">
        <v>81</v>
      </c>
      <c r="B60" s="17" t="s">
        <v>620</v>
      </c>
      <c r="C60" s="25" t="s">
        <v>621</v>
      </c>
      <c r="D60" s="54">
        <v>67</v>
      </c>
      <c r="E60" s="30">
        <v>21674</v>
      </c>
      <c r="F60" s="24" t="str">
        <f>TabelaClean[[#This Row],[CidadeCPF]]</f>
        <v>Atalaia da Água Cinzenta</v>
      </c>
      <c r="G60" s="17" t="str">
        <f>TabelaClean[[#This Row],[RegiaoCPF]]</f>
        <v>Gargalo</v>
      </c>
      <c r="H60" s="17" t="str">
        <f>_xlfn.XLOOKUP(TabelaClean[[#This Row],[cpf]],TabelaDirty[cpfclean],TabelaDirty[cidade])</f>
        <v>Atalaia da Água Cinzenta</v>
      </c>
      <c r="I60" s="17" t="str">
        <f>_xlfn.XLOOKUP(TabelaClean[[#This Row],[cpf]],TabelaDirty[cpfclean],TabelaDirty[regiao])</f>
        <v>Gargalo</v>
      </c>
      <c r="J60" s="17" t="str">
        <f>PROPER(TabelaClean[[#This Row],[Coluna1]])</f>
        <v>Gargalo</v>
      </c>
      <c r="K60" s="17" t="e">
        <f>_xlfn.TEXTBEFORE(TabelaClean[[#This Row],[CidadeCPF]]," | ")</f>
        <v>#N/A</v>
      </c>
      <c r="L60" s="24" t="e">
        <f>_xlfn.TEXTAFTER(TabelaClean[[#This Row],[CidadeCPF]]," | ")</f>
        <v>#N/A</v>
      </c>
      <c r="M60" s="26">
        <v>15200</v>
      </c>
      <c r="N60" s="78">
        <v>67500</v>
      </c>
      <c r="O60" s="1" t="s">
        <v>50</v>
      </c>
      <c r="P6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0" s="84">
        <v>12</v>
      </c>
      <c r="R60" s="1" t="str" cm="1">
        <f t="array" ref="R60">_xlfn.IFS(TabelaClean[[#This Row],[qtde_batalhas]]&lt;=10,"Baixo",TabelaClean[[#This Row],[qtde_batalhas]]&gt;=26,"Alto",TabelaClean[[#This Row],[qtde_batalhas]]&lt;26,"Médio")</f>
        <v>Médio</v>
      </c>
      <c r="S60" s="1" t="str">
        <f>IF(AND(TabelaClean[[#This Row],[nivel_risco]]="Alto",TabelaClean[[#This Row],[flag_inadimplente]]="Sim"),"Arriscado","Ok")</f>
        <v>Ok</v>
      </c>
      <c r="T60" s="26">
        <v>97500</v>
      </c>
      <c r="U6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60" s="1"/>
      <c r="Y60" t="s">
        <v>142</v>
      </c>
      <c r="Z60" t="str">
        <f t="shared" si="0"/>
        <v>Norte</v>
      </c>
      <c r="AE60">
        <v>27200</v>
      </c>
      <c r="AF60" t="str">
        <f>TEXT(AE60,"000\.000\.000\-00")</f>
        <v>000.000.272-00</v>
      </c>
      <c r="AH60" s="15" t="s">
        <v>103</v>
      </c>
      <c r="AJ60" s="22">
        <v>11200</v>
      </c>
      <c r="AK60">
        <v>11200</v>
      </c>
      <c r="AM60" s="21"/>
      <c r="AN60" t="s">
        <v>809</v>
      </c>
      <c r="AO60" t="s">
        <v>809</v>
      </c>
      <c r="AQ60" t="s">
        <v>112</v>
      </c>
      <c r="AZ60" s="38" t="s">
        <v>231</v>
      </c>
      <c r="BA60" t="s">
        <v>112</v>
      </c>
      <c r="BB60" s="26">
        <v>15200</v>
      </c>
      <c r="BC6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61" spans="1:55">
      <c r="A61" s="24" t="s">
        <v>76</v>
      </c>
      <c r="B61" s="17" t="s">
        <v>401</v>
      </c>
      <c r="C61" s="25" t="s">
        <v>854</v>
      </c>
      <c r="D61" s="54">
        <v>41</v>
      </c>
      <c r="E61" s="30">
        <v>30992</v>
      </c>
      <c r="F61" s="24" t="str">
        <f>TabelaClean[[#This Row],[CidadeCPF]]</f>
        <v>Lannisporto</v>
      </c>
      <c r="G61" s="17" t="str">
        <f>TabelaClean[[#This Row],[RegiaoCPF]]</f>
        <v>Oeste</v>
      </c>
      <c r="H61" s="17" t="str">
        <f>_xlfn.XLOOKUP(TabelaClean[[#This Row],[cpf]],TabelaDirty[cpfclean],TabelaDirty[cidade])</f>
        <v>Lannisporto</v>
      </c>
      <c r="I61" s="17" t="str">
        <f>_xlfn.XLOOKUP(TabelaClean[[#This Row],[cpf]],TabelaDirty[cpfclean],TabelaDirty[regiao])</f>
        <v>OESTE</v>
      </c>
      <c r="J61" s="17" t="str">
        <f>PROPER(TabelaClean[[#This Row],[Coluna1]])</f>
        <v>Oeste</v>
      </c>
      <c r="K61" s="17" t="e">
        <f>_xlfn.TEXTBEFORE(TabelaClean[[#This Row],[CidadeCPF]]," | ")</f>
        <v>#N/A</v>
      </c>
      <c r="L61" s="24" t="e">
        <f>_xlfn.TEXTAFTER(TabelaClean[[#This Row],[CidadeCPF]]," | ")</f>
        <v>#N/A</v>
      </c>
      <c r="M61" s="26">
        <v>28600</v>
      </c>
      <c r="N61" s="78">
        <v>67500</v>
      </c>
      <c r="O61" s="1" t="s">
        <v>50</v>
      </c>
      <c r="P6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1" s="84">
        <v>39</v>
      </c>
      <c r="R61" s="1" t="str" cm="1">
        <f t="array" ref="R61">_xlfn.IFS(TabelaClean[[#This Row],[qtde_batalhas]]&lt;=10,"Baixo",TabelaClean[[#This Row],[qtde_batalhas]]&gt;=26,"Alto",TabelaClean[[#This Row],[qtde_batalhas]]&lt;26,"Médio")</f>
        <v>Alto</v>
      </c>
      <c r="S61" s="1" t="str">
        <f>IF(AND(TabelaClean[[#This Row],[nivel_risco]]="Alto",TabelaClean[[#This Row],[flag_inadimplente]]="Sim"),"Arriscado","Ok")</f>
        <v>Ok</v>
      </c>
      <c r="T61" s="26">
        <v>22000</v>
      </c>
      <c r="U61" s="81">
        <f>IF(AND(TabelaClean[[#This Row],[analise_risco]]="Arriscado",TabelaClean[[#This Row],[analise_credito]]="Reprovado"),0,IF(TabelaClean[[#This Row],[status]]="Ativo",TabelaClean[[#This Row],[valor_solicitado]]*1.08,0))</f>
        <v>23760</v>
      </c>
      <c r="W61" s="1"/>
      <c r="Y61" t="s">
        <v>142</v>
      </c>
      <c r="Z61" t="str">
        <f t="shared" si="0"/>
        <v>Norte</v>
      </c>
      <c r="AE61">
        <v>27300</v>
      </c>
      <c r="AF61" t="str">
        <f>TEXT(AE61,"000\.000\.000\-00")</f>
        <v>000.000.273-00</v>
      </c>
      <c r="AH61" s="15" t="s">
        <v>172</v>
      </c>
      <c r="AJ61" s="22">
        <v>14000</v>
      </c>
      <c r="AK61">
        <v>14000</v>
      </c>
      <c r="AM61" s="20">
        <v>63500</v>
      </c>
      <c r="AN61">
        <v>63500</v>
      </c>
      <c r="AO61">
        <v>63500</v>
      </c>
      <c r="AQ61" t="s">
        <v>302</v>
      </c>
      <c r="AZ61" s="39" t="s">
        <v>601</v>
      </c>
      <c r="BA61" t="s">
        <v>302</v>
      </c>
      <c r="BB61" s="26">
        <v>28600</v>
      </c>
      <c r="BC61" s="81">
        <f>IF(AND(TabelaClean[[#This Row],[analise_risco]]="Arriscado",TabelaClean[[#This Row],[analise_credito]]="Reprovado"),0,IF(TabelaClean[[#This Row],[status]]="Ativo",TabelaClean[[#This Row],[valor_solicitado]]*1.08,0))</f>
        <v>23760</v>
      </c>
    </row>
    <row r="62" spans="1:55">
      <c r="A62" s="24" t="s">
        <v>76</v>
      </c>
      <c r="B62" s="17" t="s">
        <v>689</v>
      </c>
      <c r="C62" s="25" t="s">
        <v>690</v>
      </c>
      <c r="D62" s="54">
        <v>53</v>
      </c>
      <c r="E62" s="30">
        <v>26840</v>
      </c>
      <c r="F62" s="17" t="str">
        <f>TabelaClean[[#This Row],[CidadeClean]]</f>
        <v>Ilha dos Ursos</v>
      </c>
      <c r="G62" s="17" t="str">
        <f>TabelaClean[[#This Row],[RegiaoClean]]</f>
        <v>Norte</v>
      </c>
      <c r="H62" s="17" t="str">
        <f>_xlfn.XLOOKUP(TabelaClean[[#This Row],[cpf]],TabelaDirty[cpfclean],TabelaDirty[cidade])</f>
        <v>Ilha dos Ursos | Norte</v>
      </c>
      <c r="I62" s="17">
        <f>_xlfn.XLOOKUP(TabelaClean[[#This Row],[cpf]],TabelaDirty[cpfclean],TabelaDirty[regiao])</f>
        <v>0</v>
      </c>
      <c r="J62" s="17" t="s">
        <v>142</v>
      </c>
      <c r="K62" s="17" t="str">
        <f>_xlfn.TEXTBEFORE(TabelaClean[[#This Row],[CidadeCPF]]," | ")</f>
        <v>Ilha dos Ursos</v>
      </c>
      <c r="L62" s="24" t="str">
        <f>_xlfn.TEXTAFTER(TabelaClean[[#This Row],[CidadeCPF]]," | ")</f>
        <v>Norte</v>
      </c>
      <c r="M62" s="26">
        <v>9500</v>
      </c>
      <c r="N62" s="78">
        <v>66500</v>
      </c>
      <c r="O62" s="1" t="s">
        <v>51</v>
      </c>
      <c r="P6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62" s="84">
        <v>38</v>
      </c>
      <c r="R62" s="1" t="str" cm="1">
        <f t="array" ref="R62">_xlfn.IFS(TabelaClean[[#This Row],[qtde_batalhas]]&lt;=10,"Baixo",TabelaClean[[#This Row],[qtde_batalhas]]&gt;=26,"Alto",TabelaClean[[#This Row],[qtde_batalhas]]&lt;26,"Médio")</f>
        <v>Alto</v>
      </c>
      <c r="S62" s="1" t="str">
        <f>IF(AND(TabelaClean[[#This Row],[nivel_risco]]="Alto",TabelaClean[[#This Row],[flag_inadimplente]]="Sim"),"Arriscado","Ok")</f>
        <v>Arriscado</v>
      </c>
      <c r="T62" s="26">
        <v>42500</v>
      </c>
      <c r="U6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62" s="1"/>
      <c r="Y62" t="s">
        <v>809</v>
      </c>
      <c r="Z62" t="str">
        <f t="shared" si="0"/>
        <v>Null</v>
      </c>
      <c r="AE62">
        <v>27800</v>
      </c>
      <c r="AF62" t="str">
        <f>TEXT(AE62,"000\.000\.000\-00")</f>
        <v>000.000.278-00</v>
      </c>
      <c r="AH62" s="15" t="s">
        <v>154</v>
      </c>
      <c r="AJ62" s="22">
        <v>2900</v>
      </c>
      <c r="AK62">
        <v>2900</v>
      </c>
      <c r="AM62" s="21">
        <v>76000</v>
      </c>
      <c r="AN62">
        <v>76000</v>
      </c>
      <c r="AO62">
        <v>76000</v>
      </c>
      <c r="AQ62" t="s">
        <v>183</v>
      </c>
      <c r="AZ62" s="38" t="s">
        <v>782</v>
      </c>
      <c r="BA62" t="s">
        <v>183</v>
      </c>
      <c r="BB62" s="26">
        <v>9500</v>
      </c>
      <c r="BC6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63" spans="1:55">
      <c r="A63" s="24" t="s">
        <v>81</v>
      </c>
      <c r="B63" s="17" t="s">
        <v>855</v>
      </c>
      <c r="C63" s="25" t="s">
        <v>346</v>
      </c>
      <c r="D63" s="54">
        <v>68</v>
      </c>
      <c r="E63" s="30">
        <v>21205</v>
      </c>
      <c r="F63" s="24" t="str">
        <f>TabelaClean[[#This Row],[CidadeCPF]]</f>
        <v>Jardim de Cima</v>
      </c>
      <c r="G63" s="17" t="str">
        <f>TabelaClean[[#This Row],[RegiaoCPF]]</f>
        <v>Campina</v>
      </c>
      <c r="H63" s="17" t="str">
        <f>_xlfn.XLOOKUP(TabelaClean[[#This Row],[cpf]],TabelaDirty[cpfclean],TabelaDirty[cidade])</f>
        <v>Jardim de Cima</v>
      </c>
      <c r="I63" s="17" t="str">
        <f>_xlfn.XLOOKUP(TabelaClean[[#This Row],[cpf]],TabelaDirty[cpfclean],TabelaDirty[regiao])</f>
        <v>Campina</v>
      </c>
      <c r="J63" s="17" t="str">
        <f>PROPER(TabelaClean[[#This Row],[Coluna1]])</f>
        <v>Campina</v>
      </c>
      <c r="K63" s="17" t="e">
        <f>_xlfn.TEXTBEFORE(TabelaClean[[#This Row],[CidadeCPF]]," | ")</f>
        <v>#N/A</v>
      </c>
      <c r="L63" s="24" t="e">
        <f>_xlfn.TEXTAFTER(TabelaClean[[#This Row],[CidadeCPF]]," | ")</f>
        <v>#N/A</v>
      </c>
      <c r="M63" s="26">
        <v>8200</v>
      </c>
      <c r="N63" s="78">
        <v>66000</v>
      </c>
      <c r="O63" s="1" t="s">
        <v>50</v>
      </c>
      <c r="P6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3" s="84">
        <v>16</v>
      </c>
      <c r="R63" s="1" t="str" cm="1">
        <f t="array" ref="R63">_xlfn.IFS(TabelaClean[[#This Row],[qtde_batalhas]]&lt;=10,"Baixo",TabelaClean[[#This Row],[qtde_batalhas]]&gt;=26,"Alto",TabelaClean[[#This Row],[qtde_batalhas]]&lt;26,"Médio")</f>
        <v>Médio</v>
      </c>
      <c r="S63" s="1" t="str">
        <f>IF(AND(TabelaClean[[#This Row],[nivel_risco]]="Alto",TabelaClean[[#This Row],[flag_inadimplente]]="Sim"),"Arriscado","Ok")</f>
        <v>Ok</v>
      </c>
      <c r="T63" s="26">
        <v>84000</v>
      </c>
      <c r="U6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63" s="1"/>
      <c r="Y63" t="s">
        <v>122</v>
      </c>
      <c r="Z63" t="str">
        <f t="shared" si="0"/>
        <v>Essos</v>
      </c>
      <c r="AE63">
        <v>27900</v>
      </c>
      <c r="AF63" t="str">
        <f>TEXT(AE63,"000\.000\.000\-00")</f>
        <v>000.000.279-00</v>
      </c>
      <c r="AH63" s="15" t="s">
        <v>141</v>
      </c>
      <c r="AJ63" s="22" t="s">
        <v>128</v>
      </c>
      <c r="AK63">
        <v>19500</v>
      </c>
      <c r="AM63" s="20">
        <v>62000</v>
      </c>
      <c r="AN63">
        <v>62000</v>
      </c>
      <c r="AO63">
        <v>62000</v>
      </c>
      <c r="AQ63" t="s">
        <v>172</v>
      </c>
      <c r="AZ63" s="39" t="s">
        <v>593</v>
      </c>
      <c r="BA63" t="s">
        <v>172</v>
      </c>
      <c r="BB63" s="26">
        <v>8200</v>
      </c>
      <c r="BC6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64" spans="1:55">
      <c r="A64" s="24" t="s">
        <v>76</v>
      </c>
      <c r="B64" s="17" t="s">
        <v>856</v>
      </c>
      <c r="C64" s="25" t="s">
        <v>857</v>
      </c>
      <c r="D64" s="54">
        <v>44</v>
      </c>
      <c r="E64" s="30">
        <v>30081</v>
      </c>
      <c r="F64" s="24" t="str">
        <f>TabelaClean[[#This Row],[CidadeCPF]]</f>
        <v>Braavos</v>
      </c>
      <c r="G64" s="17" t="str">
        <f>TabelaClean[[#This Row],[RegiaoCPF]]</f>
        <v>Essos</v>
      </c>
      <c r="H64" s="17" t="str">
        <f>_xlfn.XLOOKUP(TabelaClean[[#This Row],[cpf]],TabelaDirty[cpfclean],TabelaDirty[cidade])</f>
        <v>Braavos</v>
      </c>
      <c r="I64" s="17" t="str">
        <f>_xlfn.XLOOKUP(TabelaClean[[#This Row],[cpf]],TabelaDirty[cpfclean],TabelaDirty[regiao])</f>
        <v>Essos</v>
      </c>
      <c r="J64" s="17" t="str">
        <f>PROPER(TabelaClean[[#This Row],[Coluna1]])</f>
        <v>Essos</v>
      </c>
      <c r="K64" s="17" t="e">
        <f>_xlfn.TEXTBEFORE(TabelaClean[[#This Row],[CidadeCPF]]," | ")</f>
        <v>#N/A</v>
      </c>
      <c r="L64" s="24" t="e">
        <f>_xlfn.TEXTAFTER(TabelaClean[[#This Row],[CidadeCPF]]," | ")</f>
        <v>#N/A</v>
      </c>
      <c r="M64" s="26">
        <v>9600</v>
      </c>
      <c r="N64" s="78">
        <v>66000</v>
      </c>
      <c r="O64" s="1" t="s">
        <v>50</v>
      </c>
      <c r="P6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4" s="84">
        <v>11</v>
      </c>
      <c r="R64" s="1" t="str" cm="1">
        <f t="array" ref="R64">_xlfn.IFS(TabelaClean[[#This Row],[qtde_batalhas]]&lt;=10,"Baixo",TabelaClean[[#This Row],[qtde_batalhas]]&gt;=26,"Alto",TabelaClean[[#This Row],[qtde_batalhas]]&lt;26,"Médio")</f>
        <v>Médio</v>
      </c>
      <c r="S64" s="1" t="str">
        <f>IF(AND(TabelaClean[[#This Row],[nivel_risco]]="Alto",TabelaClean[[#This Row],[flag_inadimplente]]="Sim"),"Arriscado","Ok")</f>
        <v>Ok</v>
      </c>
      <c r="T64" s="26">
        <v>4500</v>
      </c>
      <c r="U64" s="81">
        <f>IF(AND(TabelaClean[[#This Row],[analise_risco]]="Arriscado",TabelaClean[[#This Row],[analise_credito]]="Reprovado"),0,IF(TabelaClean[[#This Row],[status]]="Ativo",TabelaClean[[#This Row],[valor_solicitado]]*1.08,0))</f>
        <v>4860</v>
      </c>
      <c r="W64" s="1"/>
      <c r="Y64" t="s">
        <v>809</v>
      </c>
      <c r="Z64" t="str">
        <f t="shared" si="0"/>
        <v>Null</v>
      </c>
      <c r="AE64">
        <v>29500</v>
      </c>
      <c r="AF64" t="str">
        <f>TEXT(AE64,"000\.000\.000\-00")</f>
        <v>000.000.295-00</v>
      </c>
      <c r="AH64" s="15" t="s">
        <v>169</v>
      </c>
      <c r="AJ64" s="22" t="s">
        <v>128</v>
      </c>
      <c r="AK64">
        <v>19500</v>
      </c>
      <c r="AM64" s="21">
        <v>39000</v>
      </c>
      <c r="AN64">
        <v>39000</v>
      </c>
      <c r="AO64">
        <v>39000</v>
      </c>
      <c r="AQ64" t="s">
        <v>172</v>
      </c>
      <c r="AZ64" s="38" t="s">
        <v>858</v>
      </c>
      <c r="BA64" t="s">
        <v>172</v>
      </c>
      <c r="BB64" s="26">
        <v>9600</v>
      </c>
      <c r="BC64" s="81">
        <f>IF(AND(TabelaClean[[#This Row],[analise_risco]]="Arriscado",TabelaClean[[#This Row],[analise_credito]]="Reprovado"),0,IF(TabelaClean[[#This Row],[status]]="Ativo",TabelaClean[[#This Row],[valor_solicitado]]*1.08,0))</f>
        <v>4860</v>
      </c>
    </row>
    <row r="65" spans="1:55">
      <c r="A65" s="24" t="s">
        <v>76</v>
      </c>
      <c r="B65" s="17" t="s">
        <v>539</v>
      </c>
      <c r="C65" s="25" t="s">
        <v>540</v>
      </c>
      <c r="D65" s="54">
        <v>64</v>
      </c>
      <c r="E65" s="30">
        <v>22886</v>
      </c>
      <c r="F65" s="24" t="str">
        <f>TabelaClean[[#This Row],[CidadeCPF]]</f>
        <v>Pyke</v>
      </c>
      <c r="G65" s="17" t="str">
        <f>TabelaClean[[#This Row],[RegiaoCPF]]</f>
        <v>Ilhas De Ferro</v>
      </c>
      <c r="H65" s="17" t="str">
        <f>_xlfn.XLOOKUP(TabelaClean[[#This Row],[cpf]],TabelaDirty[cpfclean],TabelaDirty[cidade])</f>
        <v>Pyke</v>
      </c>
      <c r="I65" s="17" t="str">
        <f>_xlfn.XLOOKUP(TabelaClean[[#This Row],[cpf]],TabelaDirty[cpfclean],TabelaDirty[regiao])</f>
        <v>Ilhas de Ferro</v>
      </c>
      <c r="J65" s="17" t="str">
        <f>PROPER(TabelaClean[[#This Row],[Coluna1]])</f>
        <v>Ilhas De Ferro</v>
      </c>
      <c r="K65" s="17" t="e">
        <f>_xlfn.TEXTBEFORE(TabelaClean[[#This Row],[CidadeCPF]]," | ")</f>
        <v>#N/A</v>
      </c>
      <c r="L65" s="24" t="e">
        <f>_xlfn.TEXTAFTER(TabelaClean[[#This Row],[CidadeCPF]]," | ")</f>
        <v>#N/A</v>
      </c>
      <c r="M65" s="26">
        <v>8800</v>
      </c>
      <c r="N65" s="78">
        <v>66000</v>
      </c>
      <c r="O65" s="1" t="s">
        <v>50</v>
      </c>
      <c r="P6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5" s="84">
        <v>28</v>
      </c>
      <c r="R65" s="1" t="str" cm="1">
        <f t="array" ref="R65">_xlfn.IFS(TabelaClean[[#This Row],[qtde_batalhas]]&lt;=10,"Baixo",TabelaClean[[#This Row],[qtde_batalhas]]&gt;=26,"Alto",TabelaClean[[#This Row],[qtde_batalhas]]&lt;26,"Médio")</f>
        <v>Alto</v>
      </c>
      <c r="S65" s="1" t="str">
        <f>IF(AND(TabelaClean[[#This Row],[nivel_risco]]="Alto",TabelaClean[[#This Row],[flag_inadimplente]]="Sim"),"Arriscado","Ok")</f>
        <v>Ok</v>
      </c>
      <c r="T65" s="26">
        <v>5000</v>
      </c>
      <c r="U65" s="81">
        <f>IF(AND(TabelaClean[[#This Row],[analise_risco]]="Arriscado",TabelaClean[[#This Row],[analise_credito]]="Reprovado"),0,IF(TabelaClean[[#This Row],[status]]="Ativo",TabelaClean[[#This Row],[valor_solicitado]]*1.08,0))</f>
        <v>5400</v>
      </c>
      <c r="W65" s="1"/>
      <c r="Y65" t="s">
        <v>809</v>
      </c>
      <c r="Z65" t="str">
        <f t="shared" si="0"/>
        <v>Null</v>
      </c>
      <c r="AE65">
        <v>29900</v>
      </c>
      <c r="AF65" t="str">
        <f>TEXT(AE65,"000\.000\.000\-00")</f>
        <v>000.000.299-00</v>
      </c>
      <c r="AH65" s="15" t="s">
        <v>302</v>
      </c>
      <c r="AJ65" s="22">
        <v>9500</v>
      </c>
      <c r="AK65">
        <v>9500</v>
      </c>
      <c r="AM65" s="20">
        <v>58000</v>
      </c>
      <c r="AN65">
        <v>58000</v>
      </c>
      <c r="AO65">
        <v>58000</v>
      </c>
      <c r="AQ65" t="s">
        <v>83</v>
      </c>
      <c r="AZ65" s="39" t="s">
        <v>673</v>
      </c>
      <c r="BA65" t="s">
        <v>83</v>
      </c>
      <c r="BB65" s="26">
        <v>8800</v>
      </c>
      <c r="BC65" s="81">
        <f>IF(AND(TabelaClean[[#This Row],[analise_risco]]="Arriscado",TabelaClean[[#This Row],[analise_credito]]="Reprovado"),0,IF(TabelaClean[[#This Row],[status]]="Ativo",TabelaClean[[#This Row],[valor_solicitado]]*1.08,0))</f>
        <v>5400</v>
      </c>
    </row>
    <row r="66" spans="1:55">
      <c r="A66" s="24" t="s">
        <v>76</v>
      </c>
      <c r="B66" s="17" t="s">
        <v>755</v>
      </c>
      <c r="C66" s="25" t="s">
        <v>756</v>
      </c>
      <c r="D66" s="54" t="s">
        <v>809</v>
      </c>
      <c r="E66" s="30">
        <v>34769</v>
      </c>
      <c r="F66" s="24" t="str">
        <f>TabelaClean[[#This Row],[CidadeCPF]]</f>
        <v>Lannisporto</v>
      </c>
      <c r="G66" s="17" t="str">
        <f>TabelaClean[[#This Row],[RegiaoCPF]]</f>
        <v>Oeste</v>
      </c>
      <c r="H66" s="17" t="str">
        <f>_xlfn.XLOOKUP(TabelaClean[[#This Row],[cpf]],TabelaDirty[cpfclean],TabelaDirty[cidade])</f>
        <v>Lannisporto</v>
      </c>
      <c r="I66" s="17" t="str">
        <f>_xlfn.XLOOKUP(TabelaClean[[#This Row],[cpf]],TabelaDirty[cpfclean],TabelaDirty[regiao])</f>
        <v>oeste</v>
      </c>
      <c r="J66" s="17" t="str">
        <f>PROPER(TabelaClean[[#This Row],[Coluna1]])</f>
        <v>Oeste</v>
      </c>
      <c r="K66" s="17" t="e">
        <f>_xlfn.TEXTBEFORE(TabelaClean[[#This Row],[CidadeCPF]]," | ")</f>
        <v>#N/A</v>
      </c>
      <c r="L66" s="24" t="e">
        <f>_xlfn.TEXTAFTER(TabelaClean[[#This Row],[CidadeCPF]]," | ")</f>
        <v>#N/A</v>
      </c>
      <c r="M66" s="26">
        <v>9000</v>
      </c>
      <c r="N66" s="78">
        <v>66000</v>
      </c>
      <c r="O66" s="1" t="s">
        <v>50</v>
      </c>
      <c r="P6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6" s="84">
        <v>24</v>
      </c>
      <c r="R66" s="1" t="str" cm="1">
        <f t="array" ref="R66">_xlfn.IFS(TabelaClean[[#This Row],[qtde_batalhas]]&lt;=10,"Baixo",TabelaClean[[#This Row],[qtde_batalhas]]&gt;=26,"Alto",TabelaClean[[#This Row],[qtde_batalhas]]&lt;26,"Médio")</f>
        <v>Médio</v>
      </c>
      <c r="S66" s="1" t="str">
        <f>IF(AND(TabelaClean[[#This Row],[nivel_risco]]="Alto",TabelaClean[[#This Row],[flag_inadimplente]]="Sim"),"Arriscado","Ok")</f>
        <v>Ok</v>
      </c>
      <c r="T66" s="26">
        <v>72000</v>
      </c>
      <c r="U66" s="81">
        <f>IF(AND(TabelaClean[[#This Row],[analise_risco]]="Arriscado",TabelaClean[[#This Row],[analise_credito]]="Reprovado"),0,IF(TabelaClean[[#This Row],[status]]="Ativo",TabelaClean[[#This Row],[valor_solicitado]]*1.08,0))</f>
        <v>77760</v>
      </c>
      <c r="W66" s="1"/>
      <c r="Y66" t="s">
        <v>183</v>
      </c>
      <c r="Z66" t="str">
        <f t="shared" si="0"/>
        <v>Dorne</v>
      </c>
      <c r="AE66">
        <v>30000</v>
      </c>
      <c r="AF66" t="str">
        <f>TEXT(AE66,"000\.000\.000\-00")</f>
        <v>000.000.300-00</v>
      </c>
      <c r="AH66" s="15" t="s">
        <v>162</v>
      </c>
      <c r="AJ66" s="22">
        <v>25200</v>
      </c>
      <c r="AK66">
        <v>25200</v>
      </c>
      <c r="AM66" s="21">
        <v>0</v>
      </c>
      <c r="AN66">
        <v>0</v>
      </c>
      <c r="AO66">
        <v>0</v>
      </c>
      <c r="AQ66" t="s">
        <v>223</v>
      </c>
      <c r="AZ66" s="38" t="s">
        <v>677</v>
      </c>
      <c r="BA66" t="s">
        <v>223</v>
      </c>
      <c r="BB66" s="26">
        <v>9000</v>
      </c>
      <c r="BC66" s="81">
        <f>IF(AND(TabelaClean[[#This Row],[analise_risco]]="Arriscado",TabelaClean[[#This Row],[analise_credito]]="Reprovado"),0,IF(TabelaClean[[#This Row],[status]]="Ativo",TabelaClean[[#This Row],[valor_solicitado]]*1.08,0))</f>
        <v>77760</v>
      </c>
    </row>
    <row r="67" spans="1:55">
      <c r="A67" s="24" t="s">
        <v>76</v>
      </c>
      <c r="B67" s="17" t="s">
        <v>859</v>
      </c>
      <c r="C67" s="25" t="s">
        <v>389</v>
      </c>
      <c r="D67" s="54">
        <v>26</v>
      </c>
      <c r="E67" s="30">
        <v>36622</v>
      </c>
      <c r="F67" s="24" t="str">
        <f>TabelaClean[[#This Row],[CidadeCPF]]</f>
        <v>Dorne</v>
      </c>
      <c r="G67" s="17" t="str">
        <f>TabelaClean[[#This Row],[RegiaoCPF]]</f>
        <v>Dorne</v>
      </c>
      <c r="H67" s="17" t="str">
        <f>_xlfn.XLOOKUP(TabelaClean[[#This Row],[cpf]],TabelaDirty[cpfclean],TabelaDirty[cidade])</f>
        <v>Dorne</v>
      </c>
      <c r="I67" s="17" t="str">
        <f>_xlfn.XLOOKUP(TabelaClean[[#This Row],[cpf]],TabelaDirty[cpfclean],TabelaDirty[regiao])</f>
        <v>Dorne</v>
      </c>
      <c r="J67" s="17" t="str">
        <f>PROPER(TabelaClean[[#This Row],[Coluna1]])</f>
        <v>Dorne</v>
      </c>
      <c r="K67" s="17" t="e">
        <f>_xlfn.TEXTBEFORE(TabelaClean[[#This Row],[CidadeCPF]]," | ")</f>
        <v>#N/A</v>
      </c>
      <c r="L67" s="24" t="e">
        <f>_xlfn.TEXTAFTER(TabelaClean[[#This Row],[CidadeCPF]]," | ")</f>
        <v>#N/A</v>
      </c>
      <c r="M67" s="26">
        <v>22900</v>
      </c>
      <c r="N67" s="78">
        <v>65500</v>
      </c>
      <c r="O67" s="1" t="s">
        <v>51</v>
      </c>
      <c r="P6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67" s="84">
        <v>40</v>
      </c>
      <c r="R67" s="1" t="str" cm="1">
        <f t="array" ref="R67">_xlfn.IFS(TabelaClean[[#This Row],[qtde_batalhas]]&lt;=10,"Baixo",TabelaClean[[#This Row],[qtde_batalhas]]&gt;=26,"Alto",TabelaClean[[#This Row],[qtde_batalhas]]&lt;26,"Médio")</f>
        <v>Alto</v>
      </c>
      <c r="S67" s="1" t="str">
        <f>IF(AND(TabelaClean[[#This Row],[nivel_risco]]="Alto",TabelaClean[[#This Row],[flag_inadimplente]]="Sim"),"Arriscado","Ok")</f>
        <v>Arriscado</v>
      </c>
      <c r="T67" s="26">
        <v>95500</v>
      </c>
      <c r="U6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67" s="1"/>
      <c r="Y67" t="s">
        <v>809</v>
      </c>
      <c r="Z67" t="str">
        <f t="shared" si="0"/>
        <v>Null</v>
      </c>
      <c r="AE67">
        <v>30500</v>
      </c>
      <c r="AF67" t="str">
        <f>TEXT(AE67,"000\.000\.000\-00")</f>
        <v>000.000.305-00</v>
      </c>
      <c r="AH67" s="15" t="s">
        <v>112</v>
      </c>
      <c r="AJ67" s="22">
        <v>21900</v>
      </c>
      <c r="AK67">
        <v>21900</v>
      </c>
      <c r="AM67" s="20">
        <v>69000</v>
      </c>
      <c r="AN67">
        <v>69000</v>
      </c>
      <c r="AO67">
        <v>69000</v>
      </c>
      <c r="AQ67" t="s">
        <v>210</v>
      </c>
      <c r="AZ67" s="39" t="s">
        <v>209</v>
      </c>
      <c r="BA67" t="s">
        <v>210</v>
      </c>
      <c r="BB67" s="26">
        <v>22900</v>
      </c>
      <c r="BC6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68" spans="1:55">
      <c r="A68" s="24" t="s">
        <v>76</v>
      </c>
      <c r="B68" s="17" t="s">
        <v>663</v>
      </c>
      <c r="C68" s="25" t="s">
        <v>860</v>
      </c>
      <c r="D68" s="54">
        <v>68</v>
      </c>
      <c r="E68" s="30">
        <v>21079</v>
      </c>
      <c r="F68" s="24" t="str">
        <f>TabelaClean[[#This Row],[CidadeCPF]]</f>
        <v>Atalaia da Água Cinzenta</v>
      </c>
      <c r="G68" s="17" t="str">
        <f>TabelaClean[[#This Row],[RegiaoCPF]]</f>
        <v>Gargalo</v>
      </c>
      <c r="H68" s="17" t="str">
        <f>_xlfn.XLOOKUP(TabelaClean[[#This Row],[cpf]],TabelaDirty[cpfclean],TabelaDirty[cidade])</f>
        <v>Atalaia da Água Cinzenta</v>
      </c>
      <c r="I68" s="17" t="str">
        <f>_xlfn.XLOOKUP(TabelaClean[[#This Row],[cpf]],TabelaDirty[cpfclean],TabelaDirty[regiao])</f>
        <v>GARGALO</v>
      </c>
      <c r="J68" s="17" t="str">
        <f>PROPER(TabelaClean[[#This Row],[Coluna1]])</f>
        <v>Gargalo</v>
      </c>
      <c r="K68" s="17" t="e">
        <f>_xlfn.TEXTBEFORE(TabelaClean[[#This Row],[CidadeCPF]]," | ")</f>
        <v>#N/A</v>
      </c>
      <c r="L68" s="24" t="e">
        <f>_xlfn.TEXTAFTER(TabelaClean[[#This Row],[CidadeCPF]]," | ")</f>
        <v>#N/A</v>
      </c>
      <c r="M68" s="26">
        <v>3600</v>
      </c>
      <c r="N68" s="78">
        <v>64500</v>
      </c>
      <c r="O68" s="1" t="s">
        <v>51</v>
      </c>
      <c r="P6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68" s="84">
        <v>32</v>
      </c>
      <c r="R68" s="1" t="str" cm="1">
        <f t="array" ref="R68">_xlfn.IFS(TabelaClean[[#This Row],[qtde_batalhas]]&lt;=10,"Baixo",TabelaClean[[#This Row],[qtde_batalhas]]&gt;=26,"Alto",TabelaClean[[#This Row],[qtde_batalhas]]&lt;26,"Médio")</f>
        <v>Alto</v>
      </c>
      <c r="S68" s="1" t="str">
        <f>IF(AND(TabelaClean[[#This Row],[nivel_risco]]="Alto",TabelaClean[[#This Row],[flag_inadimplente]]="Sim"),"Arriscado","Ok")</f>
        <v>Arriscado</v>
      </c>
      <c r="T68" s="26">
        <v>35500</v>
      </c>
      <c r="U6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68" s="1"/>
      <c r="Y68" t="s">
        <v>809</v>
      </c>
      <c r="Z68" t="str">
        <f t="shared" ref="Z68:Z131" si="1">PROPER(Y68)</f>
        <v>Null</v>
      </c>
      <c r="AE68">
        <v>31800</v>
      </c>
      <c r="AF68" t="str">
        <f>TEXT(AE68,"000\.000\.000\-00")</f>
        <v>000.000.318-00</v>
      </c>
      <c r="AH68" s="15" t="s">
        <v>688</v>
      </c>
      <c r="AI68" t="e" cm="1" vm="1">
        <f t="array" aca="1" ref="AI68" ca="1">_xlfn.TEXTSPLIT(AH68," | ")</f>
        <v>#VALUE!</v>
      </c>
      <c r="AJ68" s="22" t="s">
        <v>615</v>
      </c>
      <c r="AK68">
        <v>21300</v>
      </c>
      <c r="AL68" t="s">
        <v>142</v>
      </c>
      <c r="AM68" s="21">
        <v>62000</v>
      </c>
      <c r="AN68">
        <v>62000</v>
      </c>
      <c r="AO68">
        <v>62000</v>
      </c>
      <c r="AQ68" t="s">
        <v>148</v>
      </c>
      <c r="AZ68" s="38" t="s">
        <v>206</v>
      </c>
      <c r="BA68" t="s">
        <v>148</v>
      </c>
      <c r="BB68" s="26">
        <v>3600</v>
      </c>
      <c r="BC6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69" spans="1:55">
      <c r="A69" s="29" t="s">
        <v>809</v>
      </c>
      <c r="B69" s="17" t="s">
        <v>719</v>
      </c>
      <c r="C69" s="25" t="s">
        <v>720</v>
      </c>
      <c r="D69" s="54" t="s">
        <v>809</v>
      </c>
      <c r="E69" s="30">
        <v>33188</v>
      </c>
      <c r="F69" s="24" t="str">
        <f>TabelaClean[[#This Row],[CidadeCPF]]</f>
        <v>Braavos</v>
      </c>
      <c r="G69" s="17" t="str">
        <f>TabelaClean[[#This Row],[RegiaoCPF]]</f>
        <v>Essos</v>
      </c>
      <c r="H69" s="17" t="str">
        <f>_xlfn.XLOOKUP(TabelaClean[[#This Row],[cpf]],TabelaDirty[cpfclean],TabelaDirty[cidade])</f>
        <v>Braavos</v>
      </c>
      <c r="I69" s="17" t="str">
        <f>_xlfn.XLOOKUP(TabelaClean[[#This Row],[cpf]],TabelaDirty[cpfclean],TabelaDirty[regiao])</f>
        <v>Essos</v>
      </c>
      <c r="J69" s="17" t="str">
        <f>PROPER(TabelaClean[[#This Row],[Coluna1]])</f>
        <v>Essos</v>
      </c>
      <c r="K69" s="17" t="e">
        <f>_xlfn.TEXTBEFORE(TabelaClean[[#This Row],[CidadeCPF]]," | ")</f>
        <v>#N/A</v>
      </c>
      <c r="L69" s="24" t="e">
        <f>_xlfn.TEXTAFTER(TabelaClean[[#This Row],[CidadeCPF]]," | ")</f>
        <v>#N/A</v>
      </c>
      <c r="M69" s="26">
        <v>29900</v>
      </c>
      <c r="N69" s="78">
        <v>64500</v>
      </c>
      <c r="O69" s="1" t="s">
        <v>50</v>
      </c>
      <c r="P6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69" s="84">
        <v>34</v>
      </c>
      <c r="R69" s="1" t="str" cm="1">
        <f t="array" ref="R69">_xlfn.IFS(TabelaClean[[#This Row],[qtde_batalhas]]&lt;=10,"Baixo",TabelaClean[[#This Row],[qtde_batalhas]]&gt;=26,"Alto",TabelaClean[[#This Row],[qtde_batalhas]]&lt;26,"Médio")</f>
        <v>Alto</v>
      </c>
      <c r="S69" s="1" t="str">
        <f>IF(AND(TabelaClean[[#This Row],[nivel_risco]]="Alto",TabelaClean[[#This Row],[flag_inadimplente]]="Sim"),"Arriscado","Ok")</f>
        <v>Ok</v>
      </c>
      <c r="T69" s="26">
        <v>48500</v>
      </c>
      <c r="U69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69" s="1"/>
      <c r="Y69" t="s">
        <v>809</v>
      </c>
      <c r="Z69" t="str">
        <f t="shared" si="1"/>
        <v>Null</v>
      </c>
      <c r="AE69">
        <v>31900</v>
      </c>
      <c r="AF69" t="str">
        <f>TEXT(AE69,"000\.000\.000\-00")</f>
        <v>000.000.319-00</v>
      </c>
      <c r="AH69" s="15" t="s">
        <v>127</v>
      </c>
      <c r="AJ69" s="22">
        <v>28800</v>
      </c>
      <c r="AK69">
        <v>28800</v>
      </c>
      <c r="AM69" s="20"/>
      <c r="AN69" t="s">
        <v>809</v>
      </c>
      <c r="AO69" t="s">
        <v>809</v>
      </c>
      <c r="AQ69" t="s">
        <v>162</v>
      </c>
      <c r="AZ69" s="39" t="s">
        <v>714</v>
      </c>
      <c r="BA69" t="s">
        <v>162</v>
      </c>
      <c r="BB69" s="26">
        <v>29900</v>
      </c>
      <c r="BC69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70" spans="1:55">
      <c r="A70" s="24" t="s">
        <v>76</v>
      </c>
      <c r="B70" s="17" t="s">
        <v>861</v>
      </c>
      <c r="C70" s="25" t="s">
        <v>409</v>
      </c>
      <c r="D70" s="54">
        <v>57</v>
      </c>
      <c r="E70" s="30">
        <v>25199</v>
      </c>
      <c r="F70" s="24" t="str">
        <f>TabelaClean[[#This Row],[CidadeCPF]]</f>
        <v>Vilavelha</v>
      </c>
      <c r="G70" s="17" t="str">
        <f>TabelaClean[[#This Row],[RegiaoCPF]]</f>
        <v>Campina</v>
      </c>
      <c r="H70" s="17" t="str">
        <f>_xlfn.XLOOKUP(TabelaClean[[#This Row],[cpf]],TabelaDirty[cpfclean],TabelaDirty[cidade])</f>
        <v>Vilavelha</v>
      </c>
      <c r="I70" s="17" t="str">
        <f>_xlfn.XLOOKUP(TabelaClean[[#This Row],[cpf]],TabelaDirty[cpfclean],TabelaDirty[regiao])</f>
        <v>CAMPINA</v>
      </c>
      <c r="J70" s="17" t="str">
        <f>PROPER(TabelaClean[[#This Row],[Coluna1]])</f>
        <v>Campina</v>
      </c>
      <c r="K70" s="17" t="e">
        <f>_xlfn.TEXTBEFORE(TabelaClean[[#This Row],[CidadeCPF]]," | ")</f>
        <v>#N/A</v>
      </c>
      <c r="L70" s="24" t="e">
        <f>_xlfn.TEXTAFTER(TabelaClean[[#This Row],[CidadeCPF]]," | ")</f>
        <v>#N/A</v>
      </c>
      <c r="M70" s="26">
        <v>20700</v>
      </c>
      <c r="N70" s="78">
        <v>64500</v>
      </c>
      <c r="O70" s="1" t="s">
        <v>50</v>
      </c>
      <c r="P7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0" s="84">
        <v>19</v>
      </c>
      <c r="R70" s="1" t="str" cm="1">
        <f t="array" ref="R70">_xlfn.IFS(TabelaClean[[#This Row],[qtde_batalhas]]&lt;=10,"Baixo",TabelaClean[[#This Row],[qtde_batalhas]]&gt;=26,"Alto",TabelaClean[[#This Row],[qtde_batalhas]]&lt;26,"Médio")</f>
        <v>Médio</v>
      </c>
      <c r="S70" s="1" t="str">
        <f>IF(AND(TabelaClean[[#This Row],[nivel_risco]]="Alto",TabelaClean[[#This Row],[flag_inadimplente]]="Sim"),"Arriscado","Ok")</f>
        <v>Ok</v>
      </c>
      <c r="T70" s="26">
        <v>54500</v>
      </c>
      <c r="U70" s="81">
        <f>IF(AND(TabelaClean[[#This Row],[analise_risco]]="Arriscado",TabelaClean[[#This Row],[analise_credito]]="Reprovado"),0,IF(TabelaClean[[#This Row],[status]]="Ativo",TabelaClean[[#This Row],[valor_solicitado]]*1.08,0))</f>
        <v>58860.000000000007</v>
      </c>
      <c r="W70" s="1"/>
      <c r="Y70" t="s">
        <v>809</v>
      </c>
      <c r="Z70" t="str">
        <f t="shared" si="1"/>
        <v>Null</v>
      </c>
      <c r="AE70">
        <v>32000</v>
      </c>
      <c r="AF70" t="str">
        <f>TEXT(AE70,"000\.000\.000\-00")</f>
        <v>000.000.320-00</v>
      </c>
      <c r="AH70" s="15" t="s">
        <v>112</v>
      </c>
      <c r="AJ70" s="22">
        <v>7300</v>
      </c>
      <c r="AK70">
        <v>7300</v>
      </c>
      <c r="AM70" s="21" t="s">
        <v>685</v>
      </c>
      <c r="AN70" t="s">
        <v>809</v>
      </c>
      <c r="AO70" t="s">
        <v>809</v>
      </c>
      <c r="AQ70" t="s">
        <v>302</v>
      </c>
      <c r="AZ70" s="38" t="s">
        <v>767</v>
      </c>
      <c r="BA70" t="s">
        <v>302</v>
      </c>
      <c r="BB70" s="26">
        <v>20700</v>
      </c>
      <c r="BC70" s="81">
        <f>IF(AND(TabelaClean[[#This Row],[analise_risco]]="Arriscado",TabelaClean[[#This Row],[analise_credito]]="Reprovado"),0,IF(TabelaClean[[#This Row],[status]]="Ativo",TabelaClean[[#This Row],[valor_solicitado]]*1.08,0))</f>
        <v>58860.000000000007</v>
      </c>
    </row>
    <row r="71" spans="1:55">
      <c r="A71" s="24" t="s">
        <v>76</v>
      </c>
      <c r="B71" s="17" t="s">
        <v>596</v>
      </c>
      <c r="C71" s="25" t="s">
        <v>862</v>
      </c>
      <c r="D71" s="54">
        <v>62</v>
      </c>
      <c r="E71" s="30">
        <v>23278</v>
      </c>
      <c r="F71" s="24" t="str">
        <f>TabelaClean[[#This Row],[CidadeCPF]]</f>
        <v>Castelo Negro</v>
      </c>
      <c r="G71" s="17" t="str">
        <f>TabelaClean[[#This Row],[RegiaoCPF]]</f>
        <v>Norte</v>
      </c>
      <c r="H71" s="17" t="str">
        <f>_xlfn.XLOOKUP(TabelaClean[[#This Row],[cpf]],TabelaDirty[cpfclean],TabelaDirty[cidade])</f>
        <v>Castelo Negro</v>
      </c>
      <c r="I71" s="17" t="str">
        <f>_xlfn.XLOOKUP(TabelaClean[[#This Row],[cpf]],TabelaDirty[cpfclean],TabelaDirty[regiao])</f>
        <v>Norte</v>
      </c>
      <c r="J71" s="17" t="str">
        <f>PROPER(TabelaClean[[#This Row],[Coluna1]])</f>
        <v>Norte</v>
      </c>
      <c r="K71" s="17" t="e">
        <f>_xlfn.TEXTBEFORE(TabelaClean[[#This Row],[CidadeCPF]]," | ")</f>
        <v>#N/A</v>
      </c>
      <c r="L71" s="24" t="e">
        <f>_xlfn.TEXTAFTER(TabelaClean[[#This Row],[CidadeCPF]]," | ")</f>
        <v>#N/A</v>
      </c>
      <c r="M71" s="26">
        <v>17000</v>
      </c>
      <c r="N71" s="78">
        <v>64000</v>
      </c>
      <c r="O71" s="1" t="s">
        <v>51</v>
      </c>
      <c r="P7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71" s="84">
        <v>21</v>
      </c>
      <c r="R71" s="1" t="str" cm="1">
        <f t="array" ref="R71">_xlfn.IFS(TabelaClean[[#This Row],[qtde_batalhas]]&lt;=10,"Baixo",TabelaClean[[#This Row],[qtde_batalhas]]&gt;=26,"Alto",TabelaClean[[#This Row],[qtde_batalhas]]&lt;26,"Médio")</f>
        <v>Médio</v>
      </c>
      <c r="S71" s="1" t="str">
        <f>IF(AND(TabelaClean[[#This Row],[nivel_risco]]="Alto",TabelaClean[[#This Row],[flag_inadimplente]]="Sim"),"Arriscado","Ok")</f>
        <v>Ok</v>
      </c>
      <c r="T71" s="26">
        <v>19000</v>
      </c>
      <c r="U71" s="81">
        <f>IF(AND(TabelaClean[[#This Row],[analise_risco]]="Arriscado",TabelaClean[[#This Row],[analise_credito]]="Reprovado"),0,IF(TabelaClean[[#This Row],[status]]="Ativo",TabelaClean[[#This Row],[valor_solicitado]]*1.08,0))</f>
        <v>20520</v>
      </c>
      <c r="W71" s="1"/>
      <c r="Y71" t="s">
        <v>809</v>
      </c>
      <c r="Z71" t="str">
        <f t="shared" si="1"/>
        <v>Null</v>
      </c>
      <c r="AE71">
        <v>32500</v>
      </c>
      <c r="AF71" t="str">
        <f>TEXT(AE71,"000\.000\.000\-00")</f>
        <v>000.000.325-00</v>
      </c>
      <c r="AH71" s="15" t="s">
        <v>183</v>
      </c>
      <c r="AJ71" s="22">
        <v>1900</v>
      </c>
      <c r="AK71">
        <v>1900</v>
      </c>
      <c r="AM71" s="20">
        <v>3500</v>
      </c>
      <c r="AN71">
        <v>3500</v>
      </c>
      <c r="AO71">
        <v>3500</v>
      </c>
      <c r="AQ71" t="s">
        <v>127</v>
      </c>
      <c r="AZ71" s="39" t="s">
        <v>272</v>
      </c>
      <c r="BA71" t="s">
        <v>127</v>
      </c>
      <c r="BB71" s="26">
        <v>17000</v>
      </c>
      <c r="BC71" s="81">
        <f>IF(AND(TabelaClean[[#This Row],[analise_risco]]="Arriscado",TabelaClean[[#This Row],[analise_credito]]="Reprovado"),0,IF(TabelaClean[[#This Row],[status]]="Ativo",TabelaClean[[#This Row],[valor_solicitado]]*1.08,0))</f>
        <v>20520</v>
      </c>
    </row>
    <row r="72" spans="1:55">
      <c r="A72" s="24" t="s">
        <v>76</v>
      </c>
      <c r="B72" s="17" t="s">
        <v>519</v>
      </c>
      <c r="C72" s="25" t="s">
        <v>863</v>
      </c>
      <c r="D72" s="54" t="s">
        <v>864</v>
      </c>
      <c r="E72" s="30">
        <v>36255</v>
      </c>
      <c r="F72" s="24" t="str">
        <f>TabelaClean[[#This Row],[CidadeCPF]]</f>
        <v>Castelo Negro</v>
      </c>
      <c r="G72" s="17" t="str">
        <f>TabelaClean[[#This Row],[RegiaoCPF]]</f>
        <v>Norte</v>
      </c>
      <c r="H72" s="17" t="str">
        <f>_xlfn.XLOOKUP(TabelaClean[[#This Row],[cpf]],TabelaDirty[cpfclean],TabelaDirty[cidade])</f>
        <v>Castelo Negro</v>
      </c>
      <c r="I72" s="17" t="str">
        <f>_xlfn.XLOOKUP(TabelaClean[[#This Row],[cpf]],TabelaDirty[cpfclean],TabelaDirty[regiao])</f>
        <v>Norte</v>
      </c>
      <c r="J72" s="17" t="str">
        <f>PROPER(TabelaClean[[#This Row],[Coluna1]])</f>
        <v>Norte</v>
      </c>
      <c r="K72" s="17" t="e">
        <f>_xlfn.TEXTBEFORE(TabelaClean[[#This Row],[CidadeCPF]]," | ")</f>
        <v>#N/A</v>
      </c>
      <c r="L72" s="24" t="e">
        <f>_xlfn.TEXTAFTER(TabelaClean[[#This Row],[CidadeCPF]]," | ")</f>
        <v>#N/A</v>
      </c>
      <c r="M72" s="26">
        <v>14000</v>
      </c>
      <c r="N72" s="78">
        <v>63500</v>
      </c>
      <c r="O72" s="1" t="s">
        <v>50</v>
      </c>
      <c r="P7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2" s="84">
        <v>24</v>
      </c>
      <c r="R72" s="1" t="str" cm="1">
        <f t="array" ref="R72">_xlfn.IFS(TabelaClean[[#This Row],[qtde_batalhas]]&lt;=10,"Baixo",TabelaClean[[#This Row],[qtde_batalhas]]&gt;=26,"Alto",TabelaClean[[#This Row],[qtde_batalhas]]&lt;26,"Médio")</f>
        <v>Médio</v>
      </c>
      <c r="S72" s="1" t="str">
        <f>IF(AND(TabelaClean[[#This Row],[nivel_risco]]="Alto",TabelaClean[[#This Row],[flag_inadimplente]]="Sim"),"Arriscado","Ok")</f>
        <v>Ok</v>
      </c>
      <c r="T72" s="26">
        <v>87000</v>
      </c>
      <c r="U72" s="81">
        <f>IF(AND(TabelaClean[[#This Row],[analise_risco]]="Arriscado",TabelaClean[[#This Row],[analise_credito]]="Reprovado"),0,IF(TabelaClean[[#This Row],[status]]="Ativo",TabelaClean[[#This Row],[valor_solicitado]]*1.08,0))</f>
        <v>93960</v>
      </c>
      <c r="W72" s="1"/>
      <c r="Y72" t="s">
        <v>809</v>
      </c>
      <c r="Z72" t="str">
        <f t="shared" si="1"/>
        <v>Null</v>
      </c>
      <c r="AE72">
        <v>33100</v>
      </c>
      <c r="AF72" t="str">
        <f>TEXT(AE72,"000\.000\.000\-00")</f>
        <v>000.000.331-00</v>
      </c>
      <c r="AH72" s="15" t="s">
        <v>79</v>
      </c>
      <c r="AJ72" s="22">
        <v>28200</v>
      </c>
      <c r="AK72">
        <v>28200</v>
      </c>
      <c r="AM72" s="21">
        <v>0</v>
      </c>
      <c r="AN72">
        <v>0</v>
      </c>
      <c r="AO72">
        <v>0</v>
      </c>
      <c r="AQ72" t="s">
        <v>141</v>
      </c>
      <c r="AZ72" s="38" t="s">
        <v>229</v>
      </c>
      <c r="BA72" t="s">
        <v>141</v>
      </c>
      <c r="BB72" s="26">
        <v>14000</v>
      </c>
      <c r="BC72" s="81">
        <f>IF(AND(TabelaClean[[#This Row],[analise_risco]]="Arriscado",TabelaClean[[#This Row],[analise_credito]]="Reprovado"),0,IF(TabelaClean[[#This Row],[status]]="Ativo",TabelaClean[[#This Row],[valor_solicitado]]*1.08,0))</f>
        <v>93960</v>
      </c>
    </row>
    <row r="73" spans="1:55">
      <c r="A73" s="24" t="s">
        <v>76</v>
      </c>
      <c r="B73" s="17" t="s">
        <v>416</v>
      </c>
      <c r="C73" s="25" t="s">
        <v>417</v>
      </c>
      <c r="D73" s="54">
        <v>47</v>
      </c>
      <c r="E73" s="30" t="s">
        <v>809</v>
      </c>
      <c r="F73" s="24" t="str">
        <f>TabelaClean[[#This Row],[CidadeCPF]]</f>
        <v>Braavos</v>
      </c>
      <c r="G73" s="17" t="str">
        <f>TabelaClean[[#This Row],[RegiaoCPF]]</f>
        <v>Essos</v>
      </c>
      <c r="H73" s="17" t="str">
        <f>_xlfn.XLOOKUP(TabelaClean[[#This Row],[cpf]],TabelaDirty[cpfclean],TabelaDirty[cidade])</f>
        <v>Braavos</v>
      </c>
      <c r="I73" s="17" t="s">
        <v>122</v>
      </c>
      <c r="J73" s="17" t="str">
        <f>PROPER(TabelaClean[[#This Row],[Coluna1]])</f>
        <v>Essos</v>
      </c>
      <c r="K73" s="17" t="e">
        <f>_xlfn.TEXTBEFORE(TabelaClean[[#This Row],[CidadeCPF]]," | ")</f>
        <v>#N/A</v>
      </c>
      <c r="L73" s="24" t="e">
        <f>_xlfn.TEXTAFTER(TabelaClean[[#This Row],[CidadeCPF]]," | ")</f>
        <v>#N/A</v>
      </c>
      <c r="M73" s="26">
        <v>11600</v>
      </c>
      <c r="N73" s="78">
        <v>63500</v>
      </c>
      <c r="O73" s="1" t="s">
        <v>50</v>
      </c>
      <c r="P7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3" s="84">
        <v>18</v>
      </c>
      <c r="R73" s="1" t="str" cm="1">
        <f t="array" ref="R73">_xlfn.IFS(TabelaClean[[#This Row],[qtde_batalhas]]&lt;=10,"Baixo",TabelaClean[[#This Row],[qtde_batalhas]]&gt;=26,"Alto",TabelaClean[[#This Row],[qtde_batalhas]]&lt;26,"Médio")</f>
        <v>Médio</v>
      </c>
      <c r="S73" s="1" t="str">
        <f>IF(AND(TabelaClean[[#This Row],[nivel_risco]]="Alto",TabelaClean[[#This Row],[flag_inadimplente]]="Sim"),"Arriscado","Ok")</f>
        <v>Ok</v>
      </c>
      <c r="T73" s="26">
        <v>3000</v>
      </c>
      <c r="U73" s="81">
        <f>IF(AND(TabelaClean[[#This Row],[analise_risco]]="Arriscado",TabelaClean[[#This Row],[analise_credito]]="Reprovado"),0,IF(TabelaClean[[#This Row],[status]]="Ativo",TabelaClean[[#This Row],[valor_solicitado]]*1.08,0))</f>
        <v>3240</v>
      </c>
      <c r="W73" s="1"/>
      <c r="Y73" t="s">
        <v>809</v>
      </c>
      <c r="Z73" t="str">
        <f t="shared" si="1"/>
        <v>Null</v>
      </c>
      <c r="AE73">
        <v>33700</v>
      </c>
      <c r="AF73" t="str">
        <f>TEXT(AE73,"000\.000\.000\-00")</f>
        <v>000.000.337-00</v>
      </c>
      <c r="AH73" s="15" t="s">
        <v>96</v>
      </c>
      <c r="AJ73" s="22">
        <v>9300</v>
      </c>
      <c r="AK73">
        <v>9300</v>
      </c>
      <c r="AM73" s="20">
        <v>48500</v>
      </c>
      <c r="AN73">
        <v>48500</v>
      </c>
      <c r="AO73">
        <v>48500</v>
      </c>
      <c r="AQ73" t="s">
        <v>215</v>
      </c>
      <c r="AZ73" s="39" t="s">
        <v>784</v>
      </c>
      <c r="BA73" t="s">
        <v>215</v>
      </c>
      <c r="BB73" s="26">
        <v>11600</v>
      </c>
      <c r="BC73" s="81">
        <f>IF(AND(TabelaClean[[#This Row],[analise_risco]]="Arriscado",TabelaClean[[#This Row],[analise_credito]]="Reprovado"),0,IF(TabelaClean[[#This Row],[status]]="Ativo",TabelaClean[[#This Row],[valor_solicitado]]*1.08,0))</f>
        <v>3240</v>
      </c>
    </row>
    <row r="74" spans="1:55">
      <c r="A74" s="24" t="s">
        <v>76</v>
      </c>
      <c r="B74" s="17" t="s">
        <v>233</v>
      </c>
      <c r="C74" s="25" t="s">
        <v>234</v>
      </c>
      <c r="D74" s="54">
        <v>56</v>
      </c>
      <c r="E74" s="30">
        <v>25525</v>
      </c>
      <c r="F74" s="24" t="str">
        <f>TabelaClean[[#This Row],[CidadeCPF]]</f>
        <v>Dorne</v>
      </c>
      <c r="G74" s="17" t="str">
        <f>TabelaClean[[#This Row],[RegiaoCPF]]</f>
        <v>Dorne</v>
      </c>
      <c r="H74" s="17" t="str">
        <f>_xlfn.XLOOKUP(TabelaClean[[#This Row],[cpf]],TabelaDirty[cpfclean],TabelaDirty[cidade])</f>
        <v>Dorne</v>
      </c>
      <c r="I74" s="17" t="str">
        <f>_xlfn.XLOOKUP(TabelaClean[[#This Row],[cpf]],TabelaDirty[cpfclean],TabelaDirty[regiao])</f>
        <v>Dorne</v>
      </c>
      <c r="J74" s="17" t="str">
        <f>PROPER(TabelaClean[[#This Row],[Coluna1]])</f>
        <v>Dorne</v>
      </c>
      <c r="K74" s="17" t="e">
        <f>_xlfn.TEXTBEFORE(TabelaClean[[#This Row],[CidadeCPF]]," | ")</f>
        <v>#N/A</v>
      </c>
      <c r="L74" s="24" t="e">
        <f>_xlfn.TEXTAFTER(TabelaClean[[#This Row],[CidadeCPF]]," | ")</f>
        <v>#N/A</v>
      </c>
      <c r="M74" s="26">
        <v>11100</v>
      </c>
      <c r="N74" s="78">
        <v>63000</v>
      </c>
      <c r="O74" s="1" t="s">
        <v>50</v>
      </c>
      <c r="P7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4" s="84">
        <v>0</v>
      </c>
      <c r="R74" s="1" t="str" cm="1">
        <f t="array" ref="R74">_xlfn.IFS(TabelaClean[[#This Row],[qtde_batalhas]]&lt;=10,"Baixo",TabelaClean[[#This Row],[qtde_batalhas]]&gt;=26,"Alto",TabelaClean[[#This Row],[qtde_batalhas]]&lt;26,"Médio")</f>
        <v>Baixo</v>
      </c>
      <c r="S74" s="1" t="str">
        <f>IF(AND(TabelaClean[[#This Row],[nivel_risco]]="Alto",TabelaClean[[#This Row],[flag_inadimplente]]="Sim"),"Arriscado","Ok")</f>
        <v>Ok</v>
      </c>
      <c r="T74" s="26">
        <v>56000</v>
      </c>
      <c r="U74" s="81">
        <f>IF(AND(TabelaClean[[#This Row],[analise_risco]]="Arriscado",TabelaClean[[#This Row],[analise_credito]]="Reprovado"),0,IF(TabelaClean[[#This Row],[status]]="Ativo",TabelaClean[[#This Row],[valor_solicitado]]*1.08,0))</f>
        <v>60480.000000000007</v>
      </c>
      <c r="W74" s="1"/>
      <c r="Y74" t="s">
        <v>809</v>
      </c>
      <c r="Z74" t="str">
        <f t="shared" si="1"/>
        <v>Null</v>
      </c>
      <c r="AE74">
        <v>34400</v>
      </c>
      <c r="AF74" t="str">
        <f>TEXT(AE74,"000\.000\.000\-00")</f>
        <v>000.000.344-00</v>
      </c>
      <c r="AH74" s="15" t="s">
        <v>210</v>
      </c>
      <c r="AJ74" s="22">
        <v>10100</v>
      </c>
      <c r="AK74">
        <v>10100</v>
      </c>
      <c r="AM74" s="21">
        <v>55000</v>
      </c>
      <c r="AN74">
        <v>55000</v>
      </c>
      <c r="AO74">
        <v>55000</v>
      </c>
      <c r="AQ74" t="s">
        <v>121</v>
      </c>
      <c r="AZ74" s="38" t="s">
        <v>373</v>
      </c>
      <c r="BA74" t="s">
        <v>121</v>
      </c>
      <c r="BB74" s="26">
        <v>11100</v>
      </c>
      <c r="BC74" s="81">
        <f>IF(AND(TabelaClean[[#This Row],[analise_risco]]="Arriscado",TabelaClean[[#This Row],[analise_credito]]="Reprovado"),0,IF(TabelaClean[[#This Row],[status]]="Ativo",TabelaClean[[#This Row],[valor_solicitado]]*1.08,0))</f>
        <v>60480.000000000007</v>
      </c>
    </row>
    <row r="75" spans="1:55">
      <c r="A75" s="24" t="s">
        <v>76</v>
      </c>
      <c r="B75" s="17" t="s">
        <v>630</v>
      </c>
      <c r="C75" s="25" t="s">
        <v>631</v>
      </c>
      <c r="D75" s="54">
        <v>56</v>
      </c>
      <c r="E75" s="30">
        <v>25551</v>
      </c>
      <c r="F75" s="24" t="str">
        <f>TabelaClean[[#This Row],[CidadeCPF]]</f>
        <v>Dorne</v>
      </c>
      <c r="G75" s="17" t="str">
        <f>TabelaClean[[#This Row],[RegiaoCPF]]</f>
        <v>Dorne</v>
      </c>
      <c r="H75" s="17" t="str">
        <f>_xlfn.XLOOKUP(TabelaClean[[#This Row],[cpf]],TabelaDirty[cpfclean],TabelaDirty[cidade])</f>
        <v>Dorne</v>
      </c>
      <c r="I75" s="17" t="str">
        <f>_xlfn.XLOOKUP(TabelaClean[[#This Row],[cpf]],TabelaDirty[cpfclean],TabelaDirty[regiao])</f>
        <v>Dorne</v>
      </c>
      <c r="J75" s="17" t="str">
        <f>PROPER(TabelaClean[[#This Row],[Coluna1]])</f>
        <v>Dorne</v>
      </c>
      <c r="K75" s="17" t="e">
        <f>_xlfn.TEXTBEFORE(TabelaClean[[#This Row],[CidadeCPF]]," | ")</f>
        <v>#N/A</v>
      </c>
      <c r="L75" s="24" t="e">
        <f>_xlfn.TEXTAFTER(TabelaClean[[#This Row],[CidadeCPF]]," | ")</f>
        <v>#N/A</v>
      </c>
      <c r="M75" s="26">
        <v>22600</v>
      </c>
      <c r="N75" s="78">
        <v>63000</v>
      </c>
      <c r="O75" s="1" t="s">
        <v>50</v>
      </c>
      <c r="P7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5" s="84">
        <v>33</v>
      </c>
      <c r="R75" s="1" t="str" cm="1">
        <f t="array" ref="R75">_xlfn.IFS(TabelaClean[[#This Row],[qtde_batalhas]]&lt;=10,"Baixo",TabelaClean[[#This Row],[qtde_batalhas]]&gt;=26,"Alto",TabelaClean[[#This Row],[qtde_batalhas]]&lt;26,"Médio")</f>
        <v>Alto</v>
      </c>
      <c r="S75" s="1" t="str">
        <f>IF(AND(TabelaClean[[#This Row],[nivel_risco]]="Alto",TabelaClean[[#This Row],[flag_inadimplente]]="Sim"),"Arriscado","Ok")</f>
        <v>Ok</v>
      </c>
      <c r="T75" s="26">
        <v>53000</v>
      </c>
      <c r="U75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  <c r="W75" s="1"/>
      <c r="Y75" t="s">
        <v>809</v>
      </c>
      <c r="Z75" t="str">
        <f t="shared" si="1"/>
        <v>Null</v>
      </c>
      <c r="AE75">
        <v>34800</v>
      </c>
      <c r="AF75" t="str">
        <f>TEXT(AE75,"000\.000\.000\-00")</f>
        <v>000.000.348-00</v>
      </c>
      <c r="AH75" s="15" t="s">
        <v>141</v>
      </c>
      <c r="AJ75" s="22">
        <v>29700</v>
      </c>
      <c r="AK75">
        <v>29700</v>
      </c>
      <c r="AM75" s="20">
        <v>22000</v>
      </c>
      <c r="AN75">
        <v>22000</v>
      </c>
      <c r="AO75">
        <v>22000</v>
      </c>
      <c r="AQ75" t="s">
        <v>154</v>
      </c>
      <c r="AZ75" s="39" t="s">
        <v>375</v>
      </c>
      <c r="BA75" t="s">
        <v>154</v>
      </c>
      <c r="BB75" s="26">
        <v>22600</v>
      </c>
      <c r="BC75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</row>
    <row r="76" spans="1:55">
      <c r="A76" s="24" t="s">
        <v>76</v>
      </c>
      <c r="B76" s="17" t="s">
        <v>476</v>
      </c>
      <c r="C76" s="25" t="s">
        <v>865</v>
      </c>
      <c r="D76" s="54">
        <v>35</v>
      </c>
      <c r="E76" s="30">
        <v>33444</v>
      </c>
      <c r="F76" s="24" t="str">
        <f>TabelaClean[[#This Row],[CidadeCPF]]</f>
        <v>Pedra do Dragão</v>
      </c>
      <c r="G76" s="17" t="str">
        <f>TabelaClean[[#This Row],[RegiaoCPF]]</f>
        <v>Terras Da Coroa</v>
      </c>
      <c r="H76" s="17" t="str">
        <f>_xlfn.XLOOKUP(TabelaClean[[#This Row],[cpf]],TabelaDirty[cpfclean],TabelaDirty[cidade])</f>
        <v>Pedra do Dragão</v>
      </c>
      <c r="I76" s="17" t="str">
        <f>_xlfn.XLOOKUP(TabelaClean[[#This Row],[cpf]],TabelaDirty[cpfclean],TabelaDirty[regiao])</f>
        <v>Terras da Coroa</v>
      </c>
      <c r="J76" s="17" t="str">
        <f>PROPER(TabelaClean[[#This Row],[Coluna1]])</f>
        <v>Terras Da Coroa</v>
      </c>
      <c r="K76" s="17" t="e">
        <f>_xlfn.TEXTBEFORE(TabelaClean[[#This Row],[CidadeCPF]]," | ")</f>
        <v>#N/A</v>
      </c>
      <c r="L76" s="24" t="e">
        <f>_xlfn.TEXTAFTER(TabelaClean[[#This Row],[CidadeCPF]]," | ")</f>
        <v>#N/A</v>
      </c>
      <c r="M76" s="26">
        <v>8400</v>
      </c>
      <c r="N76" s="78">
        <v>62500</v>
      </c>
      <c r="O76" s="1" t="s">
        <v>50</v>
      </c>
      <c r="P7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6" s="84">
        <v>31</v>
      </c>
      <c r="R76" s="1" t="str" cm="1">
        <f t="array" ref="R76">_xlfn.IFS(TabelaClean[[#This Row],[qtde_batalhas]]&lt;=10,"Baixo",TabelaClean[[#This Row],[qtde_batalhas]]&gt;=26,"Alto",TabelaClean[[#This Row],[qtde_batalhas]]&lt;26,"Médio")</f>
        <v>Alto</v>
      </c>
      <c r="S76" s="1" t="str">
        <f>IF(AND(TabelaClean[[#This Row],[nivel_risco]]="Alto",TabelaClean[[#This Row],[flag_inadimplente]]="Sim"),"Arriscado","Ok")</f>
        <v>Ok</v>
      </c>
      <c r="T76" s="26">
        <v>83500</v>
      </c>
      <c r="U76" s="81">
        <f>IF(AND(TabelaClean[[#This Row],[analise_risco]]="Arriscado",TabelaClean[[#This Row],[analise_credito]]="Reprovado"),0,IF(TabelaClean[[#This Row],[status]]="Ativo",TabelaClean[[#This Row],[valor_solicitado]]*1.08,0))</f>
        <v>90180</v>
      </c>
      <c r="W76" s="1"/>
      <c r="Y76" t="s">
        <v>142</v>
      </c>
      <c r="Z76" t="str">
        <f t="shared" si="1"/>
        <v>Norte</v>
      </c>
      <c r="AE76">
        <v>34900</v>
      </c>
      <c r="AF76" t="str">
        <f>TEXT(AE76,"000\.000\.000\-00")</f>
        <v>000.000.349-00</v>
      </c>
      <c r="AH76" s="15" t="s">
        <v>172</v>
      </c>
      <c r="AJ76" s="22">
        <v>15000</v>
      </c>
      <c r="AK76">
        <v>15000</v>
      </c>
      <c r="AM76" s="21">
        <v>32500</v>
      </c>
      <c r="AN76">
        <v>32500</v>
      </c>
      <c r="AO76">
        <v>32500</v>
      </c>
      <c r="AQ76" t="s">
        <v>79</v>
      </c>
      <c r="AZ76" s="38" t="s">
        <v>407</v>
      </c>
      <c r="BA76" t="s">
        <v>79</v>
      </c>
      <c r="BB76" s="26">
        <v>8400</v>
      </c>
      <c r="BC76" s="81">
        <f>IF(AND(TabelaClean[[#This Row],[analise_risco]]="Arriscado",TabelaClean[[#This Row],[analise_credito]]="Reprovado"),0,IF(TabelaClean[[#This Row],[status]]="Ativo",TabelaClean[[#This Row],[valor_solicitado]]*1.08,0))</f>
        <v>90180</v>
      </c>
    </row>
    <row r="77" spans="1:55">
      <c r="A77" s="24" t="s">
        <v>76</v>
      </c>
      <c r="B77" s="17" t="s">
        <v>866</v>
      </c>
      <c r="C77" s="25" t="s">
        <v>867</v>
      </c>
      <c r="D77" s="54">
        <v>70</v>
      </c>
      <c r="E77" s="30">
        <v>20515</v>
      </c>
      <c r="F77" s="24" t="str">
        <f>TabelaClean[[#This Row],[CidadeCPF]]</f>
        <v>Braavos</v>
      </c>
      <c r="G77" s="17" t="str">
        <f>TabelaClean[[#This Row],[RegiaoCPF]]</f>
        <v>Essos</v>
      </c>
      <c r="H77" s="17" t="str">
        <f>_xlfn.XLOOKUP(TabelaClean[[#This Row],[cpf]],TabelaDirty[cpfclean],TabelaDirty[cidade])</f>
        <v>Braavos</v>
      </c>
      <c r="I77" s="17" t="str">
        <f>_xlfn.XLOOKUP(TabelaClean[[#This Row],[cpf]],TabelaDirty[cpfclean],TabelaDirty[regiao])</f>
        <v>Essos</v>
      </c>
      <c r="J77" s="17" t="str">
        <f>PROPER(TabelaClean[[#This Row],[Coluna1]])</f>
        <v>Essos</v>
      </c>
      <c r="K77" s="17" t="e">
        <f>_xlfn.TEXTBEFORE(TabelaClean[[#This Row],[CidadeCPF]]," | ")</f>
        <v>#N/A</v>
      </c>
      <c r="L77" s="24" t="e">
        <f>_xlfn.TEXTAFTER(TabelaClean[[#This Row],[CidadeCPF]]," | ")</f>
        <v>#N/A</v>
      </c>
      <c r="M77" s="26">
        <v>19500</v>
      </c>
      <c r="N77" s="78">
        <v>62000</v>
      </c>
      <c r="O77" s="1" t="s">
        <v>51</v>
      </c>
      <c r="P7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77" s="84">
        <v>45</v>
      </c>
      <c r="R77" s="1" t="str" cm="1">
        <f t="array" ref="R77">_xlfn.IFS(TabelaClean[[#This Row],[qtde_batalhas]]&lt;=10,"Baixo",TabelaClean[[#This Row],[qtde_batalhas]]&gt;=26,"Alto",TabelaClean[[#This Row],[qtde_batalhas]]&lt;26,"Médio")</f>
        <v>Alto</v>
      </c>
      <c r="S77" s="1" t="str">
        <f>IF(AND(TabelaClean[[#This Row],[nivel_risco]]="Alto",TabelaClean[[#This Row],[flag_inadimplente]]="Sim"),"Arriscado","Ok")</f>
        <v>Arriscado</v>
      </c>
      <c r="T77" s="26">
        <v>35500</v>
      </c>
      <c r="U7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77" s="1"/>
      <c r="Y77" t="s">
        <v>809</v>
      </c>
      <c r="Z77" t="str">
        <f t="shared" si="1"/>
        <v>Null</v>
      </c>
      <c r="AE77">
        <v>35000</v>
      </c>
      <c r="AF77" t="str">
        <f>TEXT(AE77,"000\.000\.000\-00")</f>
        <v>000.000.350-00</v>
      </c>
      <c r="AH77" s="15" t="s">
        <v>89</v>
      </c>
      <c r="AJ77" s="22">
        <v>9800</v>
      </c>
      <c r="AK77">
        <v>9800</v>
      </c>
      <c r="AM77" s="20">
        <v>0</v>
      </c>
      <c r="AN77">
        <v>0</v>
      </c>
      <c r="AO77">
        <v>0</v>
      </c>
      <c r="AQ77" t="s">
        <v>121</v>
      </c>
      <c r="AZ77" s="39" t="s">
        <v>651</v>
      </c>
      <c r="BA77" t="s">
        <v>121</v>
      </c>
      <c r="BB77" s="26">
        <v>19500</v>
      </c>
      <c r="BC7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78" spans="1:55">
      <c r="A78" s="24" t="s">
        <v>76</v>
      </c>
      <c r="B78" s="17" t="s">
        <v>613</v>
      </c>
      <c r="C78" s="25" t="s">
        <v>614</v>
      </c>
      <c r="D78" s="54">
        <v>47</v>
      </c>
      <c r="E78" s="30">
        <v>28841</v>
      </c>
      <c r="F78" s="24" t="str">
        <f>TabelaClean[[#This Row],[CidadeCPF]]</f>
        <v>Dorne</v>
      </c>
      <c r="G78" s="17" t="str">
        <f>TabelaClean[[#This Row],[RegiaoCPF]]</f>
        <v>Dorne</v>
      </c>
      <c r="H78" s="17" t="str">
        <f>_xlfn.XLOOKUP(TabelaClean[[#This Row],[cpf]],TabelaDirty[cpfclean],TabelaDirty[cidade])</f>
        <v>Dorne</v>
      </c>
      <c r="I78" s="17" t="str">
        <f>_xlfn.XLOOKUP(TabelaClean[[#This Row],[cpf]],TabelaDirty[cpfclean],TabelaDirty[regiao])</f>
        <v>Dorne</v>
      </c>
      <c r="J78" s="17" t="str">
        <f>PROPER(TabelaClean[[#This Row],[Coluna1]])</f>
        <v>Dorne</v>
      </c>
      <c r="K78" s="17" t="e">
        <f>_xlfn.TEXTBEFORE(TabelaClean[[#This Row],[CidadeCPF]]," | ")</f>
        <v>#N/A</v>
      </c>
      <c r="L78" s="24" t="e">
        <f>_xlfn.TEXTAFTER(TabelaClean[[#This Row],[CidadeCPF]]," | ")</f>
        <v>#N/A</v>
      </c>
      <c r="M78" s="26">
        <v>21300</v>
      </c>
      <c r="N78" s="78">
        <v>62000</v>
      </c>
      <c r="O78" s="1" t="s">
        <v>51</v>
      </c>
      <c r="P7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78" s="84">
        <v>37</v>
      </c>
      <c r="R78" s="1" t="str" cm="1">
        <f t="array" ref="R78">_xlfn.IFS(TabelaClean[[#This Row],[qtde_batalhas]]&lt;=10,"Baixo",TabelaClean[[#This Row],[qtde_batalhas]]&gt;=26,"Alto",TabelaClean[[#This Row],[qtde_batalhas]]&lt;26,"Médio")</f>
        <v>Alto</v>
      </c>
      <c r="S78" s="1" t="str">
        <f>IF(AND(TabelaClean[[#This Row],[nivel_risco]]="Alto",TabelaClean[[#This Row],[flag_inadimplente]]="Sim"),"Arriscado","Ok")</f>
        <v>Arriscado</v>
      </c>
      <c r="T78" s="26">
        <v>92500</v>
      </c>
      <c r="U7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78" s="1"/>
      <c r="Y78" t="s">
        <v>809</v>
      </c>
      <c r="Z78" t="str">
        <f t="shared" si="1"/>
        <v>Null</v>
      </c>
      <c r="AE78">
        <v>35200</v>
      </c>
      <c r="AF78" t="str">
        <f>TEXT(AE78,"000\.000\.000\-00")</f>
        <v>000.000.352-00</v>
      </c>
      <c r="AH78" s="15" t="s">
        <v>210</v>
      </c>
      <c r="AJ78" s="22">
        <v>16300</v>
      </c>
      <c r="AK78">
        <v>16300</v>
      </c>
      <c r="AM78" s="21"/>
      <c r="AN78" t="s">
        <v>809</v>
      </c>
      <c r="AO78" t="s">
        <v>809</v>
      </c>
      <c r="AQ78" t="s">
        <v>183</v>
      </c>
      <c r="AZ78" s="38" t="s">
        <v>478</v>
      </c>
      <c r="BA78" t="s">
        <v>183</v>
      </c>
      <c r="BB78" s="26">
        <v>21300</v>
      </c>
      <c r="BC7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79" spans="1:55">
      <c r="A79" s="24" t="s">
        <v>76</v>
      </c>
      <c r="B79" s="17" t="s">
        <v>604</v>
      </c>
      <c r="C79" s="25" t="s">
        <v>605</v>
      </c>
      <c r="D79" s="54">
        <v>69</v>
      </c>
      <c r="E79" s="30">
        <v>20943</v>
      </c>
      <c r="F79" s="17" t="str">
        <f>TabelaClean[[#This Row],[CidadeClean]]</f>
        <v>Pedra do Dragão</v>
      </c>
      <c r="G79" s="17" t="str">
        <f>TabelaClean[[#This Row],[RegiaoClean]]</f>
        <v>Terras da Coroa</v>
      </c>
      <c r="H79" s="17" t="str">
        <f>_xlfn.XLOOKUP(TabelaClean[[#This Row],[cpf]],TabelaDirty[cpfclean],TabelaDirty[cidade])</f>
        <v>Pedra do Dragão | Terras da Coroa</v>
      </c>
      <c r="I79" s="17">
        <f>_xlfn.XLOOKUP(TabelaClean[[#This Row],[cpf]],TabelaDirty[cpfclean],TabelaDirty[regiao])</f>
        <v>0</v>
      </c>
      <c r="J79" s="17" t="s">
        <v>90</v>
      </c>
      <c r="K79" s="17" t="str">
        <f>_xlfn.TEXTBEFORE(TabelaClean[[#This Row],[CidadeCPF]]," | ")</f>
        <v>Pedra do Dragão</v>
      </c>
      <c r="L79" s="24" t="str">
        <f>_xlfn.TEXTAFTER(TabelaClean[[#This Row],[CidadeCPF]]," | ")</f>
        <v>Terras da Coroa</v>
      </c>
      <c r="M79" s="26">
        <v>13800</v>
      </c>
      <c r="N79" s="78">
        <v>62000</v>
      </c>
      <c r="O79" s="1" t="s">
        <v>50</v>
      </c>
      <c r="P7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79" s="84">
        <v>31</v>
      </c>
      <c r="R79" s="1" t="str" cm="1">
        <f t="array" ref="R79">_xlfn.IFS(TabelaClean[[#This Row],[qtde_batalhas]]&lt;=10,"Baixo",TabelaClean[[#This Row],[qtde_batalhas]]&gt;=26,"Alto",TabelaClean[[#This Row],[qtde_batalhas]]&lt;26,"Médio")</f>
        <v>Alto</v>
      </c>
      <c r="S79" s="1" t="str">
        <f>IF(AND(TabelaClean[[#This Row],[nivel_risco]]="Alto",TabelaClean[[#This Row],[flag_inadimplente]]="Sim"),"Arriscado","Ok")</f>
        <v>Ok</v>
      </c>
      <c r="T79" s="26">
        <v>60500</v>
      </c>
      <c r="U79" s="81">
        <f>IF(AND(TabelaClean[[#This Row],[analise_risco]]="Arriscado",TabelaClean[[#This Row],[analise_credito]]="Reprovado"),0,IF(TabelaClean[[#This Row],[status]]="Ativo",TabelaClean[[#This Row],[valor_solicitado]]*1.08,0))</f>
        <v>65340.000000000007</v>
      </c>
      <c r="W79" s="1"/>
      <c r="Y79" t="s">
        <v>809</v>
      </c>
      <c r="Z79" t="str">
        <f t="shared" si="1"/>
        <v>Null</v>
      </c>
      <c r="AE79">
        <v>35800</v>
      </c>
      <c r="AF79" t="str">
        <f>TEXT(AE79,"000\.000\.000\-00")</f>
        <v>000.000.358-00</v>
      </c>
      <c r="AH79" s="15" t="s">
        <v>79</v>
      </c>
      <c r="AJ79" s="22">
        <v>29700</v>
      </c>
      <c r="AK79">
        <v>29700</v>
      </c>
      <c r="AM79" s="20">
        <v>34000</v>
      </c>
      <c r="AN79">
        <v>34000</v>
      </c>
      <c r="AO79">
        <v>34000</v>
      </c>
      <c r="AQ79" t="s">
        <v>89</v>
      </c>
      <c r="AZ79" s="39" t="s">
        <v>88</v>
      </c>
      <c r="BA79" t="s">
        <v>89</v>
      </c>
      <c r="BB79" s="26">
        <v>13800</v>
      </c>
      <c r="BC79" s="81">
        <f>IF(AND(TabelaClean[[#This Row],[analise_risco]]="Arriscado",TabelaClean[[#This Row],[analise_credito]]="Reprovado"),0,IF(TabelaClean[[#This Row],[status]]="Ativo",TabelaClean[[#This Row],[valor_solicitado]]*1.08,0))</f>
        <v>65340.000000000007</v>
      </c>
    </row>
    <row r="80" spans="1:55">
      <c r="A80" s="24" t="s">
        <v>76</v>
      </c>
      <c r="B80" s="17" t="s">
        <v>445</v>
      </c>
      <c r="C80" s="25" t="s">
        <v>446</v>
      </c>
      <c r="D80" s="54">
        <v>43</v>
      </c>
      <c r="E80" s="30">
        <v>30309</v>
      </c>
      <c r="F80" s="24" t="str">
        <f>TabelaClean[[#This Row],[CidadeCPF]]</f>
        <v>Atalaia da Água Cinzenta</v>
      </c>
      <c r="G80" s="17" t="str">
        <f>TabelaClean[[#This Row],[RegiaoCPF]]</f>
        <v>Gargalo</v>
      </c>
      <c r="H80" s="17" t="str">
        <f>_xlfn.XLOOKUP(TabelaClean[[#This Row],[cpf]],TabelaDirty[cpfclean],TabelaDirty[cidade])</f>
        <v>Atalaia da Água Cinzenta</v>
      </c>
      <c r="I80" s="17" t="str">
        <f>_xlfn.XLOOKUP(TabelaClean[[#This Row],[cpf]],TabelaDirty[cpfclean],TabelaDirty[regiao])</f>
        <v>gargalo</v>
      </c>
      <c r="J80" s="17" t="str">
        <f>PROPER(TabelaClean[[#This Row],[Coluna1]])</f>
        <v>Gargalo</v>
      </c>
      <c r="K80" s="17" t="e">
        <f>_xlfn.TEXTBEFORE(TabelaClean[[#This Row],[CidadeCPF]]," | ")</f>
        <v>#N/A</v>
      </c>
      <c r="L80" s="24" t="e">
        <f>_xlfn.TEXTAFTER(TabelaClean[[#This Row],[CidadeCPF]]," | ")</f>
        <v>#N/A</v>
      </c>
      <c r="M80" s="26">
        <v>18400</v>
      </c>
      <c r="N80" s="78">
        <v>62000</v>
      </c>
      <c r="O80" s="1" t="s">
        <v>50</v>
      </c>
      <c r="P8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0" s="84">
        <v>33</v>
      </c>
      <c r="R80" s="1" t="str" cm="1">
        <f t="array" ref="R80">_xlfn.IFS(TabelaClean[[#This Row],[qtde_batalhas]]&lt;=10,"Baixo",TabelaClean[[#This Row],[qtde_batalhas]]&gt;=26,"Alto",TabelaClean[[#This Row],[qtde_batalhas]]&lt;26,"Médio")</f>
        <v>Alto</v>
      </c>
      <c r="S80" s="1" t="str">
        <f>IF(AND(TabelaClean[[#This Row],[nivel_risco]]="Alto",TabelaClean[[#This Row],[flag_inadimplente]]="Sim"),"Arriscado","Ok")</f>
        <v>Ok</v>
      </c>
      <c r="T80" s="26">
        <v>31000</v>
      </c>
      <c r="U80" s="81">
        <f>IF(AND(TabelaClean[[#This Row],[analise_risco]]="Arriscado",TabelaClean[[#This Row],[analise_credito]]="Reprovado"),0,IF(TabelaClean[[#This Row],[status]]="Ativo",TabelaClean[[#This Row],[valor_solicitado]]*1.08,0))</f>
        <v>33480</v>
      </c>
      <c r="W80" s="1"/>
      <c r="Y80" t="s">
        <v>183</v>
      </c>
      <c r="Z80" t="str">
        <f t="shared" si="1"/>
        <v>Dorne</v>
      </c>
      <c r="AE80">
        <v>36100</v>
      </c>
      <c r="AF80" t="str">
        <f>TEXT(AE80,"000\.000\.000\-00")</f>
        <v>000.000.361-00</v>
      </c>
      <c r="AH80" s="15" t="s">
        <v>89</v>
      </c>
      <c r="AJ80" s="22">
        <v>15800</v>
      </c>
      <c r="AK80">
        <v>15800</v>
      </c>
      <c r="AM80" s="21" t="s">
        <v>92</v>
      </c>
      <c r="AN80" t="s">
        <v>809</v>
      </c>
      <c r="AO80" t="s">
        <v>809</v>
      </c>
      <c r="AQ80" t="s">
        <v>103</v>
      </c>
      <c r="AZ80" s="38" t="s">
        <v>868</v>
      </c>
      <c r="BA80" t="s">
        <v>103</v>
      </c>
      <c r="BB80" s="26">
        <v>18400</v>
      </c>
      <c r="BC80" s="81">
        <f>IF(AND(TabelaClean[[#This Row],[analise_risco]]="Arriscado",TabelaClean[[#This Row],[analise_credito]]="Reprovado"),0,IF(TabelaClean[[#This Row],[status]]="Ativo",TabelaClean[[#This Row],[valor_solicitado]]*1.08,0))</f>
        <v>33480</v>
      </c>
    </row>
    <row r="81" spans="1:55">
      <c r="A81" s="24" t="s">
        <v>76</v>
      </c>
      <c r="B81" s="17" t="s">
        <v>497</v>
      </c>
      <c r="C81" s="25" t="s">
        <v>498</v>
      </c>
      <c r="D81" s="54">
        <v>30</v>
      </c>
      <c r="E81" s="30">
        <v>35109</v>
      </c>
      <c r="F81" s="24" t="str">
        <f>TabelaClean[[#This Row],[CidadeCPF]]</f>
        <v>Ponta Tempestade</v>
      </c>
      <c r="G81" s="17" t="str">
        <f>TabelaClean[[#This Row],[RegiaoCPF]]</f>
        <v>Terras Da Tempestade</v>
      </c>
      <c r="H81" s="17" t="str">
        <f>_xlfn.XLOOKUP(TabelaClean[[#This Row],[cpf]],TabelaDirty[cpfclean],TabelaDirty[cidade])</f>
        <v>Ponta Tempestade</v>
      </c>
      <c r="I81" s="17" t="str">
        <f>_xlfn.XLOOKUP(TabelaClean[[#This Row],[cpf]],TabelaDirty[cpfclean],TabelaDirty[regiao])</f>
        <v>TERRAS DA TEMPESTADE</v>
      </c>
      <c r="J81" s="17" t="str">
        <f>PROPER(TabelaClean[[#This Row],[Coluna1]])</f>
        <v>Terras Da Tempestade</v>
      </c>
      <c r="K81" s="17" t="e">
        <f>_xlfn.TEXTBEFORE(TabelaClean[[#This Row],[CidadeCPF]]," | ")</f>
        <v>#N/A</v>
      </c>
      <c r="L81" s="24" t="e">
        <f>_xlfn.TEXTAFTER(TabelaClean[[#This Row],[CidadeCPF]]," | ")</f>
        <v>#N/A</v>
      </c>
      <c r="M81" s="26">
        <v>2600</v>
      </c>
      <c r="N81" s="78">
        <v>62000</v>
      </c>
      <c r="O81" s="1" t="s">
        <v>50</v>
      </c>
      <c r="P8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1" s="84">
        <v>22</v>
      </c>
      <c r="R81" s="1" t="str" cm="1">
        <f t="array" ref="R81">_xlfn.IFS(TabelaClean[[#This Row],[qtde_batalhas]]&lt;=10,"Baixo",TabelaClean[[#This Row],[qtde_batalhas]]&gt;=26,"Alto",TabelaClean[[#This Row],[qtde_batalhas]]&lt;26,"Médio")</f>
        <v>Médio</v>
      </c>
      <c r="S81" s="1" t="str">
        <f>IF(AND(TabelaClean[[#This Row],[nivel_risco]]="Alto",TabelaClean[[#This Row],[flag_inadimplente]]="Sim"),"Arriscado","Ok")</f>
        <v>Ok</v>
      </c>
      <c r="T81" s="26">
        <v>62000</v>
      </c>
      <c r="U81" s="81">
        <f>IF(AND(TabelaClean[[#This Row],[analise_risco]]="Arriscado",TabelaClean[[#This Row],[analise_credito]]="Reprovado"),0,IF(TabelaClean[[#This Row],[status]]="Ativo",TabelaClean[[#This Row],[valor_solicitado]]*1.08,0))</f>
        <v>66960</v>
      </c>
      <c r="W81" s="1"/>
      <c r="Y81" t="s">
        <v>809</v>
      </c>
      <c r="Z81" t="str">
        <f t="shared" si="1"/>
        <v>Null</v>
      </c>
      <c r="AE81">
        <v>36900</v>
      </c>
      <c r="AF81" t="str">
        <f>TEXT(AE81,"000\.000\.000\-00")</f>
        <v>000.000.369-00</v>
      </c>
      <c r="AH81" s="15" t="s">
        <v>302</v>
      </c>
      <c r="AJ81" s="22">
        <v>29200</v>
      </c>
      <c r="AK81">
        <v>29200</v>
      </c>
      <c r="AM81" s="20">
        <v>45000</v>
      </c>
      <c r="AN81">
        <v>45000</v>
      </c>
      <c r="AO81">
        <v>45000</v>
      </c>
      <c r="AQ81" t="s">
        <v>79</v>
      </c>
      <c r="AZ81" s="39" t="s">
        <v>315</v>
      </c>
      <c r="BA81" t="s">
        <v>79</v>
      </c>
      <c r="BB81" s="26">
        <v>2600</v>
      </c>
      <c r="BC81" s="81">
        <f>IF(AND(TabelaClean[[#This Row],[analise_risco]]="Arriscado",TabelaClean[[#This Row],[analise_credito]]="Reprovado"),0,IF(TabelaClean[[#This Row],[status]]="Ativo",TabelaClean[[#This Row],[valor_solicitado]]*1.08,0))</f>
        <v>66960</v>
      </c>
    </row>
    <row r="82" spans="1:55">
      <c r="A82" s="24" t="s">
        <v>81</v>
      </c>
      <c r="B82" s="17" t="s">
        <v>869</v>
      </c>
      <c r="C82" s="25" t="s">
        <v>538</v>
      </c>
      <c r="D82" s="54">
        <v>74</v>
      </c>
      <c r="E82" s="30">
        <v>19073</v>
      </c>
      <c r="F82" s="24" t="str">
        <f>TabelaClean[[#This Row],[CidadeCPF]]</f>
        <v>Lannisporto</v>
      </c>
      <c r="G82" s="17" t="str">
        <f>TabelaClean[[#This Row],[RegiaoCPF]]</f>
        <v>Oeste</v>
      </c>
      <c r="H82" s="17" t="str">
        <f>_xlfn.XLOOKUP(TabelaClean[[#This Row],[cpf]],TabelaDirty[cpfclean],TabelaDirty[cidade])</f>
        <v>Lannisporto</v>
      </c>
      <c r="I82" s="17" t="s">
        <v>108</v>
      </c>
      <c r="J82" s="17" t="str">
        <f>PROPER(TabelaClean[[#This Row],[Coluna1]])</f>
        <v>Oeste</v>
      </c>
      <c r="K82" s="17" t="e">
        <f>_xlfn.TEXTBEFORE(TabelaClean[[#This Row],[CidadeCPF]]," | ")</f>
        <v>#N/A</v>
      </c>
      <c r="L82" s="24" t="e">
        <f>_xlfn.TEXTAFTER(TabelaClean[[#This Row],[CidadeCPF]]," | ")</f>
        <v>#N/A</v>
      </c>
      <c r="M82" s="26">
        <v>7100</v>
      </c>
      <c r="N82" s="78">
        <v>61500</v>
      </c>
      <c r="O82" s="1" t="s">
        <v>50</v>
      </c>
      <c r="P8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2" s="84">
        <v>1</v>
      </c>
      <c r="R82" s="1" t="str" cm="1">
        <f t="array" ref="R82">_xlfn.IFS(TabelaClean[[#This Row],[qtde_batalhas]]&lt;=10,"Baixo",TabelaClean[[#This Row],[qtde_batalhas]]&gt;=26,"Alto",TabelaClean[[#This Row],[qtde_batalhas]]&lt;26,"Médio")</f>
        <v>Baixo</v>
      </c>
      <c r="S82" s="1" t="str">
        <f>IF(AND(TabelaClean[[#This Row],[nivel_risco]]="Alto",TabelaClean[[#This Row],[flag_inadimplente]]="Sim"),"Arriscado","Ok")</f>
        <v>Ok</v>
      </c>
      <c r="T82" s="26">
        <v>50500</v>
      </c>
      <c r="U8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82" s="1"/>
      <c r="Y82" t="s">
        <v>142</v>
      </c>
      <c r="Z82" t="str">
        <f t="shared" si="1"/>
        <v>Norte</v>
      </c>
      <c r="AE82">
        <v>37000</v>
      </c>
      <c r="AF82" t="str">
        <f>TEXT(AE82,"000\.000\.000\-00")</f>
        <v>000.000.370-00</v>
      </c>
      <c r="AH82" s="15" t="s">
        <v>121</v>
      </c>
      <c r="AJ82" s="22">
        <v>22500</v>
      </c>
      <c r="AK82">
        <v>22500</v>
      </c>
      <c r="AM82" s="21">
        <v>55500</v>
      </c>
      <c r="AN82">
        <v>55500</v>
      </c>
      <c r="AO82">
        <v>55500</v>
      </c>
      <c r="AQ82" t="s">
        <v>79</v>
      </c>
      <c r="AZ82" s="38" t="s">
        <v>305</v>
      </c>
      <c r="BA82" t="s">
        <v>79</v>
      </c>
      <c r="BB82" s="26">
        <v>7100</v>
      </c>
      <c r="BC8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83" spans="1:55">
      <c r="A83" s="24" t="s">
        <v>76</v>
      </c>
      <c r="B83" s="17" t="s">
        <v>366</v>
      </c>
      <c r="C83" s="25" t="s">
        <v>870</v>
      </c>
      <c r="D83" s="54">
        <v>26</v>
      </c>
      <c r="E83" s="30">
        <v>36518</v>
      </c>
      <c r="F83" s="24" t="str">
        <f>TabelaClean[[#This Row],[CidadeCPF]]</f>
        <v>Ilha dos Ursos</v>
      </c>
      <c r="G83" s="17" t="str">
        <f>TabelaClean[[#This Row],[RegiaoCPF]]</f>
        <v>Norte</v>
      </c>
      <c r="H83" s="17" t="str">
        <f>_xlfn.XLOOKUP(TabelaClean[[#This Row],[cpf]],TabelaDirty[cpfclean],TabelaDirty[cidade])</f>
        <v>Ilha dos Ursos</v>
      </c>
      <c r="I83" s="17" t="str">
        <f>_xlfn.XLOOKUP(TabelaClean[[#This Row],[cpf]],TabelaDirty[cpfclean],TabelaDirty[regiao])</f>
        <v>Norte</v>
      </c>
      <c r="J83" s="17" t="str">
        <f>PROPER(TabelaClean[[#This Row],[Coluna1]])</f>
        <v>Norte</v>
      </c>
      <c r="K83" s="17" t="e">
        <f>_xlfn.TEXTBEFORE(TabelaClean[[#This Row],[CidadeCPF]]," | ")</f>
        <v>#N/A</v>
      </c>
      <c r="L83" s="24" t="e">
        <f>_xlfn.TEXTAFTER(TabelaClean[[#This Row],[CidadeCPF]]," | ")</f>
        <v>#N/A</v>
      </c>
      <c r="M83" s="26">
        <v>5000</v>
      </c>
      <c r="N83" s="78">
        <v>61500</v>
      </c>
      <c r="O83" s="1" t="s">
        <v>50</v>
      </c>
      <c r="P8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3" s="84">
        <v>35</v>
      </c>
      <c r="R83" s="1" t="str" cm="1">
        <f t="array" ref="R83">_xlfn.IFS(TabelaClean[[#This Row],[qtde_batalhas]]&lt;=10,"Baixo",TabelaClean[[#This Row],[qtde_batalhas]]&gt;=26,"Alto",TabelaClean[[#This Row],[qtde_batalhas]]&lt;26,"Médio")</f>
        <v>Alto</v>
      </c>
      <c r="S83" s="1" t="str">
        <f>IF(AND(TabelaClean[[#This Row],[nivel_risco]]="Alto",TabelaClean[[#This Row],[flag_inadimplente]]="Sim"),"Arriscado","Ok")</f>
        <v>Ok</v>
      </c>
      <c r="T83" s="26">
        <v>18500</v>
      </c>
      <c r="U83" s="81">
        <f>IF(AND(TabelaClean[[#This Row],[analise_risco]]="Arriscado",TabelaClean[[#This Row],[analise_credito]]="Reprovado"),0,IF(TabelaClean[[#This Row],[status]]="Ativo",TabelaClean[[#This Row],[valor_solicitado]]*1.08,0))</f>
        <v>19980</v>
      </c>
      <c r="W83" s="1"/>
      <c r="Y83" t="s">
        <v>809</v>
      </c>
      <c r="Z83" t="str">
        <f t="shared" si="1"/>
        <v>Null</v>
      </c>
      <c r="AE83">
        <v>37700</v>
      </c>
      <c r="AF83" t="str">
        <f>TEXT(AE83,"000\.000\.000\-00")</f>
        <v>000.000.377-00</v>
      </c>
      <c r="AH83" s="15" t="s">
        <v>154</v>
      </c>
      <c r="AJ83" s="22" t="s">
        <v>184</v>
      </c>
      <c r="AK83">
        <v>0</v>
      </c>
      <c r="AM83" s="20"/>
      <c r="AN83" t="s">
        <v>809</v>
      </c>
      <c r="AO83" t="s">
        <v>809</v>
      </c>
      <c r="AQ83" t="s">
        <v>154</v>
      </c>
      <c r="AZ83" s="39" t="s">
        <v>684</v>
      </c>
      <c r="BA83" t="s">
        <v>154</v>
      </c>
      <c r="BB83" s="26">
        <v>5000</v>
      </c>
      <c r="BC83" s="81">
        <f>IF(AND(TabelaClean[[#This Row],[analise_risco]]="Arriscado",TabelaClean[[#This Row],[analise_credito]]="Reprovado"),0,IF(TabelaClean[[#This Row],[status]]="Ativo",TabelaClean[[#This Row],[valor_solicitado]]*1.08,0))</f>
        <v>19980</v>
      </c>
    </row>
    <row r="84" spans="1:55">
      <c r="A84" s="24" t="s">
        <v>76</v>
      </c>
      <c r="B84" s="17" t="s">
        <v>488</v>
      </c>
      <c r="C84" s="25" t="s">
        <v>489</v>
      </c>
      <c r="D84" s="54" t="s">
        <v>809</v>
      </c>
      <c r="E84" s="30">
        <v>25925</v>
      </c>
      <c r="F84" s="24" t="str">
        <f>TabelaClean[[#This Row],[CidadeCPF]]</f>
        <v>Pyke</v>
      </c>
      <c r="G84" s="17" t="str">
        <f>TabelaClean[[#This Row],[RegiaoCPF]]</f>
        <v>Ilhas De Ferro</v>
      </c>
      <c r="H84" s="17" t="str">
        <f>_xlfn.XLOOKUP(TabelaClean[[#This Row],[cpf]],TabelaDirty[cpfclean],TabelaDirty[cidade])</f>
        <v>Pyke</v>
      </c>
      <c r="I84" s="17" t="str">
        <f>_xlfn.XLOOKUP(TabelaClean[[#This Row],[cpf]],TabelaDirty[cpfclean],TabelaDirty[regiao])</f>
        <v>ILHAS DE FERRO</v>
      </c>
      <c r="J84" s="17" t="str">
        <f>PROPER(TabelaClean[[#This Row],[Coluna1]])</f>
        <v>Ilhas De Ferro</v>
      </c>
      <c r="K84" s="17" t="e">
        <f>_xlfn.TEXTBEFORE(TabelaClean[[#This Row],[CidadeCPF]]," | ")</f>
        <v>#N/A</v>
      </c>
      <c r="L84" s="24" t="e">
        <f>_xlfn.TEXTAFTER(TabelaClean[[#This Row],[CidadeCPF]]," | ")</f>
        <v>#N/A</v>
      </c>
      <c r="M84" s="26">
        <v>20200</v>
      </c>
      <c r="N84" s="78">
        <v>61000</v>
      </c>
      <c r="O84" s="1" t="s">
        <v>50</v>
      </c>
      <c r="P8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4" s="84">
        <v>10</v>
      </c>
      <c r="R84" s="1" t="str" cm="1">
        <f t="array" ref="R84">_xlfn.IFS(TabelaClean[[#This Row],[qtde_batalhas]]&lt;=10,"Baixo",TabelaClean[[#This Row],[qtde_batalhas]]&gt;=26,"Alto",TabelaClean[[#This Row],[qtde_batalhas]]&lt;26,"Médio")</f>
        <v>Baixo</v>
      </c>
      <c r="S84" s="1" t="str">
        <f>IF(AND(TabelaClean[[#This Row],[nivel_risco]]="Alto",TabelaClean[[#This Row],[flag_inadimplente]]="Sim"),"Arriscado","Ok")</f>
        <v>Ok</v>
      </c>
      <c r="T84" s="26">
        <v>6500</v>
      </c>
      <c r="U84" s="81">
        <f>IF(AND(TabelaClean[[#This Row],[analise_risco]]="Arriscado",TabelaClean[[#This Row],[analise_credito]]="Reprovado"),0,IF(TabelaClean[[#This Row],[status]]="Ativo",TabelaClean[[#This Row],[valor_solicitado]]*1.08,0))</f>
        <v>7020.0000000000009</v>
      </c>
      <c r="W84" s="1"/>
      <c r="Y84" t="s">
        <v>108</v>
      </c>
      <c r="Z84" t="str">
        <f t="shared" si="1"/>
        <v>Oeste</v>
      </c>
      <c r="AE84" t="s">
        <v>584</v>
      </c>
      <c r="AF84" t="str">
        <f>TEXT(AE84,"000\.000\.000\-00")</f>
        <v>000.000.001-00</v>
      </c>
      <c r="AH84" s="15" t="s">
        <v>127</v>
      </c>
      <c r="AJ84" s="22">
        <v>24000</v>
      </c>
      <c r="AK84">
        <v>24000</v>
      </c>
      <c r="AM84" s="21">
        <v>35000</v>
      </c>
      <c r="AN84">
        <v>35000</v>
      </c>
      <c r="AO84">
        <v>35000</v>
      </c>
      <c r="AQ84" t="s">
        <v>112</v>
      </c>
      <c r="AZ84" s="38" t="s">
        <v>259</v>
      </c>
      <c r="BA84" t="s">
        <v>112</v>
      </c>
      <c r="BB84" s="26">
        <v>20200</v>
      </c>
      <c r="BC84" s="81">
        <f>IF(AND(TabelaClean[[#This Row],[analise_risco]]="Arriscado",TabelaClean[[#This Row],[analise_credito]]="Reprovado"),0,IF(TabelaClean[[#This Row],[status]]="Ativo",TabelaClean[[#This Row],[valor_solicitado]]*1.08,0))</f>
        <v>7020.0000000000009</v>
      </c>
    </row>
    <row r="85" spans="1:55">
      <c r="A85" s="24" t="s">
        <v>76</v>
      </c>
      <c r="B85" s="17" t="s">
        <v>474</v>
      </c>
      <c r="C85" s="25" t="s">
        <v>475</v>
      </c>
      <c r="D85" s="54">
        <v>56</v>
      </c>
      <c r="E85" s="30">
        <v>25808</v>
      </c>
      <c r="F85" s="24" t="str">
        <f>TabelaClean[[#This Row],[CidadeCPF]]</f>
        <v>Vilavelha</v>
      </c>
      <c r="G85" s="17" t="str">
        <f>TabelaClean[[#This Row],[RegiaoCPF]]</f>
        <v>Campina</v>
      </c>
      <c r="H85" s="17" t="str">
        <f>_xlfn.XLOOKUP(TabelaClean[[#This Row],[cpf]],TabelaDirty[cpfclean],TabelaDirty[cidade])</f>
        <v>Vilavelha</v>
      </c>
      <c r="I85" s="17" t="str">
        <f>_xlfn.XLOOKUP(TabelaClean[[#This Row],[cpf]],TabelaDirty[cpfclean],TabelaDirty[regiao])</f>
        <v>Campina</v>
      </c>
      <c r="J85" s="17" t="str">
        <f>PROPER(TabelaClean[[#This Row],[Coluna1]])</f>
        <v>Campina</v>
      </c>
      <c r="K85" s="17" t="e">
        <f>_xlfn.TEXTBEFORE(TabelaClean[[#This Row],[CidadeCPF]]," | ")</f>
        <v>#N/A</v>
      </c>
      <c r="L85" s="24" t="e">
        <f>_xlfn.TEXTAFTER(TabelaClean[[#This Row],[CidadeCPF]]," | ")</f>
        <v>#N/A</v>
      </c>
      <c r="M85" s="26">
        <v>5400</v>
      </c>
      <c r="N85" s="78">
        <v>61000</v>
      </c>
      <c r="O85" s="1" t="s">
        <v>50</v>
      </c>
      <c r="P8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5" s="84">
        <v>12</v>
      </c>
      <c r="R85" s="1" t="str" cm="1">
        <f t="array" ref="R85">_xlfn.IFS(TabelaClean[[#This Row],[qtde_batalhas]]&lt;=10,"Baixo",TabelaClean[[#This Row],[qtde_batalhas]]&gt;=26,"Alto",TabelaClean[[#This Row],[qtde_batalhas]]&lt;26,"Médio")</f>
        <v>Médio</v>
      </c>
      <c r="S85" s="1" t="str">
        <f>IF(AND(TabelaClean[[#This Row],[nivel_risco]]="Alto",TabelaClean[[#This Row],[flag_inadimplente]]="Sim"),"Arriscado","Ok")</f>
        <v>Ok</v>
      </c>
      <c r="T85" s="26">
        <v>96500</v>
      </c>
      <c r="U85" s="81">
        <f>IF(AND(TabelaClean[[#This Row],[analise_risco]]="Arriscado",TabelaClean[[#This Row],[analise_credito]]="Reprovado"),0,IF(TabelaClean[[#This Row],[status]]="Ativo",TabelaClean[[#This Row],[valor_solicitado]]*1.08,0))</f>
        <v>104220</v>
      </c>
      <c r="W85" s="1"/>
      <c r="Y85" t="s">
        <v>809</v>
      </c>
      <c r="Z85" t="str">
        <f t="shared" si="1"/>
        <v>Null</v>
      </c>
      <c r="AE85" t="s">
        <v>576</v>
      </c>
      <c r="AF85" t="str">
        <f>TEXT(AE85,"000\.000\.000\-00")</f>
        <v>000.000.003-00</v>
      </c>
      <c r="AH85" s="15" t="s">
        <v>138</v>
      </c>
      <c r="AJ85" s="22">
        <v>7100</v>
      </c>
      <c r="AK85">
        <v>7100</v>
      </c>
      <c r="AM85" s="20" t="s">
        <v>143</v>
      </c>
      <c r="AN85" t="s">
        <v>809</v>
      </c>
      <c r="AO85" t="s">
        <v>809</v>
      </c>
      <c r="AQ85" t="s">
        <v>141</v>
      </c>
      <c r="AZ85" s="39" t="s">
        <v>871</v>
      </c>
      <c r="BA85" t="s">
        <v>141</v>
      </c>
      <c r="BB85" s="26">
        <v>5400</v>
      </c>
      <c r="BC85" s="81">
        <f>IF(AND(TabelaClean[[#This Row],[analise_risco]]="Arriscado",TabelaClean[[#This Row],[analise_credito]]="Reprovado"),0,IF(TabelaClean[[#This Row],[status]]="Ativo",TabelaClean[[#This Row],[valor_solicitado]]*1.08,0))</f>
        <v>104220</v>
      </c>
    </row>
    <row r="86" spans="1:55">
      <c r="A86" s="24" t="s">
        <v>76</v>
      </c>
      <c r="B86" s="17" t="s">
        <v>579</v>
      </c>
      <c r="C86" s="25" t="s">
        <v>872</v>
      </c>
      <c r="D86" s="54">
        <v>60</v>
      </c>
      <c r="E86" s="30">
        <v>24100</v>
      </c>
      <c r="F86" s="25" t="s">
        <v>138</v>
      </c>
      <c r="G86" s="25" t="s">
        <v>139</v>
      </c>
      <c r="H86" s="24">
        <v>9700</v>
      </c>
      <c r="I86" s="24">
        <v>61000</v>
      </c>
      <c r="J86" s="24" t="s">
        <v>51</v>
      </c>
      <c r="K86" s="24">
        <v>9</v>
      </c>
      <c r="L86" s="24"/>
      <c r="M86" s="26">
        <v>88000</v>
      </c>
      <c r="N86" s="78">
        <v>61000</v>
      </c>
      <c r="O86" s="1" t="s">
        <v>51</v>
      </c>
      <c r="P8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86" s="84">
        <v>9</v>
      </c>
      <c r="R86" s="76" t="str" cm="1">
        <f t="array" ref="R86">_xlfn.IFS(TabelaClean[[#This Row],[qtde_batalhas]]&lt;=10,"Baixo",TabelaClean[[#This Row],[qtde_batalhas]]&gt;=26,"Alto",TabelaClean[[#This Row],[qtde_batalhas]]&lt;26,"Médio")</f>
        <v>Baixo</v>
      </c>
      <c r="S86" s="76" t="str">
        <f>IF(AND(TabelaClean[[#This Row],[nivel_risco]]="Alto",TabelaClean[[#This Row],[flag_inadimplente]]="Sim"),"Arriscado","Ok")</f>
        <v>Ok</v>
      </c>
      <c r="T86" s="26">
        <v>88000</v>
      </c>
      <c r="U86" s="81">
        <f>IF(AND(TabelaClean[[#This Row],[analise_risco]]="Arriscado",TabelaClean[[#This Row],[analise_credito]]="Reprovado"),0,IF(TabelaClean[[#This Row],[status]]="Ativo",TabelaClean[[#This Row],[valor_solicitado]]*1.08,0))</f>
        <v>95040</v>
      </c>
      <c r="W86" s="1"/>
      <c r="Y86" t="s">
        <v>809</v>
      </c>
      <c r="Z86" t="str">
        <f t="shared" si="1"/>
        <v>Null</v>
      </c>
      <c r="AE86" t="s">
        <v>197</v>
      </c>
      <c r="AF86" t="str">
        <f>TEXT(AE86,"000\.000\.000\-00")</f>
        <v>000.000.005-00</v>
      </c>
      <c r="AH86" s="15" t="s">
        <v>103</v>
      </c>
      <c r="AJ86" s="22">
        <v>18200</v>
      </c>
      <c r="AK86">
        <v>18200</v>
      </c>
      <c r="AM86" s="21">
        <v>78500</v>
      </c>
      <c r="AN86">
        <v>78500</v>
      </c>
      <c r="AO86">
        <v>78500</v>
      </c>
      <c r="AQ86" t="s">
        <v>89</v>
      </c>
      <c r="AZ86" s="38" t="s">
        <v>571</v>
      </c>
      <c r="BA86" t="s">
        <v>89</v>
      </c>
      <c r="BB86" s="26">
        <v>88000</v>
      </c>
      <c r="BC86" s="81">
        <f>IF(AND(TabelaClean[[#This Row],[analise_risco]]="Arriscado",TabelaClean[[#This Row],[analise_credito]]="Reprovado"),0,IF(TabelaClean[[#This Row],[status]]="Ativo",TabelaClean[[#This Row],[valor_solicitado]]*1.08,0))</f>
        <v>95040</v>
      </c>
    </row>
    <row r="87" spans="1:55">
      <c r="A87" s="24" t="s">
        <v>76</v>
      </c>
      <c r="B87" s="17" t="s">
        <v>873</v>
      </c>
      <c r="C87" s="25" t="s">
        <v>874</v>
      </c>
      <c r="D87" s="54" t="s">
        <v>875</v>
      </c>
      <c r="E87" s="30" t="s">
        <v>809</v>
      </c>
      <c r="F87" s="24" t="str">
        <f>TabelaClean[[#This Row],[CidadeCPF]]</f>
        <v>Castelo Negro</v>
      </c>
      <c r="G87" s="17" t="str">
        <f>TabelaClean[[#This Row],[RegiaoCPF]]</f>
        <v>Norte</v>
      </c>
      <c r="H87" s="17" t="str">
        <f>_xlfn.XLOOKUP(TabelaClean[[#This Row],[cpf]],TabelaDirty[cpfclean],TabelaDirty[cidade])</f>
        <v>Castelo Negro</v>
      </c>
      <c r="I87" s="17" t="str">
        <f>_xlfn.XLOOKUP(TabelaClean[[#This Row],[cpf]],TabelaDirty[cpfclean],TabelaDirty[regiao])</f>
        <v>Norte</v>
      </c>
      <c r="J87" s="17" t="str">
        <f>PROPER(TabelaClean[[#This Row],[Coluna1]])</f>
        <v>Norte</v>
      </c>
      <c r="K87" s="17" t="e">
        <f>_xlfn.TEXTBEFORE(TabelaClean[[#This Row],[CidadeCPF]]," | ")</f>
        <v>#N/A</v>
      </c>
      <c r="L87" s="24" t="e">
        <f>_xlfn.TEXTAFTER(TabelaClean[[#This Row],[CidadeCPF]]," | ")</f>
        <v>#N/A</v>
      </c>
      <c r="M87" s="26">
        <v>21300</v>
      </c>
      <c r="N87" s="78">
        <v>60500</v>
      </c>
      <c r="O87" s="1" t="s">
        <v>50</v>
      </c>
      <c r="P8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7" s="84">
        <v>15</v>
      </c>
      <c r="R87" s="1" t="str" cm="1">
        <f t="array" ref="R87">_xlfn.IFS(TabelaClean[[#This Row],[qtde_batalhas]]&lt;=10,"Baixo",TabelaClean[[#This Row],[qtde_batalhas]]&gt;=26,"Alto",TabelaClean[[#This Row],[qtde_batalhas]]&lt;26,"Médio")</f>
        <v>Médio</v>
      </c>
      <c r="S87" s="1" t="str">
        <f>IF(AND(TabelaClean[[#This Row],[nivel_risco]]="Alto",TabelaClean[[#This Row],[flag_inadimplente]]="Sim"),"Arriscado","Ok")</f>
        <v>Ok</v>
      </c>
      <c r="T87" s="26">
        <v>74500</v>
      </c>
      <c r="U87" s="81">
        <f>IF(AND(TabelaClean[[#This Row],[analise_risco]]="Arriscado",TabelaClean[[#This Row],[analise_credito]]="Reprovado"),0,IF(TabelaClean[[#This Row],[status]]="Ativo",TabelaClean[[#This Row],[valor_solicitado]]*1.08,0))</f>
        <v>80460</v>
      </c>
      <c r="W87" s="1"/>
      <c r="Y87" t="s">
        <v>809</v>
      </c>
      <c r="Z87" t="str">
        <f t="shared" si="1"/>
        <v>Null</v>
      </c>
      <c r="AE87" t="s">
        <v>535</v>
      </c>
      <c r="AF87" t="str">
        <f>TEXT(AE87,"000\.000\.000\-00")</f>
        <v>000.000.009-00</v>
      </c>
      <c r="AH87" s="15" t="s">
        <v>302</v>
      </c>
      <c r="AK87" t="s">
        <v>809</v>
      </c>
      <c r="AM87" s="20">
        <v>5000</v>
      </c>
      <c r="AN87">
        <v>5000</v>
      </c>
      <c r="AO87">
        <v>5000</v>
      </c>
      <c r="AQ87" t="s">
        <v>183</v>
      </c>
      <c r="AZ87" s="39" t="s">
        <v>548</v>
      </c>
      <c r="BA87" t="s">
        <v>183</v>
      </c>
      <c r="BB87" s="26">
        <v>21300</v>
      </c>
      <c r="BC87" s="81">
        <f>IF(AND(TabelaClean[[#This Row],[analise_risco]]="Arriscado",TabelaClean[[#This Row],[analise_credito]]="Reprovado"),0,IF(TabelaClean[[#This Row],[status]]="Ativo",TabelaClean[[#This Row],[valor_solicitado]]*1.08,0))</f>
        <v>80460</v>
      </c>
    </row>
    <row r="88" spans="1:55">
      <c r="A88" s="24" t="s">
        <v>76</v>
      </c>
      <c r="B88" s="17" t="s">
        <v>554</v>
      </c>
      <c r="C88" s="25" t="s">
        <v>876</v>
      </c>
      <c r="D88" s="54">
        <v>38</v>
      </c>
      <c r="E88" s="30">
        <v>32152</v>
      </c>
      <c r="F88" s="17" t="str">
        <f>TabelaClean[[#This Row],[CidadeClean]]</f>
        <v>Monte Chifre</v>
      </c>
      <c r="G88" s="17" t="str">
        <f>TabelaClean[[#This Row],[RegiaoClean]]</f>
        <v>Campina</v>
      </c>
      <c r="H88" s="17" t="str">
        <f>_xlfn.XLOOKUP(TabelaClean[[#This Row],[cpf]],TabelaDirty[cpfclean],TabelaDirty[cidade])</f>
        <v>Monte Chifre | Campina</v>
      </c>
      <c r="I88" s="17">
        <f>_xlfn.XLOOKUP(TabelaClean[[#This Row],[cpf]],TabelaDirty[cpfclean],TabelaDirty[regiao])</f>
        <v>0</v>
      </c>
      <c r="J88" s="17" t="s">
        <v>149</v>
      </c>
      <c r="K88" s="17" t="str">
        <f>_xlfn.TEXTBEFORE(TabelaClean[[#This Row],[CidadeCPF]]," | ")</f>
        <v>Monte Chifre</v>
      </c>
      <c r="L88" s="24" t="str">
        <f>_xlfn.TEXTAFTER(TabelaClean[[#This Row],[CidadeCPF]]," | ")</f>
        <v>Campina</v>
      </c>
      <c r="M88" s="26">
        <v>2000</v>
      </c>
      <c r="N88" s="78">
        <v>60000</v>
      </c>
      <c r="O88" s="1" t="s">
        <v>50</v>
      </c>
      <c r="P8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8" s="84">
        <v>18</v>
      </c>
      <c r="R88" s="1" t="str" cm="1">
        <f t="array" ref="R88">_xlfn.IFS(TabelaClean[[#This Row],[qtde_batalhas]]&lt;=10,"Baixo",TabelaClean[[#This Row],[qtde_batalhas]]&gt;=26,"Alto",TabelaClean[[#This Row],[qtde_batalhas]]&lt;26,"Médio")</f>
        <v>Médio</v>
      </c>
      <c r="S88" s="1" t="str">
        <f>IF(AND(TabelaClean[[#This Row],[nivel_risco]]="Alto",TabelaClean[[#This Row],[flag_inadimplente]]="Sim"),"Arriscado","Ok")</f>
        <v>Ok</v>
      </c>
      <c r="T88" s="26">
        <v>54000</v>
      </c>
      <c r="U88" s="81">
        <f>IF(AND(TabelaClean[[#This Row],[analise_risco]]="Arriscado",TabelaClean[[#This Row],[analise_credito]]="Reprovado"),0,IF(TabelaClean[[#This Row],[status]]="Ativo",TabelaClean[[#This Row],[valor_solicitado]]*1.08,0))</f>
        <v>58320.000000000007</v>
      </c>
      <c r="W88" s="1"/>
      <c r="Y88" t="s">
        <v>809</v>
      </c>
      <c r="Z88" t="str">
        <f t="shared" si="1"/>
        <v>Null</v>
      </c>
      <c r="AE88" t="s">
        <v>298</v>
      </c>
      <c r="AF88" t="str">
        <f>TEXT(AE88,"000\.000\.000\-00")</f>
        <v>000.000.011-00</v>
      </c>
      <c r="AH88" s="15" t="s">
        <v>215</v>
      </c>
      <c r="AJ88" s="22">
        <v>22700</v>
      </c>
      <c r="AK88">
        <v>22700</v>
      </c>
      <c r="AM88" s="21">
        <v>8500</v>
      </c>
      <c r="AN88">
        <v>8500</v>
      </c>
      <c r="AO88">
        <v>8500</v>
      </c>
      <c r="AQ88" t="s">
        <v>162</v>
      </c>
      <c r="AZ88" s="38" t="s">
        <v>877</v>
      </c>
      <c r="BA88" t="s">
        <v>162</v>
      </c>
      <c r="BB88" s="26">
        <v>2000</v>
      </c>
      <c r="BC88" s="81">
        <f>IF(AND(TabelaClean[[#This Row],[analise_risco]]="Arriscado",TabelaClean[[#This Row],[analise_credito]]="Reprovado"),0,IF(TabelaClean[[#This Row],[status]]="Ativo",TabelaClean[[#This Row],[valor_solicitado]]*1.08,0))</f>
        <v>58320.000000000007</v>
      </c>
    </row>
    <row r="89" spans="1:55">
      <c r="A89" s="24" t="s">
        <v>76</v>
      </c>
      <c r="B89" s="17" t="s">
        <v>606</v>
      </c>
      <c r="C89" s="25" t="s">
        <v>607</v>
      </c>
      <c r="D89" s="54">
        <v>27</v>
      </c>
      <c r="E89" s="30">
        <v>36316</v>
      </c>
      <c r="F89" s="24" t="str">
        <f>TabelaClean[[#This Row],[CidadeCPF]]</f>
        <v>Vilavelha</v>
      </c>
      <c r="G89" s="17" t="str">
        <f>TabelaClean[[#This Row],[RegiaoCPF]]</f>
        <v>Campina</v>
      </c>
      <c r="H89" s="17" t="str">
        <f>_xlfn.XLOOKUP(TabelaClean[[#This Row],[cpf]],TabelaDirty[cpfclean],TabelaDirty[cidade])</f>
        <v>Vilavelha</v>
      </c>
      <c r="I89" s="17" t="str">
        <f>_xlfn.XLOOKUP(TabelaClean[[#This Row],[cpf]],TabelaDirty[cpfclean],TabelaDirty[regiao])</f>
        <v>campina</v>
      </c>
      <c r="J89" s="17" t="str">
        <f>PROPER(TabelaClean[[#This Row],[Coluna1]])</f>
        <v>Campina</v>
      </c>
      <c r="K89" s="17" t="e">
        <f>_xlfn.TEXTBEFORE(TabelaClean[[#This Row],[CidadeCPF]]," | ")</f>
        <v>#N/A</v>
      </c>
      <c r="L89" s="24" t="e">
        <f>_xlfn.TEXTAFTER(TabelaClean[[#This Row],[CidadeCPF]]," | ")</f>
        <v>#N/A</v>
      </c>
      <c r="M89" s="26">
        <v>10700</v>
      </c>
      <c r="N89" s="78">
        <v>60000</v>
      </c>
      <c r="O89" s="1" t="s">
        <v>50</v>
      </c>
      <c r="P8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89" s="84">
        <v>44</v>
      </c>
      <c r="R89" s="1" t="str" cm="1">
        <f t="array" ref="R89">_xlfn.IFS(TabelaClean[[#This Row],[qtde_batalhas]]&lt;=10,"Baixo",TabelaClean[[#This Row],[qtde_batalhas]]&gt;=26,"Alto",TabelaClean[[#This Row],[qtde_batalhas]]&lt;26,"Médio")</f>
        <v>Alto</v>
      </c>
      <c r="S89" s="1" t="str">
        <f>IF(AND(TabelaClean[[#This Row],[nivel_risco]]="Alto",TabelaClean[[#This Row],[flag_inadimplente]]="Sim"),"Arriscado","Ok")</f>
        <v>Ok</v>
      </c>
      <c r="T89" s="26">
        <v>48000</v>
      </c>
      <c r="U89" s="81">
        <f>IF(AND(TabelaClean[[#This Row],[analise_risco]]="Arriscado",TabelaClean[[#This Row],[analise_credito]]="Reprovado"),0,IF(TabelaClean[[#This Row],[status]]="Ativo",TabelaClean[[#This Row],[valor_solicitado]]*1.08,0))</f>
        <v>51840</v>
      </c>
      <c r="W89" s="1"/>
      <c r="Y89" t="s">
        <v>809</v>
      </c>
      <c r="Z89" t="str">
        <f t="shared" si="1"/>
        <v>Null</v>
      </c>
      <c r="AE89" t="s">
        <v>455</v>
      </c>
      <c r="AF89" t="str">
        <f>TEXT(AE89,"000\.000\.000\-00")</f>
        <v>000.000.012-00</v>
      </c>
      <c r="AH89" s="15" t="s">
        <v>242</v>
      </c>
      <c r="AJ89" s="22" t="s">
        <v>635</v>
      </c>
      <c r="AK89">
        <v>9200</v>
      </c>
      <c r="AM89" s="20">
        <v>68500</v>
      </c>
      <c r="AN89">
        <v>68500</v>
      </c>
      <c r="AO89">
        <v>68500</v>
      </c>
      <c r="AQ89" t="s">
        <v>79</v>
      </c>
      <c r="AZ89" s="39" t="s">
        <v>99</v>
      </c>
      <c r="BA89" t="s">
        <v>79</v>
      </c>
      <c r="BB89" s="26">
        <v>10700</v>
      </c>
      <c r="BC89" s="81">
        <f>IF(AND(TabelaClean[[#This Row],[analise_risco]]="Arriscado",TabelaClean[[#This Row],[analise_credito]]="Reprovado"),0,IF(TabelaClean[[#This Row],[status]]="Ativo",TabelaClean[[#This Row],[valor_solicitado]]*1.08,0))</f>
        <v>51840</v>
      </c>
    </row>
    <row r="90" spans="1:55">
      <c r="A90" s="24" t="s">
        <v>81</v>
      </c>
      <c r="B90" s="17" t="s">
        <v>513</v>
      </c>
      <c r="C90" s="25" t="s">
        <v>514</v>
      </c>
      <c r="D90" s="54">
        <v>49</v>
      </c>
      <c r="E90" s="30">
        <v>28049</v>
      </c>
      <c r="F90" s="24" t="str">
        <f>TabelaClean[[#This Row],[CidadeCPF]]</f>
        <v>Castelo Negro</v>
      </c>
      <c r="G90" s="17" t="str">
        <f>TabelaClean[[#This Row],[RegiaoCPF]]</f>
        <v>Norte</v>
      </c>
      <c r="H90" s="17" t="str">
        <f>_xlfn.XLOOKUP(TabelaClean[[#This Row],[cpf]],TabelaDirty[cpfclean],TabelaDirty[cidade])</f>
        <v>Castelo Negro</v>
      </c>
      <c r="I90" s="17" t="str">
        <f>_xlfn.XLOOKUP(TabelaClean[[#This Row],[cpf]],TabelaDirty[cpfclean],TabelaDirty[regiao])</f>
        <v>Norte</v>
      </c>
      <c r="J90" s="17" t="str">
        <f>PROPER(TabelaClean[[#This Row],[Coluna1]])</f>
        <v>Norte</v>
      </c>
      <c r="K90" s="17" t="e">
        <f>_xlfn.TEXTBEFORE(TabelaClean[[#This Row],[CidadeCPF]]," | ")</f>
        <v>#N/A</v>
      </c>
      <c r="L90" s="24" t="e">
        <f>_xlfn.TEXTAFTER(TabelaClean[[#This Row],[CidadeCPF]]," | ")</f>
        <v>#N/A</v>
      </c>
      <c r="M90" s="26">
        <v>25200</v>
      </c>
      <c r="N90" s="78">
        <v>59500</v>
      </c>
      <c r="O90" s="1" t="s">
        <v>50</v>
      </c>
      <c r="P9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0" s="84">
        <v>37</v>
      </c>
      <c r="R90" s="1" t="str" cm="1">
        <f t="array" ref="R90">_xlfn.IFS(TabelaClean[[#This Row],[qtde_batalhas]]&lt;=10,"Baixo",TabelaClean[[#This Row],[qtde_batalhas]]&gt;=26,"Alto",TabelaClean[[#This Row],[qtde_batalhas]]&lt;26,"Médio")</f>
        <v>Alto</v>
      </c>
      <c r="S90" s="1" t="str">
        <f>IF(AND(TabelaClean[[#This Row],[nivel_risco]]="Alto",TabelaClean[[#This Row],[flag_inadimplente]]="Sim"),"Arriscado","Ok")</f>
        <v>Ok</v>
      </c>
      <c r="T90" s="26">
        <v>86500</v>
      </c>
      <c r="U9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90" s="1"/>
      <c r="Y90" t="s">
        <v>413</v>
      </c>
      <c r="Z90" t="str">
        <f t="shared" si="1"/>
        <v>Terras Da Coroa</v>
      </c>
      <c r="AE90" t="s">
        <v>767</v>
      </c>
      <c r="AF90" t="str">
        <f>TEXT(AE90,"000\.000\.000\-00")</f>
        <v>000.000.013-00</v>
      </c>
      <c r="AH90" s="15" t="s">
        <v>210</v>
      </c>
      <c r="AJ90" s="22">
        <v>6100</v>
      </c>
      <c r="AK90">
        <v>6100</v>
      </c>
      <c r="AM90" s="21" t="s">
        <v>414</v>
      </c>
      <c r="AN90" t="s">
        <v>809</v>
      </c>
      <c r="AO90" t="s">
        <v>809</v>
      </c>
      <c r="AQ90" t="s">
        <v>215</v>
      </c>
      <c r="AZ90" s="38" t="s">
        <v>878</v>
      </c>
      <c r="BA90" t="s">
        <v>215</v>
      </c>
      <c r="BB90" s="26">
        <v>25200</v>
      </c>
      <c r="BC9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91" spans="1:55">
      <c r="A91" s="24" t="s">
        <v>81</v>
      </c>
      <c r="B91" s="17" t="s">
        <v>674</v>
      </c>
      <c r="C91" s="25" t="s">
        <v>675</v>
      </c>
      <c r="D91" s="54">
        <v>33</v>
      </c>
      <c r="E91" s="30">
        <v>33989</v>
      </c>
      <c r="F91" s="24" t="str">
        <f>TabelaClean[[#This Row],[CidadeCPF]]</f>
        <v>Porto Real</v>
      </c>
      <c r="G91" s="17" t="str">
        <f>TabelaClean[[#This Row],[RegiaoCPF]]</f>
        <v>Terras Da Coroa</v>
      </c>
      <c r="H91" s="17" t="str">
        <f>_xlfn.XLOOKUP(TabelaClean[[#This Row],[cpf]],TabelaDirty[cpfclean],TabelaDirty[cidade])</f>
        <v>Porto Real</v>
      </c>
      <c r="I91" s="17" t="str">
        <f>_xlfn.XLOOKUP(TabelaClean[[#This Row],[cpf]],TabelaDirty[cpfclean],TabelaDirty[regiao])</f>
        <v>TERRAS DA COROA</v>
      </c>
      <c r="J91" s="17" t="str">
        <f>PROPER(TabelaClean[[#This Row],[Coluna1]])</f>
        <v>Terras Da Coroa</v>
      </c>
      <c r="K91" s="17" t="e">
        <f>_xlfn.TEXTBEFORE(TabelaClean[[#This Row],[CidadeCPF]]," | ")</f>
        <v>#N/A</v>
      </c>
      <c r="L91" s="24" t="e">
        <f>_xlfn.TEXTAFTER(TabelaClean[[#This Row],[CidadeCPF]]," | ")</f>
        <v>#N/A</v>
      </c>
      <c r="M91" s="26">
        <v>23400</v>
      </c>
      <c r="N91" s="78">
        <v>59000</v>
      </c>
      <c r="O91" s="1" t="s">
        <v>51</v>
      </c>
      <c r="P9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91" s="84">
        <v>35</v>
      </c>
      <c r="R91" s="1" t="str" cm="1">
        <f t="array" ref="R91">_xlfn.IFS(TabelaClean[[#This Row],[qtde_batalhas]]&lt;=10,"Baixo",TabelaClean[[#This Row],[qtde_batalhas]]&gt;=26,"Alto",TabelaClean[[#This Row],[qtde_batalhas]]&lt;26,"Médio")</f>
        <v>Alto</v>
      </c>
      <c r="S91" s="1" t="str">
        <f>IF(AND(TabelaClean[[#This Row],[nivel_risco]]="Alto",TabelaClean[[#This Row],[flag_inadimplente]]="Sim"),"Arriscado","Ok")</f>
        <v>Arriscado</v>
      </c>
      <c r="T91" s="26">
        <v>39000</v>
      </c>
      <c r="U9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91" s="1"/>
      <c r="Y91" t="s">
        <v>809</v>
      </c>
      <c r="Z91" t="str">
        <f t="shared" si="1"/>
        <v>Null</v>
      </c>
      <c r="AE91" t="s">
        <v>261</v>
      </c>
      <c r="AF91" t="str">
        <f>TEXT(AE91,"000\.000\.000\-00")</f>
        <v>000.000.014-00</v>
      </c>
      <c r="AH91" s="15" t="s">
        <v>210</v>
      </c>
      <c r="AJ91" s="22" t="s">
        <v>680</v>
      </c>
      <c r="AK91">
        <v>29700</v>
      </c>
      <c r="AM91" s="20" t="s">
        <v>550</v>
      </c>
      <c r="AN91" t="s">
        <v>809</v>
      </c>
      <c r="AO91" t="s">
        <v>809</v>
      </c>
      <c r="AQ91" t="s">
        <v>89</v>
      </c>
      <c r="AZ91" s="39" t="s">
        <v>580</v>
      </c>
      <c r="BA91" t="s">
        <v>89</v>
      </c>
      <c r="BB91" s="26">
        <v>23400</v>
      </c>
      <c r="BC9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92" spans="1:55">
      <c r="A92" s="24" t="s">
        <v>76</v>
      </c>
      <c r="B92" s="17" t="s">
        <v>543</v>
      </c>
      <c r="C92" s="25" t="s">
        <v>879</v>
      </c>
      <c r="D92" s="54">
        <v>42</v>
      </c>
      <c r="E92" s="30">
        <v>30724</v>
      </c>
      <c r="F92" s="24" t="str">
        <f>TabelaClean[[#This Row],[CidadeCPF]]</f>
        <v>Ilha dos Ursos</v>
      </c>
      <c r="G92" s="17" t="str">
        <f>TabelaClean[[#This Row],[RegiaoCPF]]</f>
        <v>Norte</v>
      </c>
      <c r="H92" s="17" t="str">
        <f>_xlfn.XLOOKUP(TabelaClean[[#This Row],[cpf]],TabelaDirty[cpfclean],TabelaDirty[cidade])</f>
        <v>Ilha dos Ursos</v>
      </c>
      <c r="I92" s="17" t="str">
        <f>_xlfn.XLOOKUP(TabelaClean[[#This Row],[cpf]],TabelaDirty[cpfclean],TabelaDirty[regiao])</f>
        <v>Norte</v>
      </c>
      <c r="J92" s="17" t="str">
        <f>PROPER(TabelaClean[[#This Row],[Coluna1]])</f>
        <v>Norte</v>
      </c>
      <c r="K92" s="17" t="e">
        <f>_xlfn.TEXTBEFORE(TabelaClean[[#This Row],[CidadeCPF]]," | ")</f>
        <v>#N/A</v>
      </c>
      <c r="L92" s="24" t="e">
        <f>_xlfn.TEXTAFTER(TabelaClean[[#This Row],[CidadeCPF]]," | ")</f>
        <v>#N/A</v>
      </c>
      <c r="M92" s="26">
        <v>18500</v>
      </c>
      <c r="N92" s="78">
        <v>59000</v>
      </c>
      <c r="O92" s="1" t="s">
        <v>50</v>
      </c>
      <c r="P9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2" s="84">
        <v>44</v>
      </c>
      <c r="R92" s="1" t="str" cm="1">
        <f t="array" ref="R92">_xlfn.IFS(TabelaClean[[#This Row],[qtde_batalhas]]&lt;=10,"Baixo",TabelaClean[[#This Row],[qtde_batalhas]]&gt;=26,"Alto",TabelaClean[[#This Row],[qtde_batalhas]]&lt;26,"Médio")</f>
        <v>Alto</v>
      </c>
      <c r="S92" s="1" t="str">
        <f>IF(AND(TabelaClean[[#This Row],[nivel_risco]]="Alto",TabelaClean[[#This Row],[flag_inadimplente]]="Sim"),"Arriscado","Ok")</f>
        <v>Ok</v>
      </c>
      <c r="T92" s="26">
        <v>16500</v>
      </c>
      <c r="U92" s="81">
        <f>IF(AND(TabelaClean[[#This Row],[analise_risco]]="Arriscado",TabelaClean[[#This Row],[analise_credito]]="Reprovado"),0,IF(TabelaClean[[#This Row],[status]]="Ativo",TabelaClean[[#This Row],[valor_solicitado]]*1.08,0))</f>
        <v>17820</v>
      </c>
      <c r="W92" s="1"/>
      <c r="Y92" t="s">
        <v>809</v>
      </c>
      <c r="Z92" t="str">
        <f t="shared" si="1"/>
        <v>Null</v>
      </c>
      <c r="AE92" t="s">
        <v>679</v>
      </c>
      <c r="AF92" t="str">
        <f>TEXT(AE92,"000\.000\.000\-00")</f>
        <v>000.000.015-00</v>
      </c>
      <c r="AH92" s="15" t="s">
        <v>121</v>
      </c>
      <c r="AJ92" s="22">
        <v>6400</v>
      </c>
      <c r="AK92">
        <v>6400</v>
      </c>
      <c r="AM92" s="21">
        <v>37000</v>
      </c>
      <c r="AN92">
        <v>37000</v>
      </c>
      <c r="AO92">
        <v>37000</v>
      </c>
      <c r="AQ92" t="s">
        <v>103</v>
      </c>
      <c r="AZ92" s="38" t="s">
        <v>102</v>
      </c>
      <c r="BA92" t="s">
        <v>103</v>
      </c>
      <c r="BB92" s="26">
        <v>18500</v>
      </c>
      <c r="BC92" s="81">
        <f>IF(AND(TabelaClean[[#This Row],[analise_risco]]="Arriscado",TabelaClean[[#This Row],[analise_credito]]="Reprovado"),0,IF(TabelaClean[[#This Row],[status]]="Ativo",TabelaClean[[#This Row],[valor_solicitado]]*1.08,0))</f>
        <v>17820</v>
      </c>
    </row>
    <row r="93" spans="1:55">
      <c r="A93" s="24" t="s">
        <v>76</v>
      </c>
      <c r="B93" s="17" t="s">
        <v>880</v>
      </c>
      <c r="C93" s="25" t="s">
        <v>881</v>
      </c>
      <c r="D93" s="54">
        <v>45</v>
      </c>
      <c r="E93" s="30" t="s">
        <v>882</v>
      </c>
      <c r="F93" s="25" t="s">
        <v>127</v>
      </c>
      <c r="G93" s="25" t="s">
        <v>122</v>
      </c>
      <c r="H93" s="24">
        <v>16200</v>
      </c>
      <c r="I93" s="24">
        <v>59000</v>
      </c>
      <c r="J93" s="24" t="s">
        <v>50</v>
      </c>
      <c r="K93" s="24"/>
      <c r="L93" s="24"/>
      <c r="M93" s="26">
        <v>73500</v>
      </c>
      <c r="N93" s="78">
        <v>59000</v>
      </c>
      <c r="O93" s="1" t="s">
        <v>50</v>
      </c>
      <c r="P9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93" s="76" t="str" cm="1">
        <f t="array" ref="R93">_xlfn.IFS(TabelaClean[[#This Row],[qtde_batalhas]]&lt;=10,"Baixo",TabelaClean[[#This Row],[qtde_batalhas]]&gt;=26,"Alto",TabelaClean[[#This Row],[qtde_batalhas]]&lt;26,"Médio")</f>
        <v>Baixo</v>
      </c>
      <c r="S93" s="76" t="str">
        <f>IF(AND(TabelaClean[[#This Row],[nivel_risco]]="Alto",TabelaClean[[#This Row],[flag_inadimplente]]="Sim"),"Arriscado","Ok")</f>
        <v>Ok</v>
      </c>
      <c r="T93" s="26">
        <v>73500</v>
      </c>
      <c r="U93" s="81">
        <f>IF(AND(TabelaClean[[#This Row],[analise_risco]]="Arriscado",TabelaClean[[#This Row],[analise_credito]]="Reprovado"),0,IF(TabelaClean[[#This Row],[status]]="Ativo",TabelaClean[[#This Row],[valor_solicitado]]*1.08,0))</f>
        <v>79380</v>
      </c>
      <c r="W93" s="1"/>
      <c r="Y93" t="s">
        <v>108</v>
      </c>
      <c r="Z93" t="str">
        <f t="shared" si="1"/>
        <v>Oeste</v>
      </c>
      <c r="AE93" t="s">
        <v>192</v>
      </c>
      <c r="AF93" t="str">
        <f>TEXT(AE93,"000\.000\.000\-00")</f>
        <v>000.000.016-00</v>
      </c>
      <c r="AH93" s="15" t="s">
        <v>215</v>
      </c>
      <c r="AJ93" s="22">
        <v>2500</v>
      </c>
      <c r="AK93">
        <v>2500</v>
      </c>
      <c r="AM93" s="20">
        <v>0</v>
      </c>
      <c r="AN93">
        <v>0</v>
      </c>
      <c r="AO93">
        <v>0</v>
      </c>
      <c r="AQ93" t="s">
        <v>103</v>
      </c>
      <c r="AZ93" s="39" t="s">
        <v>423</v>
      </c>
      <c r="BA93" t="s">
        <v>103</v>
      </c>
      <c r="BB93" s="26">
        <v>73500</v>
      </c>
      <c r="BC93" s="81">
        <f>IF(AND(TabelaClean[[#This Row],[analise_risco]]="Arriscado",TabelaClean[[#This Row],[analise_credito]]="Reprovado"),0,IF(TabelaClean[[#This Row],[status]]="Ativo",TabelaClean[[#This Row],[valor_solicitado]]*1.08,0))</f>
        <v>79380</v>
      </c>
    </row>
    <row r="94" spans="1:55">
      <c r="A94" s="24" t="s">
        <v>76</v>
      </c>
      <c r="B94" s="17" t="s">
        <v>492</v>
      </c>
      <c r="C94" s="25" t="s">
        <v>493</v>
      </c>
      <c r="D94" s="54">
        <v>62</v>
      </c>
      <c r="E94" s="30">
        <v>23337</v>
      </c>
      <c r="F94" s="24" t="str">
        <f>TabelaClean[[#This Row],[CidadeCPF]]</f>
        <v>Pedra do Dragão</v>
      </c>
      <c r="G94" s="17" t="str">
        <f>TabelaClean[[#This Row],[RegiaoCPF]]</f>
        <v>Terras Da Coroa</v>
      </c>
      <c r="H94" s="17" t="str">
        <f>_xlfn.XLOOKUP(TabelaClean[[#This Row],[cpf]],TabelaDirty[cpfclean],TabelaDirty[cidade])</f>
        <v>Pedra do Dragão</v>
      </c>
      <c r="I94" s="17" t="str">
        <f>_xlfn.XLOOKUP(TabelaClean[[#This Row],[cpf]],TabelaDirty[cpfclean],TabelaDirty[regiao])</f>
        <v>Terras da Coroa</v>
      </c>
      <c r="J94" s="17" t="str">
        <f>PROPER(TabelaClean[[#This Row],[Coluna1]])</f>
        <v>Terras Da Coroa</v>
      </c>
      <c r="K94" s="17" t="e">
        <f>_xlfn.TEXTBEFORE(TabelaClean[[#This Row],[CidadeCPF]]," | ")</f>
        <v>#N/A</v>
      </c>
      <c r="L94" s="24" t="e">
        <f>_xlfn.TEXTAFTER(TabelaClean[[#This Row],[CidadeCPF]]," | ")</f>
        <v>#N/A</v>
      </c>
      <c r="M94" s="26">
        <v>11900</v>
      </c>
      <c r="N94" s="78">
        <v>58500</v>
      </c>
      <c r="O94" s="1" t="s">
        <v>50</v>
      </c>
      <c r="P9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4" s="84">
        <v>37</v>
      </c>
      <c r="R94" s="1" t="str" cm="1">
        <f t="array" ref="R94">_xlfn.IFS(TabelaClean[[#This Row],[qtde_batalhas]]&lt;=10,"Baixo",TabelaClean[[#This Row],[qtde_batalhas]]&gt;=26,"Alto",TabelaClean[[#This Row],[qtde_batalhas]]&lt;26,"Médio")</f>
        <v>Alto</v>
      </c>
      <c r="S94" s="1" t="str">
        <f>IF(AND(TabelaClean[[#This Row],[nivel_risco]]="Alto",TabelaClean[[#This Row],[flag_inadimplente]]="Sim"),"Arriscado","Ok")</f>
        <v>Ok</v>
      </c>
      <c r="T94" s="26">
        <v>48000</v>
      </c>
      <c r="U94" s="81">
        <f>IF(AND(TabelaClean[[#This Row],[analise_risco]]="Arriscado",TabelaClean[[#This Row],[analise_credito]]="Reprovado"),0,IF(TabelaClean[[#This Row],[status]]="Ativo",TabelaClean[[#This Row],[valor_solicitado]]*1.08,0))</f>
        <v>51840</v>
      </c>
      <c r="W94" s="1"/>
      <c r="Y94" t="s">
        <v>809</v>
      </c>
      <c r="Z94" t="str">
        <f t="shared" si="1"/>
        <v>Null</v>
      </c>
      <c r="AE94" t="s">
        <v>483</v>
      </c>
      <c r="AF94" t="str">
        <f>TEXT(AE94,"000\.000\.000\-00")</f>
        <v>000.000.017-00</v>
      </c>
      <c r="AH94" s="15" t="s">
        <v>242</v>
      </c>
      <c r="AJ94" s="22">
        <v>15600</v>
      </c>
      <c r="AK94">
        <v>15600</v>
      </c>
      <c r="AM94" s="21">
        <v>0</v>
      </c>
      <c r="AN94">
        <v>0</v>
      </c>
      <c r="AO94">
        <v>0</v>
      </c>
      <c r="AQ94" t="s">
        <v>183</v>
      </c>
      <c r="AZ94" s="38" t="s">
        <v>295</v>
      </c>
      <c r="BA94" t="s">
        <v>183</v>
      </c>
      <c r="BB94" s="26">
        <v>11900</v>
      </c>
      <c r="BC94" s="81">
        <f>IF(AND(TabelaClean[[#This Row],[analise_risco]]="Arriscado",TabelaClean[[#This Row],[analise_credito]]="Reprovado"),0,IF(TabelaClean[[#This Row],[status]]="Ativo",TabelaClean[[#This Row],[valor_solicitado]]*1.08,0))</f>
        <v>51840</v>
      </c>
    </row>
    <row r="95" spans="1:55">
      <c r="A95" s="24" t="s">
        <v>81</v>
      </c>
      <c r="B95" s="17" t="s">
        <v>385</v>
      </c>
      <c r="C95" s="25" t="s">
        <v>883</v>
      </c>
      <c r="D95" s="54">
        <v>73</v>
      </c>
      <c r="E95" s="30">
        <v>19299</v>
      </c>
      <c r="F95" s="24" t="str">
        <f>TabelaClean[[#This Row],[CidadeCPF]]</f>
        <v>Ponta Tempestade</v>
      </c>
      <c r="G95" s="17" t="str">
        <f>TabelaClean[[#This Row],[RegiaoCPF]]</f>
        <v>Terras Da Tempestade</v>
      </c>
      <c r="H95" s="17" t="str">
        <f>_xlfn.XLOOKUP(TabelaClean[[#This Row],[cpf]],TabelaDirty[cpfclean],TabelaDirty[cidade])</f>
        <v>Ponta Tempestade</v>
      </c>
      <c r="I95" s="17" t="str">
        <f>_xlfn.XLOOKUP(TabelaClean[[#This Row],[cpf]],TabelaDirty[cpfclean],TabelaDirty[regiao])</f>
        <v>TERRAS DA TEMPESTADE</v>
      </c>
      <c r="J95" s="17" t="str">
        <f>PROPER(TabelaClean[[#This Row],[Coluna1]])</f>
        <v>Terras Da Tempestade</v>
      </c>
      <c r="K95" s="17" t="e">
        <f>_xlfn.TEXTBEFORE(TabelaClean[[#This Row],[CidadeCPF]]," | ")</f>
        <v>#N/A</v>
      </c>
      <c r="L95" s="24" t="e">
        <f>_xlfn.TEXTAFTER(TabelaClean[[#This Row],[CidadeCPF]]," | ")</f>
        <v>#N/A</v>
      </c>
      <c r="M95" s="26">
        <v>7100</v>
      </c>
      <c r="N95" s="78">
        <v>58000</v>
      </c>
      <c r="O95" s="1" t="s">
        <v>51</v>
      </c>
      <c r="P9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95" s="84">
        <v>22</v>
      </c>
      <c r="R95" s="1" t="str" cm="1">
        <f t="array" ref="R95">_xlfn.IFS(TabelaClean[[#This Row],[qtde_batalhas]]&lt;=10,"Baixo",TabelaClean[[#This Row],[qtde_batalhas]]&gt;=26,"Alto",TabelaClean[[#This Row],[qtde_batalhas]]&lt;26,"Médio")</f>
        <v>Médio</v>
      </c>
      <c r="S95" s="1" t="str">
        <f>IF(AND(TabelaClean[[#This Row],[nivel_risco]]="Alto",TabelaClean[[#This Row],[flag_inadimplente]]="Sim"),"Arriscado","Ok")</f>
        <v>Ok</v>
      </c>
      <c r="T95" s="26">
        <v>46500</v>
      </c>
      <c r="U9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95" s="1"/>
      <c r="Y95" t="s">
        <v>809</v>
      </c>
      <c r="Z95" t="str">
        <f t="shared" si="1"/>
        <v>Null</v>
      </c>
      <c r="AE95" t="s">
        <v>734</v>
      </c>
      <c r="AF95" t="str">
        <f>TEXT(AE95,"000\.000\.000\-00")</f>
        <v>000.000.019-00</v>
      </c>
      <c r="AH95" s="15" t="s">
        <v>242</v>
      </c>
      <c r="AJ95" s="22">
        <v>6300</v>
      </c>
      <c r="AK95">
        <v>6300</v>
      </c>
      <c r="AM95" s="20">
        <v>15000</v>
      </c>
      <c r="AN95">
        <v>15000</v>
      </c>
      <c r="AO95">
        <v>15000</v>
      </c>
      <c r="AQ95" t="s">
        <v>242</v>
      </c>
      <c r="AZ95" s="39" t="s">
        <v>241</v>
      </c>
      <c r="BA95" t="s">
        <v>242</v>
      </c>
      <c r="BB95" s="26">
        <v>7100</v>
      </c>
      <c r="BC9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96" spans="1:55">
      <c r="A96" s="24" t="s">
        <v>81</v>
      </c>
      <c r="B96" s="17" t="s">
        <v>589</v>
      </c>
      <c r="C96" s="25" t="s">
        <v>590</v>
      </c>
      <c r="D96" s="54">
        <v>57</v>
      </c>
      <c r="E96" s="30">
        <v>25324</v>
      </c>
      <c r="F96" s="24" t="str">
        <f>TabelaClean[[#This Row],[CidadeCPF]]</f>
        <v>Ilha dos Ursos</v>
      </c>
      <c r="G96" s="17" t="str">
        <f>TabelaClean[[#This Row],[RegiaoCPF]]</f>
        <v>Norte</v>
      </c>
      <c r="H96" s="17" t="str">
        <f>_xlfn.XLOOKUP(TabelaClean[[#This Row],[cpf]],TabelaDirty[cpfclean],TabelaDirty[cidade])</f>
        <v>Ilha dos Ursos</v>
      </c>
      <c r="I96" s="17" t="str">
        <f>_xlfn.XLOOKUP(TabelaClean[[#This Row],[cpf]],TabelaDirty[cpfclean],TabelaDirty[regiao])</f>
        <v>NORTE</v>
      </c>
      <c r="J96" s="17" t="str">
        <f>PROPER(TabelaClean[[#This Row],[Coluna1]])</f>
        <v>Norte</v>
      </c>
      <c r="K96" s="17" t="e">
        <f>_xlfn.TEXTBEFORE(TabelaClean[[#This Row],[CidadeCPF]]," | ")</f>
        <v>#N/A</v>
      </c>
      <c r="L96" s="24" t="e">
        <f>_xlfn.TEXTAFTER(TabelaClean[[#This Row],[CidadeCPF]]," | ")</f>
        <v>#N/A</v>
      </c>
      <c r="M96" s="26">
        <v>9500</v>
      </c>
      <c r="N96" s="78">
        <v>58000</v>
      </c>
      <c r="O96" s="1" t="s">
        <v>50</v>
      </c>
      <c r="P9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6" s="84">
        <v>23</v>
      </c>
      <c r="R96" s="1" t="str" cm="1">
        <f t="array" ref="R96">_xlfn.IFS(TabelaClean[[#This Row],[qtde_batalhas]]&lt;=10,"Baixo",TabelaClean[[#This Row],[qtde_batalhas]]&gt;=26,"Alto",TabelaClean[[#This Row],[qtde_batalhas]]&lt;26,"Médio")</f>
        <v>Médio</v>
      </c>
      <c r="S96" s="1" t="str">
        <f>IF(AND(TabelaClean[[#This Row],[nivel_risco]]="Alto",TabelaClean[[#This Row],[flag_inadimplente]]="Sim"),"Arriscado","Ok")</f>
        <v>Ok</v>
      </c>
      <c r="T96" s="26">
        <v>81500</v>
      </c>
      <c r="U9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96" s="1"/>
      <c r="Y96" t="s">
        <v>183</v>
      </c>
      <c r="Z96" t="str">
        <f t="shared" si="1"/>
        <v>Dorne</v>
      </c>
      <c r="AE96" t="s">
        <v>507</v>
      </c>
      <c r="AF96" t="str">
        <f>TEXT(AE96,"000\.000\.000\-00")</f>
        <v>000.000.023-00</v>
      </c>
      <c r="AH96" s="15" t="s">
        <v>112</v>
      </c>
      <c r="AJ96" s="22">
        <v>11600</v>
      </c>
      <c r="AK96">
        <v>11600</v>
      </c>
      <c r="AM96" s="21">
        <v>41000</v>
      </c>
      <c r="AN96">
        <v>41000</v>
      </c>
      <c r="AO96">
        <v>41000</v>
      </c>
      <c r="AQ96" t="s">
        <v>154</v>
      </c>
      <c r="AZ96" s="38" t="s">
        <v>870</v>
      </c>
      <c r="BA96" t="s">
        <v>154</v>
      </c>
      <c r="BB96" s="26">
        <v>9500</v>
      </c>
      <c r="BC9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97" spans="1:55">
      <c r="A97" s="24" t="s">
        <v>81</v>
      </c>
      <c r="B97" s="17" t="s">
        <v>479</v>
      </c>
      <c r="C97" s="25" t="s">
        <v>480</v>
      </c>
      <c r="D97" s="54">
        <v>31</v>
      </c>
      <c r="E97" s="30">
        <v>34738</v>
      </c>
      <c r="F97" s="24" t="str">
        <f>TabelaClean[[#This Row],[CidadeCPF]]</f>
        <v>Vilavelha</v>
      </c>
      <c r="G97" s="17" t="str">
        <f>TabelaClean[[#This Row],[RegiaoCPF]]</f>
        <v>Campina</v>
      </c>
      <c r="H97" s="17" t="str">
        <f>_xlfn.XLOOKUP(TabelaClean[[#This Row],[cpf]],TabelaDirty[cpfclean],TabelaDirty[cidade])</f>
        <v>Vilavelha</v>
      </c>
      <c r="I97" s="17" t="str">
        <f>_xlfn.XLOOKUP(TabelaClean[[#This Row],[cpf]],TabelaDirty[cpfclean],TabelaDirty[regiao])</f>
        <v>Campina</v>
      </c>
      <c r="J97" s="17" t="str">
        <f>PROPER(TabelaClean[[#This Row],[Coluna1]])</f>
        <v>Campina</v>
      </c>
      <c r="K97" s="17" t="e">
        <f>_xlfn.TEXTBEFORE(TabelaClean[[#This Row],[CidadeCPF]]," | ")</f>
        <v>#N/A</v>
      </c>
      <c r="L97" s="24" t="e">
        <f>_xlfn.TEXTAFTER(TabelaClean[[#This Row],[CidadeCPF]]," | ")</f>
        <v>#N/A</v>
      </c>
      <c r="M97" s="26">
        <v>22600</v>
      </c>
      <c r="N97" s="78">
        <v>58000</v>
      </c>
      <c r="O97" s="1" t="s">
        <v>50</v>
      </c>
      <c r="P9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7" s="84">
        <v>5</v>
      </c>
      <c r="R97" s="1" t="str" cm="1">
        <f t="array" ref="R97">_xlfn.IFS(TabelaClean[[#This Row],[qtde_batalhas]]&lt;=10,"Baixo",TabelaClean[[#This Row],[qtde_batalhas]]&gt;=26,"Alto",TabelaClean[[#This Row],[qtde_batalhas]]&lt;26,"Médio")</f>
        <v>Baixo</v>
      </c>
      <c r="S97" s="1" t="str">
        <f>IF(AND(TabelaClean[[#This Row],[nivel_risco]]="Alto",TabelaClean[[#This Row],[flag_inadimplente]]="Sim"),"Arriscado","Ok")</f>
        <v>Ok</v>
      </c>
      <c r="T97" s="26">
        <v>26500</v>
      </c>
      <c r="U9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97" s="1"/>
      <c r="Y97" t="s">
        <v>809</v>
      </c>
      <c r="Z97" t="str">
        <f t="shared" si="1"/>
        <v>Null</v>
      </c>
      <c r="AE97" t="s">
        <v>120</v>
      </c>
      <c r="AF97" t="str">
        <f>TEXT(AE97,"000\.000\.000\-00")</f>
        <v>000.000.024-00</v>
      </c>
      <c r="AH97" s="15" t="s">
        <v>121</v>
      </c>
      <c r="AJ97" s="22">
        <v>13500</v>
      </c>
      <c r="AK97">
        <v>13500</v>
      </c>
      <c r="AM97" s="20">
        <v>24000</v>
      </c>
      <c r="AN97">
        <v>24000</v>
      </c>
      <c r="AO97">
        <v>24000</v>
      </c>
      <c r="AQ97" t="s">
        <v>148</v>
      </c>
      <c r="AZ97" s="39" t="s">
        <v>607</v>
      </c>
      <c r="BA97" t="s">
        <v>148</v>
      </c>
      <c r="BB97" s="26">
        <v>22600</v>
      </c>
      <c r="BC9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98" spans="1:55">
      <c r="A98" s="24" t="s">
        <v>76</v>
      </c>
      <c r="B98" s="17" t="s">
        <v>334</v>
      </c>
      <c r="C98" s="25" t="s">
        <v>335</v>
      </c>
      <c r="D98" s="54">
        <v>36</v>
      </c>
      <c r="E98" s="30">
        <v>32791</v>
      </c>
      <c r="F98" s="24" t="str">
        <f>TabelaClean[[#This Row],[CidadeCPF]]</f>
        <v>Jardim de Cima</v>
      </c>
      <c r="G98" s="17" t="str">
        <f>TabelaClean[[#This Row],[RegiaoCPF]]</f>
        <v>Campina</v>
      </c>
      <c r="H98" s="17" t="str">
        <f>_xlfn.XLOOKUP(TabelaClean[[#This Row],[cpf]],TabelaDirty[cpfclean],TabelaDirty[cidade])</f>
        <v>Jardim de Cima</v>
      </c>
      <c r="I98" s="17" t="str">
        <f>_xlfn.XLOOKUP(TabelaClean[[#This Row],[cpf]],TabelaDirty[cpfclean],TabelaDirty[regiao])</f>
        <v>CAMPINA</v>
      </c>
      <c r="J98" s="17" t="str">
        <f>PROPER(TabelaClean[[#This Row],[Coluna1]])</f>
        <v>Campina</v>
      </c>
      <c r="K98" s="17" t="e">
        <f>_xlfn.TEXTBEFORE(TabelaClean[[#This Row],[CidadeCPF]]," | ")</f>
        <v>#N/A</v>
      </c>
      <c r="L98" s="24" t="e">
        <f>_xlfn.TEXTAFTER(TabelaClean[[#This Row],[CidadeCPF]]," | ")</f>
        <v>#N/A</v>
      </c>
      <c r="M98" s="26">
        <v>23900</v>
      </c>
      <c r="N98" s="78">
        <v>58000</v>
      </c>
      <c r="O98" s="1" t="s">
        <v>50</v>
      </c>
      <c r="P9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8" s="84">
        <v>27</v>
      </c>
      <c r="R98" s="1" t="str" cm="1">
        <f t="array" ref="R98">_xlfn.IFS(TabelaClean[[#This Row],[qtde_batalhas]]&lt;=10,"Baixo",TabelaClean[[#This Row],[qtde_batalhas]]&gt;=26,"Alto",TabelaClean[[#This Row],[qtde_batalhas]]&lt;26,"Médio")</f>
        <v>Alto</v>
      </c>
      <c r="S98" s="1" t="str">
        <f>IF(AND(TabelaClean[[#This Row],[nivel_risco]]="Alto",TabelaClean[[#This Row],[flag_inadimplente]]="Sim"),"Arriscado","Ok")</f>
        <v>Ok</v>
      </c>
      <c r="T98" s="26">
        <v>38000</v>
      </c>
      <c r="U98" s="81">
        <f>IF(AND(TabelaClean[[#This Row],[analise_risco]]="Arriscado",TabelaClean[[#This Row],[analise_credito]]="Reprovado"),0,IF(TabelaClean[[#This Row],[status]]="Ativo",TabelaClean[[#This Row],[valor_solicitado]]*1.08,0))</f>
        <v>41040</v>
      </c>
      <c r="W98" s="1"/>
      <c r="Y98" t="s">
        <v>809</v>
      </c>
      <c r="Z98" t="str">
        <f t="shared" si="1"/>
        <v>Null</v>
      </c>
      <c r="AE98" t="s">
        <v>558</v>
      </c>
      <c r="AF98" t="str">
        <f>TEXT(AE98,"000\.000\.000\-00")</f>
        <v>000.000.025-00</v>
      </c>
      <c r="AH98" s="15" t="s">
        <v>172</v>
      </c>
      <c r="AJ98" s="22">
        <v>2300</v>
      </c>
      <c r="AK98">
        <v>2300</v>
      </c>
      <c r="AM98" s="21">
        <v>26500</v>
      </c>
      <c r="AN98">
        <v>26500</v>
      </c>
      <c r="AO98">
        <v>26500</v>
      </c>
      <c r="AQ98" t="s">
        <v>112</v>
      </c>
      <c r="AZ98" s="38" t="s">
        <v>884</v>
      </c>
      <c r="BA98" t="s">
        <v>112</v>
      </c>
      <c r="BB98" s="26">
        <v>23900</v>
      </c>
      <c r="BC98" s="81">
        <f>IF(AND(TabelaClean[[#This Row],[analise_risco]]="Arriscado",TabelaClean[[#This Row],[analise_credito]]="Reprovado"),0,IF(TabelaClean[[#This Row],[status]]="Ativo",TabelaClean[[#This Row],[valor_solicitado]]*1.08,0))</f>
        <v>41040</v>
      </c>
    </row>
    <row r="99" spans="1:55">
      <c r="A99" s="24" t="s">
        <v>76</v>
      </c>
      <c r="B99" s="17" t="s">
        <v>698</v>
      </c>
      <c r="C99" s="25" t="s">
        <v>885</v>
      </c>
      <c r="D99" s="54">
        <v>29</v>
      </c>
      <c r="E99" s="30">
        <v>35334</v>
      </c>
      <c r="F99" s="24" t="str">
        <f>TabelaClean[[#This Row],[CidadeCPF]]</f>
        <v>Pyke</v>
      </c>
      <c r="G99" s="17" t="str">
        <f>TabelaClean[[#This Row],[RegiaoCPF]]</f>
        <v>Ilhas De Ferro</v>
      </c>
      <c r="H99" s="17" t="str">
        <f>_xlfn.XLOOKUP(TabelaClean[[#This Row],[cpf]],TabelaDirty[cpfclean],TabelaDirty[cidade])</f>
        <v>Pyke</v>
      </c>
      <c r="I99" s="17" t="str">
        <f>_xlfn.XLOOKUP(TabelaClean[[#This Row],[cpf]],TabelaDirty[cpfclean],TabelaDirty[regiao])</f>
        <v>Ilhas de Ferro</v>
      </c>
      <c r="J99" s="17" t="str">
        <f>PROPER(TabelaClean[[#This Row],[Coluna1]])</f>
        <v>Ilhas De Ferro</v>
      </c>
      <c r="K99" s="17" t="e">
        <f>_xlfn.TEXTBEFORE(TabelaClean[[#This Row],[CidadeCPF]]," | ")</f>
        <v>#N/A</v>
      </c>
      <c r="L99" s="24" t="e">
        <f>_xlfn.TEXTAFTER(TabelaClean[[#This Row],[CidadeCPF]]," | ")</f>
        <v>#N/A</v>
      </c>
      <c r="M99" s="26">
        <v>19500</v>
      </c>
      <c r="N99" s="78">
        <v>57000</v>
      </c>
      <c r="O99" s="1" t="s">
        <v>50</v>
      </c>
      <c r="P9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99" s="84">
        <v>12</v>
      </c>
      <c r="R99" s="1" t="str" cm="1">
        <f t="array" ref="R99">_xlfn.IFS(TabelaClean[[#This Row],[qtde_batalhas]]&lt;=10,"Baixo",TabelaClean[[#This Row],[qtde_batalhas]]&gt;=26,"Alto",TabelaClean[[#This Row],[qtde_batalhas]]&lt;26,"Médio")</f>
        <v>Médio</v>
      </c>
      <c r="S99" s="1" t="str">
        <f>IF(AND(TabelaClean[[#This Row],[nivel_risco]]="Alto",TabelaClean[[#This Row],[flag_inadimplente]]="Sim"),"Arriscado","Ok")</f>
        <v>Ok</v>
      </c>
      <c r="T99" s="26">
        <v>20500</v>
      </c>
      <c r="U99" s="81">
        <f>IF(AND(TabelaClean[[#This Row],[analise_risco]]="Arriscado",TabelaClean[[#This Row],[analise_credito]]="Reprovado"),0,IF(TabelaClean[[#This Row],[status]]="Ativo",TabelaClean[[#This Row],[valor_solicitado]]*1.08,0))</f>
        <v>22140</v>
      </c>
      <c r="W99" s="1"/>
      <c r="Y99" t="s">
        <v>84</v>
      </c>
      <c r="Z99" t="str">
        <f t="shared" si="1"/>
        <v>Terras Da Tempestade</v>
      </c>
      <c r="AE99" t="s">
        <v>255</v>
      </c>
      <c r="AF99" t="str">
        <f>TEXT(AE99,"000\.000\.000\-00")</f>
        <v>000.000.026-00</v>
      </c>
      <c r="AH99" s="15" t="s">
        <v>121</v>
      </c>
      <c r="AJ99" s="22">
        <v>2300</v>
      </c>
      <c r="AK99">
        <v>2300</v>
      </c>
      <c r="AM99" s="20">
        <v>0</v>
      </c>
      <c r="AN99">
        <v>0</v>
      </c>
      <c r="AO99">
        <v>0</v>
      </c>
      <c r="AQ99" t="s">
        <v>242</v>
      </c>
      <c r="AZ99" s="39" t="s">
        <v>810</v>
      </c>
      <c r="BA99" t="s">
        <v>242</v>
      </c>
      <c r="BB99" s="26">
        <v>19500</v>
      </c>
      <c r="BC99" s="81">
        <f>IF(AND(TabelaClean[[#This Row],[analise_risco]]="Arriscado",TabelaClean[[#This Row],[analise_credito]]="Reprovado"),0,IF(TabelaClean[[#This Row],[status]]="Ativo",TabelaClean[[#This Row],[valor_solicitado]]*1.08,0))</f>
        <v>22140</v>
      </c>
    </row>
    <row r="100" spans="1:55">
      <c r="A100" s="24" t="s">
        <v>76</v>
      </c>
      <c r="B100" s="17" t="s">
        <v>403</v>
      </c>
      <c r="C100" s="25" t="s">
        <v>404</v>
      </c>
      <c r="D100" s="54">
        <v>56</v>
      </c>
      <c r="E100" s="30">
        <v>25671</v>
      </c>
      <c r="F100" s="24" t="str">
        <f>TabelaClean[[#This Row],[CidadeCPF]]</f>
        <v>Harrenhal</v>
      </c>
      <c r="G100" s="17" t="str">
        <f>TabelaClean[[#This Row],[RegiaoCPF]]</f>
        <v>Terras Fluviais</v>
      </c>
      <c r="H100" s="17" t="str">
        <f>_xlfn.XLOOKUP(TabelaClean[[#This Row],[cpf]],TabelaDirty[cpfclean],TabelaDirty[cidade])</f>
        <v>Harrenhal</v>
      </c>
      <c r="I100" s="17" t="str">
        <f>_xlfn.XLOOKUP(TabelaClean[[#This Row],[cpf]],TabelaDirty[cpfclean],TabelaDirty[regiao])</f>
        <v>Terras Fluviais</v>
      </c>
      <c r="J100" s="17" t="str">
        <f>PROPER(TabelaClean[[#This Row],[Coluna1]])</f>
        <v>Terras Fluviais</v>
      </c>
      <c r="K100" s="17" t="e">
        <f>_xlfn.TEXTBEFORE(TabelaClean[[#This Row],[CidadeCPF]]," | ")</f>
        <v>#N/A</v>
      </c>
      <c r="L100" s="24" t="e">
        <f>_xlfn.TEXTAFTER(TabelaClean[[#This Row],[CidadeCPF]]," | ")</f>
        <v>#N/A</v>
      </c>
      <c r="M100" s="26">
        <v>28300</v>
      </c>
      <c r="N100" s="78">
        <v>56000</v>
      </c>
      <c r="O100" s="1" t="s">
        <v>50</v>
      </c>
      <c r="P10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0" s="84">
        <v>6</v>
      </c>
      <c r="R100" s="1" t="str" cm="1">
        <f t="array" ref="R100">_xlfn.IFS(TabelaClean[[#This Row],[qtde_batalhas]]&lt;=10,"Baixo",TabelaClean[[#This Row],[qtde_batalhas]]&gt;=26,"Alto",TabelaClean[[#This Row],[qtde_batalhas]]&lt;26,"Médio")</f>
        <v>Baixo</v>
      </c>
      <c r="S100" s="1" t="str">
        <f>IF(AND(TabelaClean[[#This Row],[nivel_risco]]="Alto",TabelaClean[[#This Row],[flag_inadimplente]]="Sim"),"Arriscado","Ok")</f>
        <v>Ok</v>
      </c>
      <c r="T100" s="26">
        <v>77000</v>
      </c>
      <c r="U100" s="81">
        <f>IF(AND(TabelaClean[[#This Row],[analise_risco]]="Arriscado",TabelaClean[[#This Row],[analise_credito]]="Reprovado"),0,IF(TabelaClean[[#This Row],[status]]="Ativo",TabelaClean[[#This Row],[valor_solicitado]]*1.08,0))</f>
        <v>83160</v>
      </c>
      <c r="W100" s="1"/>
      <c r="Y100" t="s">
        <v>809</v>
      </c>
      <c r="Z100" t="str">
        <f t="shared" si="1"/>
        <v>Null</v>
      </c>
      <c r="AE100" t="s">
        <v>355</v>
      </c>
      <c r="AF100" t="str">
        <f>TEXT(AE100,"000\.000\.000\-00")</f>
        <v>000.000.027-00</v>
      </c>
      <c r="AH100" s="15" t="s">
        <v>169</v>
      </c>
      <c r="AJ100" s="22">
        <v>22600</v>
      </c>
      <c r="AK100">
        <v>22600</v>
      </c>
      <c r="AM100" s="21">
        <v>63000</v>
      </c>
      <c r="AN100">
        <v>63000</v>
      </c>
      <c r="AO100">
        <v>63000</v>
      </c>
      <c r="AQ100" t="s">
        <v>121</v>
      </c>
      <c r="AZ100" s="38" t="s">
        <v>790</v>
      </c>
      <c r="BA100" t="s">
        <v>121</v>
      </c>
      <c r="BB100" s="26">
        <v>28300</v>
      </c>
      <c r="BC100" s="81">
        <f>IF(AND(TabelaClean[[#This Row],[analise_risco]]="Arriscado",TabelaClean[[#This Row],[analise_credito]]="Reprovado"),0,IF(TabelaClean[[#This Row],[status]]="Ativo",TabelaClean[[#This Row],[valor_solicitado]]*1.08,0))</f>
        <v>83160</v>
      </c>
    </row>
    <row r="101" spans="1:55">
      <c r="A101" s="24" t="s">
        <v>76</v>
      </c>
      <c r="B101" s="17" t="s">
        <v>403</v>
      </c>
      <c r="C101" s="25" t="s">
        <v>886</v>
      </c>
      <c r="D101" s="54">
        <f>_xlfn.XLOOKUP(TabelaClean[[#This Row],[nome]],Base_Dirty!B:B,Base_Dirty!E:E)</f>
        <v>56</v>
      </c>
      <c r="E101" s="51">
        <f>_xlfn.XLOOKUP(TabelaClean[[#This Row],[nome]],Base_Dirty!$B:$B,Base_Dirty!F:F)</f>
        <v>25671</v>
      </c>
      <c r="F101" s="17" t="s">
        <v>169</v>
      </c>
      <c r="G101" s="17" t="s">
        <v>139</v>
      </c>
      <c r="H101" s="24" t="s">
        <v>139</v>
      </c>
      <c r="I101" s="24">
        <v>28300</v>
      </c>
      <c r="J101" s="24">
        <v>56000</v>
      </c>
      <c r="K101" s="24" t="s">
        <v>50</v>
      </c>
      <c r="L101" s="24">
        <v>6</v>
      </c>
      <c r="M101" s="23">
        <f>_xlfn.XLOOKUP(TabelaClean[[#This Row],[nome]],Base_Dirty!$B:$B,Base_Dirty!I:I)</f>
        <v>28300</v>
      </c>
      <c r="N101" s="78">
        <f>_xlfn.XLOOKUP(TabelaClean[[#This Row],[nome]],Base_Dirty!$B:$B,Base_Dirty!J:J)</f>
        <v>56000</v>
      </c>
      <c r="O101" s="79" t="s">
        <v>50</v>
      </c>
      <c r="P10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1" s="84">
        <f>_xlfn.XLOOKUP(TabelaClean[[#This Row],[nome]],Base_Dirty!$B:$B,Base_Dirty!L:L)</f>
        <v>6</v>
      </c>
      <c r="R101" s="76" t="str" cm="1">
        <f t="array" ref="R101">_xlfn.IFS(TabelaClean[[#This Row],[qtde_batalhas]]&lt;=10,"Baixo",TabelaClean[[#This Row],[qtde_batalhas]]&gt;=26,"Alto",TabelaClean[[#This Row],[qtde_batalhas]]&lt;26,"Médio")</f>
        <v>Baixo</v>
      </c>
      <c r="S101" s="76" t="str">
        <f>IF(AND(TabelaClean[[#This Row],[nivel_risco]]="Alto",TabelaClean[[#This Row],[flag_inadimplente]]="Sim"),"Arriscado","Ok")</f>
        <v>Ok</v>
      </c>
      <c r="T101" s="26">
        <f>_xlfn.XLOOKUP(TabelaClean[[#This Row],[nome]],Base_Dirty!$B:$B,Base_Dirty!O:O)</f>
        <v>77000</v>
      </c>
      <c r="U101" s="81">
        <f>IF(AND(TabelaClean[[#This Row],[analise_risco]]="Arriscado",TabelaClean[[#This Row],[analise_credito]]="Reprovado"),0,IF(TabelaClean[[#This Row],[status]]="Ativo",TabelaClean[[#This Row],[valor_solicitado]]*1.08,0))</f>
        <v>83160</v>
      </c>
      <c r="W101" s="1"/>
      <c r="Y101" t="s">
        <v>146</v>
      </c>
      <c r="Z101" t="str">
        <f t="shared" si="1"/>
        <v>Terras Fluviais</v>
      </c>
      <c r="AE101" t="s">
        <v>272</v>
      </c>
      <c r="AF101" t="str">
        <f>TEXT(AE101,"000\.000\.000\-00")</f>
        <v>000.000.030-00</v>
      </c>
      <c r="AH101" s="15" t="s">
        <v>138</v>
      </c>
      <c r="AM101" s="20">
        <v>69000</v>
      </c>
      <c r="AN101">
        <v>69000</v>
      </c>
      <c r="AO101">
        <v>69000</v>
      </c>
      <c r="AQ101" t="s">
        <v>162</v>
      </c>
      <c r="AZ101" s="39" t="s">
        <v>398</v>
      </c>
      <c r="BA101" t="s">
        <v>162</v>
      </c>
      <c r="BB101" s="23">
        <f>_xlfn.XLOOKUP(TabelaClean[[#This Row],[nome]],Base_Dirty!$B:$B,Base_Dirty!AX:AX)</f>
        <v>0</v>
      </c>
      <c r="BC101" s="81">
        <f>IF(AND(TabelaClean[[#This Row],[analise_risco]]="Arriscado",TabelaClean[[#This Row],[analise_credito]]="Reprovado"),0,IF(TabelaClean[[#This Row],[status]]="Ativo",TabelaClean[[#This Row],[valor_solicitado]]*1.08,0))</f>
        <v>83160</v>
      </c>
    </row>
    <row r="102" spans="1:55">
      <c r="A102" s="24" t="s">
        <v>76</v>
      </c>
      <c r="B102" s="17" t="s">
        <v>403</v>
      </c>
      <c r="C102" t="str">
        <f>_xlfn.XLOOKUP(TabelaClean[[#This Row],[nome]],Base_Dirty!$B:$B,Base_Dirty!D:D)</f>
        <v>000.000.282-00</v>
      </c>
      <c r="D102" s="54">
        <f>_xlfn.XLOOKUP(TabelaClean[[#This Row],[nome]],Base_Dirty!B:B,Base_Dirty!E:E)</f>
        <v>56</v>
      </c>
      <c r="E102" s="30">
        <v>56</v>
      </c>
      <c r="F102" s="17" t="s">
        <v>169</v>
      </c>
      <c r="G102" s="17" t="s">
        <v>139</v>
      </c>
      <c r="H102" s="24" t="s">
        <v>139</v>
      </c>
      <c r="I102" s="24">
        <v>28300</v>
      </c>
      <c r="J102" s="24">
        <v>56000</v>
      </c>
      <c r="K102" s="24" t="s">
        <v>50</v>
      </c>
      <c r="L102" s="24">
        <v>6</v>
      </c>
      <c r="M102" s="23">
        <f>_xlfn.XLOOKUP(TabelaClean[[#This Row],[nome]],Base_Dirty!$B:$B,Base_Dirty!I:I)</f>
        <v>28300</v>
      </c>
      <c r="N102" s="78">
        <f>_xlfn.XLOOKUP(TabelaClean[[#This Row],[nome]],Base_Dirty!$B:$B,Base_Dirty!J:J)</f>
        <v>56000</v>
      </c>
      <c r="O102" s="79" t="s">
        <v>50</v>
      </c>
      <c r="P102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2" s="84">
        <f>_xlfn.XLOOKUP(TabelaClean[[#This Row],[nome]],Base_Dirty!$B:$B,Base_Dirty!L:L)</f>
        <v>6</v>
      </c>
      <c r="R102" s="76" t="str" cm="1">
        <f t="array" ref="R102">_xlfn.IFS(TabelaClean[[#This Row],[qtde_batalhas]]&lt;=10,"Baixo",TabelaClean[[#This Row],[qtde_batalhas]]&gt;=26,"Alto",TabelaClean[[#This Row],[qtde_batalhas]]&lt;26,"Médio")</f>
        <v>Baixo</v>
      </c>
      <c r="S102" s="76" t="str">
        <f>IF(AND(TabelaClean[[#This Row],[nivel_risco]]="Alto",TabelaClean[[#This Row],[flag_inadimplente]]="Sim"),"Arriscado","Ok")</f>
        <v>Ok</v>
      </c>
      <c r="T102" s="26">
        <f>_xlfn.XLOOKUP(TabelaClean[[#This Row],[nome]],Base_Dirty!$B:$B,Base_Dirty!O:O)</f>
        <v>77000</v>
      </c>
      <c r="U102" s="81">
        <f>IF(AND(TabelaClean[[#This Row],[analise_risco]]="Arriscado",TabelaClean[[#This Row],[analise_credito]]="Reprovado"),0,IF(TabelaClean[[#This Row],[status]]="Ativo",TabelaClean[[#This Row],[valor_solicitado]]*1.08,0))</f>
        <v>83160</v>
      </c>
      <c r="W102" s="1"/>
      <c r="Y102" t="s">
        <v>436</v>
      </c>
      <c r="Z102" t="str">
        <f t="shared" si="1"/>
        <v>Vale</v>
      </c>
      <c r="AE102" t="s">
        <v>533</v>
      </c>
      <c r="AF102" t="str">
        <f>TEXT(AE102,"000\.000\.000\-00")</f>
        <v>000.000.031-00</v>
      </c>
      <c r="AH102" s="15" t="s">
        <v>103</v>
      </c>
      <c r="AJ102" s="22">
        <v>3900</v>
      </c>
      <c r="AK102">
        <v>3900</v>
      </c>
      <c r="AM102" s="21">
        <v>27000</v>
      </c>
      <c r="AN102">
        <v>27000</v>
      </c>
      <c r="AO102">
        <v>27000</v>
      </c>
      <c r="AQ102" t="s">
        <v>79</v>
      </c>
      <c r="AZ102" s="38" t="s">
        <v>603</v>
      </c>
      <c r="BA102" t="s">
        <v>79</v>
      </c>
      <c r="BB102" s="23">
        <f>_xlfn.XLOOKUP(TabelaClean[[#This Row],[nome]],Base_Dirty!$B:$B,Base_Dirty!AX:AX)</f>
        <v>0</v>
      </c>
      <c r="BC102" s="81">
        <f>IF(AND(TabelaClean[[#This Row],[analise_risco]]="Arriscado",TabelaClean[[#This Row],[analise_credito]]="Reprovado"),0,IF(TabelaClean[[#This Row],[status]]="Ativo",TabelaClean[[#This Row],[valor_solicitado]]*1.08,0))</f>
        <v>83160</v>
      </c>
    </row>
    <row r="103" spans="1:55">
      <c r="A103" s="24" t="s">
        <v>76</v>
      </c>
      <c r="B103" s="17" t="s">
        <v>661</v>
      </c>
      <c r="C103" s="25" t="s">
        <v>662</v>
      </c>
      <c r="D103" s="54" t="s">
        <v>809</v>
      </c>
      <c r="E103" s="30">
        <v>36337</v>
      </c>
      <c r="F103" s="24" t="str">
        <f>TabelaClean[[#This Row],[CidadeCPF]]</f>
        <v>Winterfell</v>
      </c>
      <c r="G103" s="17" t="str">
        <f>TabelaClean[[#This Row],[RegiaoCPF]]</f>
        <v>Norte</v>
      </c>
      <c r="H103" s="17" t="str">
        <f>_xlfn.XLOOKUP(TabelaClean[[#This Row],[cpf]],TabelaDirty[cpfclean],TabelaDirty[cidade])</f>
        <v>Winterfell</v>
      </c>
      <c r="I103" s="17" t="str">
        <f>_xlfn.XLOOKUP(TabelaClean[[#This Row],[cpf]],TabelaDirty[cpfclean],TabelaDirty[regiao])</f>
        <v>Norte</v>
      </c>
      <c r="J103" s="17" t="str">
        <f>PROPER(TabelaClean[[#This Row],[Coluna1]])</f>
        <v>Norte</v>
      </c>
      <c r="K103" s="17" t="e">
        <f>_xlfn.TEXTBEFORE(TabelaClean[[#This Row],[CidadeCPF]]," | ")</f>
        <v>#N/A</v>
      </c>
      <c r="L103" s="24" t="e">
        <f>_xlfn.TEXTAFTER(TabelaClean[[#This Row],[CidadeCPF]]," | ")</f>
        <v>#N/A</v>
      </c>
      <c r="M103" s="26">
        <v>22500</v>
      </c>
      <c r="N103" s="78">
        <v>55500</v>
      </c>
      <c r="O103" s="1" t="s">
        <v>50</v>
      </c>
      <c r="P10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3" s="84">
        <v>32</v>
      </c>
      <c r="R103" s="1" t="str" cm="1">
        <f t="array" ref="R103">_xlfn.IFS(TabelaClean[[#This Row],[qtde_batalhas]]&lt;=10,"Baixo",TabelaClean[[#This Row],[qtde_batalhas]]&gt;=26,"Alto",TabelaClean[[#This Row],[qtde_batalhas]]&lt;26,"Médio")</f>
        <v>Alto</v>
      </c>
      <c r="S103" s="1" t="str">
        <f>IF(AND(TabelaClean[[#This Row],[nivel_risco]]="Alto",TabelaClean[[#This Row],[flag_inadimplente]]="Sim"),"Arriscado","Ok")</f>
        <v>Ok</v>
      </c>
      <c r="T103" s="26">
        <v>91500</v>
      </c>
      <c r="U103" s="81">
        <f>IF(AND(TabelaClean[[#This Row],[analise_risco]]="Arriscado",TabelaClean[[#This Row],[analise_credito]]="Reprovado"),0,IF(TabelaClean[[#This Row],[status]]="Ativo",TabelaClean[[#This Row],[valor_solicitado]]*1.08,0))</f>
        <v>98820</v>
      </c>
      <c r="W103" s="1"/>
      <c r="Y103" t="s">
        <v>809</v>
      </c>
      <c r="Z103" t="str">
        <f t="shared" si="1"/>
        <v>Null</v>
      </c>
      <c r="AE103" t="s">
        <v>800</v>
      </c>
      <c r="AF103" t="str">
        <f>TEXT(AE103,"000\.000\.000\-00")</f>
        <v>000.000.036-00</v>
      </c>
      <c r="AH103" s="14" t="s">
        <v>378</v>
      </c>
      <c r="AI103" t="e" cm="1" vm="1">
        <f t="array" aca="1" ref="AI103" ca="1">_xlfn.TEXTSPLIT(AH103," | ")</f>
        <v>#VALUE!</v>
      </c>
      <c r="AJ103" s="22">
        <v>18700</v>
      </c>
      <c r="AK103">
        <v>18700</v>
      </c>
      <c r="AL103" t="s">
        <v>139</v>
      </c>
      <c r="AM103" s="20">
        <v>46000</v>
      </c>
      <c r="AN103">
        <v>46000</v>
      </c>
      <c r="AO103">
        <v>46000</v>
      </c>
      <c r="AQ103" t="s">
        <v>127</v>
      </c>
      <c r="AZ103" s="39" t="s">
        <v>814</v>
      </c>
      <c r="BA103" t="s">
        <v>127</v>
      </c>
      <c r="BB103" s="26">
        <v>22500</v>
      </c>
      <c r="BC103" s="81">
        <f>IF(AND(TabelaClean[[#This Row],[analise_risco]]="Arriscado",TabelaClean[[#This Row],[analise_credito]]="Reprovado"),0,IF(TabelaClean[[#This Row],[status]]="Ativo",TabelaClean[[#This Row],[valor_solicitado]]*1.08,0))</f>
        <v>98820</v>
      </c>
    </row>
    <row r="104" spans="1:55">
      <c r="A104" s="24" t="s">
        <v>81</v>
      </c>
      <c r="B104" s="17" t="s">
        <v>518</v>
      </c>
      <c r="C104" s="25" t="s">
        <v>887</v>
      </c>
      <c r="D104" s="54">
        <v>60</v>
      </c>
      <c r="E104" s="30">
        <v>24091</v>
      </c>
      <c r="F104" s="24" t="str">
        <f>TabelaClean[[#This Row],[CidadeCPF]]</f>
        <v>Lannisporto</v>
      </c>
      <c r="G104" s="17" t="str">
        <f>TabelaClean[[#This Row],[RegiaoCPF]]</f>
        <v>Oeste</v>
      </c>
      <c r="H104" s="17" t="str">
        <f>_xlfn.XLOOKUP(TabelaClean[[#This Row],[cpf]],TabelaDirty[cpfclean],TabelaDirty[cidade])</f>
        <v>Lannisporto</v>
      </c>
      <c r="I104" s="17" t="str">
        <f>_xlfn.XLOOKUP(TabelaClean[[#This Row],[cpf]],TabelaDirty[cpfclean],TabelaDirty[regiao])</f>
        <v>Oeste</v>
      </c>
      <c r="J104" s="17" t="str">
        <f>PROPER(TabelaClean[[#This Row],[Coluna1]])</f>
        <v>Oeste</v>
      </c>
      <c r="K104" s="17" t="e">
        <f>_xlfn.TEXTBEFORE(TabelaClean[[#This Row],[CidadeCPF]]," | ")</f>
        <v>#N/A</v>
      </c>
      <c r="L104" s="24" t="e">
        <f>_xlfn.TEXTAFTER(TabelaClean[[#This Row],[CidadeCPF]]," | ")</f>
        <v>#N/A</v>
      </c>
      <c r="M104" s="26">
        <v>10100</v>
      </c>
      <c r="N104" s="78">
        <v>55000</v>
      </c>
      <c r="O104" s="1" t="s">
        <v>50</v>
      </c>
      <c r="P10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4" s="84">
        <v>26</v>
      </c>
      <c r="R104" s="1" t="str" cm="1">
        <f t="array" ref="R104">_xlfn.IFS(TabelaClean[[#This Row],[qtde_batalhas]]&lt;=10,"Baixo",TabelaClean[[#This Row],[qtde_batalhas]]&gt;=26,"Alto",TabelaClean[[#This Row],[qtde_batalhas]]&lt;26,"Médio")</f>
        <v>Alto</v>
      </c>
      <c r="S104" s="1" t="str">
        <f>IF(AND(TabelaClean[[#This Row],[nivel_risco]]="Alto",TabelaClean[[#This Row],[flag_inadimplente]]="Sim"),"Arriscado","Ok")</f>
        <v>Ok</v>
      </c>
      <c r="T104" s="26">
        <v>54000</v>
      </c>
      <c r="U10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04" s="1"/>
      <c r="Y104" t="s">
        <v>256</v>
      </c>
      <c r="Z104" t="str">
        <f t="shared" si="1"/>
        <v>Essos</v>
      </c>
      <c r="AE104" t="s">
        <v>529</v>
      </c>
      <c r="AF104" t="str">
        <f>TEXT(AE104,"000\.000\.000\-00")</f>
        <v>000.000.037-00</v>
      </c>
      <c r="AH104" s="15" t="s">
        <v>154</v>
      </c>
      <c r="AJ104" s="22">
        <v>3200</v>
      </c>
      <c r="AK104">
        <v>3200</v>
      </c>
      <c r="AM104" s="21">
        <v>6500</v>
      </c>
      <c r="AN104">
        <v>6500</v>
      </c>
      <c r="AO104">
        <v>6500</v>
      </c>
      <c r="AQ104" t="s">
        <v>83</v>
      </c>
      <c r="AZ104" s="38" t="s">
        <v>186</v>
      </c>
      <c r="BA104" t="s">
        <v>83</v>
      </c>
      <c r="BB104" s="26">
        <v>10100</v>
      </c>
      <c r="BC10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05" spans="1:55">
      <c r="A105" s="24" t="s">
        <v>76</v>
      </c>
      <c r="B105" s="17" t="s">
        <v>652</v>
      </c>
      <c r="C105" s="25" t="s">
        <v>888</v>
      </c>
      <c r="D105" s="54">
        <v>44</v>
      </c>
      <c r="E105" s="30">
        <v>29843</v>
      </c>
      <c r="F105" s="24" t="str">
        <f>TabelaClean[[#This Row],[CidadeCPF]]</f>
        <v>Pedra do Dragão</v>
      </c>
      <c r="G105" s="17" t="str">
        <f>TabelaClean[[#This Row],[RegiaoCPF]]</f>
        <v>Terras Da Coroa</v>
      </c>
      <c r="H105" s="17" t="str">
        <f>_xlfn.XLOOKUP(TabelaClean[[#This Row],[cpf]],TabelaDirty[cpfclean],TabelaDirty[cidade])</f>
        <v>Pedra do Dragão</v>
      </c>
      <c r="I105" s="17" t="str">
        <f>_xlfn.XLOOKUP(TabelaClean[[#This Row],[cpf]],TabelaDirty[cpfclean],TabelaDirty[regiao])</f>
        <v>Terras da Coroa</v>
      </c>
      <c r="J105" s="17" t="str">
        <f>PROPER(TabelaClean[[#This Row],[Coluna1]])</f>
        <v>Terras Da Coroa</v>
      </c>
      <c r="K105" s="17" t="e">
        <f>_xlfn.TEXTBEFORE(TabelaClean[[#This Row],[CidadeCPF]]," | ")</f>
        <v>#N/A</v>
      </c>
      <c r="L105" s="24" t="e">
        <f>_xlfn.TEXTAFTER(TabelaClean[[#This Row],[CidadeCPF]]," | ")</f>
        <v>#N/A</v>
      </c>
      <c r="M105" s="26">
        <v>11300</v>
      </c>
      <c r="N105" s="78">
        <v>55000</v>
      </c>
      <c r="O105" s="1" t="s">
        <v>50</v>
      </c>
      <c r="P10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5" s="84">
        <v>38</v>
      </c>
      <c r="R105" s="1" t="str" cm="1">
        <f t="array" ref="R105">_xlfn.IFS(TabelaClean[[#This Row],[qtde_batalhas]]&lt;=10,"Baixo",TabelaClean[[#This Row],[qtde_batalhas]]&gt;=26,"Alto",TabelaClean[[#This Row],[qtde_batalhas]]&lt;26,"Médio")</f>
        <v>Alto</v>
      </c>
      <c r="S105" s="1" t="str">
        <f>IF(AND(TabelaClean[[#This Row],[nivel_risco]]="Alto",TabelaClean[[#This Row],[flag_inadimplente]]="Sim"),"Arriscado","Ok")</f>
        <v>Ok</v>
      </c>
      <c r="T105" s="26">
        <v>68500</v>
      </c>
      <c r="U105" s="81">
        <f>IF(AND(TabelaClean[[#This Row],[analise_risco]]="Arriscado",TabelaClean[[#This Row],[analise_credito]]="Reprovado"),0,IF(TabelaClean[[#This Row],[status]]="Ativo",TabelaClean[[#This Row],[valor_solicitado]]*1.08,0))</f>
        <v>73980</v>
      </c>
      <c r="W105" s="1"/>
      <c r="Y105" t="s">
        <v>108</v>
      </c>
      <c r="Z105" t="str">
        <f t="shared" si="1"/>
        <v>Oeste</v>
      </c>
      <c r="AE105" t="s">
        <v>125</v>
      </c>
      <c r="AF105" t="str">
        <f>TEXT(AE105,"000\.000\.000\-00")</f>
        <v>000.000.039-00</v>
      </c>
      <c r="AH105" s="15" t="s">
        <v>169</v>
      </c>
      <c r="AJ105" s="22">
        <v>14200</v>
      </c>
      <c r="AK105">
        <v>14200</v>
      </c>
      <c r="AM105" s="20">
        <v>71000</v>
      </c>
      <c r="AN105">
        <v>71000</v>
      </c>
      <c r="AO105">
        <v>71000</v>
      </c>
      <c r="AQ105" t="s">
        <v>242</v>
      </c>
      <c r="AZ105" s="39" t="s">
        <v>711</v>
      </c>
      <c r="BA105" t="s">
        <v>242</v>
      </c>
      <c r="BB105" s="26">
        <v>11300</v>
      </c>
      <c r="BC105" s="81">
        <f>IF(AND(TabelaClean[[#This Row],[analise_risco]]="Arriscado",TabelaClean[[#This Row],[analise_credito]]="Reprovado"),0,IF(TabelaClean[[#This Row],[status]]="Ativo",TabelaClean[[#This Row],[valor_solicitado]]*1.08,0))</f>
        <v>73980</v>
      </c>
    </row>
    <row r="106" spans="1:55">
      <c r="A106" s="24" t="s">
        <v>76</v>
      </c>
      <c r="B106" s="17" t="s">
        <v>329</v>
      </c>
      <c r="C106" s="25" t="s">
        <v>330</v>
      </c>
      <c r="D106" s="54">
        <v>42</v>
      </c>
      <c r="E106" s="30">
        <v>30666</v>
      </c>
      <c r="F106" s="24" t="str">
        <f>TabelaClean[[#This Row],[CidadeCPF]]</f>
        <v>Pedra do Dragão</v>
      </c>
      <c r="G106" s="17" t="str">
        <f>TabelaClean[[#This Row],[RegiaoCPF]]</f>
        <v>Terras Da Coroa</v>
      </c>
      <c r="H106" s="17" t="str">
        <f>_xlfn.XLOOKUP(TabelaClean[[#This Row],[cpf]],TabelaDirty[cpfclean],TabelaDirty[cidade])</f>
        <v>Pedra do Dragão</v>
      </c>
      <c r="I106" s="17" t="str">
        <f>_xlfn.XLOOKUP(TabelaClean[[#This Row],[cpf]],TabelaDirty[cpfclean],TabelaDirty[regiao])</f>
        <v>terras da coroa</v>
      </c>
      <c r="J106" s="17" t="str">
        <f>PROPER(TabelaClean[[#This Row],[Coluna1]])</f>
        <v>Terras Da Coroa</v>
      </c>
      <c r="K106" s="17" t="e">
        <f>_xlfn.TEXTBEFORE(TabelaClean[[#This Row],[CidadeCPF]]," | ")</f>
        <v>#N/A</v>
      </c>
      <c r="L106" s="24" t="e">
        <f>_xlfn.TEXTAFTER(TabelaClean[[#This Row],[CidadeCPF]]," | ")</f>
        <v>#N/A</v>
      </c>
      <c r="M106" s="26">
        <v>6000</v>
      </c>
      <c r="N106" s="78">
        <v>55000</v>
      </c>
      <c r="O106" s="1" t="s">
        <v>50</v>
      </c>
      <c r="P10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6" s="84">
        <v>5</v>
      </c>
      <c r="R106" s="1" t="str" cm="1">
        <f t="array" ref="R106">_xlfn.IFS(TabelaClean[[#This Row],[qtde_batalhas]]&lt;=10,"Baixo",TabelaClean[[#This Row],[qtde_batalhas]]&gt;=26,"Alto",TabelaClean[[#This Row],[qtde_batalhas]]&lt;26,"Médio")</f>
        <v>Baixo</v>
      </c>
      <c r="S106" s="1" t="str">
        <f>IF(AND(TabelaClean[[#This Row],[nivel_risco]]="Alto",TabelaClean[[#This Row],[flag_inadimplente]]="Sim"),"Arriscado","Ok")</f>
        <v>Ok</v>
      </c>
      <c r="T106" s="26">
        <v>10000</v>
      </c>
      <c r="U106" s="81">
        <f>IF(AND(TabelaClean[[#This Row],[analise_risco]]="Arriscado",TabelaClean[[#This Row],[analise_credito]]="Reprovado"),0,IF(TabelaClean[[#This Row],[status]]="Ativo",TabelaClean[[#This Row],[valor_solicitado]]*1.08,0))</f>
        <v>10800</v>
      </c>
      <c r="W106" s="1"/>
      <c r="Y106" t="s">
        <v>139</v>
      </c>
      <c r="Z106" t="str">
        <f t="shared" si="1"/>
        <v>Terras Fluviais</v>
      </c>
      <c r="AE106" t="s">
        <v>560</v>
      </c>
      <c r="AF106" t="str">
        <f>TEXT(AE106,"000\.000\.000\-00")</f>
        <v>000.000.041-00</v>
      </c>
      <c r="AH106" s="15" t="s">
        <v>148</v>
      </c>
      <c r="AJ106" s="22">
        <v>13900</v>
      </c>
      <c r="AK106">
        <v>13900</v>
      </c>
      <c r="AM106" s="21">
        <v>53500</v>
      </c>
      <c r="AN106">
        <v>53500</v>
      </c>
      <c r="AO106">
        <v>53500</v>
      </c>
      <c r="AQ106" t="s">
        <v>141</v>
      </c>
      <c r="AZ106" s="38" t="s">
        <v>502</v>
      </c>
      <c r="BA106" t="s">
        <v>141</v>
      </c>
      <c r="BB106" s="26">
        <v>6000</v>
      </c>
      <c r="BC106" s="81">
        <f>IF(AND(TabelaClean[[#This Row],[analise_risco]]="Arriscado",TabelaClean[[#This Row],[analise_credito]]="Reprovado"),0,IF(TabelaClean[[#This Row],[status]]="Ativo",TabelaClean[[#This Row],[valor_solicitado]]*1.08,0))</f>
        <v>10800</v>
      </c>
    </row>
    <row r="107" spans="1:55">
      <c r="A107" s="24" t="s">
        <v>76</v>
      </c>
      <c r="B107" s="17" t="s">
        <v>889</v>
      </c>
      <c r="C107" s="25" t="s">
        <v>890</v>
      </c>
      <c r="D107" s="54">
        <v>50</v>
      </c>
      <c r="E107" s="30" t="e">
        <v>#VALUE!</v>
      </c>
      <c r="F107" s="25" t="s">
        <v>809</v>
      </c>
      <c r="G107" s="25" t="s">
        <v>138</v>
      </c>
      <c r="H107" s="24"/>
      <c r="I107" s="24">
        <v>55000</v>
      </c>
      <c r="J107" s="24" t="s">
        <v>50</v>
      </c>
      <c r="K107" s="24"/>
      <c r="L107" s="24"/>
      <c r="M107" s="26">
        <v>17000</v>
      </c>
      <c r="N107" s="78">
        <v>55000</v>
      </c>
      <c r="O107" s="1" t="s">
        <v>50</v>
      </c>
      <c r="P107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107" s="76" t="str" cm="1">
        <f t="array" ref="R107">_xlfn.IFS(TabelaClean[[#This Row],[qtde_batalhas]]&lt;=10,"Baixo",TabelaClean[[#This Row],[qtde_batalhas]]&gt;=26,"Alto",TabelaClean[[#This Row],[qtde_batalhas]]&lt;26,"Médio")</f>
        <v>Baixo</v>
      </c>
      <c r="S107" s="76" t="str">
        <f>IF(AND(TabelaClean[[#This Row],[nivel_risco]]="Alto",TabelaClean[[#This Row],[flag_inadimplente]]="Sim"),"Arriscado","Ok")</f>
        <v>Ok</v>
      </c>
      <c r="T107" s="26">
        <v>17000</v>
      </c>
      <c r="U107" s="81">
        <f>IF(AND(TabelaClean[[#This Row],[analise_risco]]="Arriscado",TabelaClean[[#This Row],[analise_credito]]="Reprovado"),0,IF(TabelaClean[[#This Row],[status]]="Ativo",TabelaClean[[#This Row],[valor_solicitado]]*1.08,0))</f>
        <v>18360</v>
      </c>
      <c r="W107" s="1"/>
      <c r="Y107" t="s">
        <v>809</v>
      </c>
      <c r="Z107" t="str">
        <f t="shared" si="1"/>
        <v>Null</v>
      </c>
      <c r="AE107" t="s">
        <v>607</v>
      </c>
      <c r="AF107" t="str">
        <f>TEXT(AE107,"000\.000\.000\-00")</f>
        <v>000.000.043-00</v>
      </c>
      <c r="AH107" s="15" t="s">
        <v>162</v>
      </c>
      <c r="AJ107" s="22">
        <v>2400</v>
      </c>
      <c r="AK107">
        <v>2400</v>
      </c>
      <c r="AM107" s="20">
        <v>78000</v>
      </c>
      <c r="AN107">
        <v>78000</v>
      </c>
      <c r="AO107">
        <v>78000</v>
      </c>
      <c r="AQ107" t="s">
        <v>141</v>
      </c>
      <c r="AZ107" s="39" t="s">
        <v>468</v>
      </c>
      <c r="BA107" t="s">
        <v>141</v>
      </c>
      <c r="BB107" s="26">
        <v>17000</v>
      </c>
      <c r="BC107" s="81">
        <f>IF(AND(TabelaClean[[#This Row],[analise_risco]]="Arriscado",TabelaClean[[#This Row],[analise_credito]]="Reprovado"),0,IF(TabelaClean[[#This Row],[status]]="Ativo",TabelaClean[[#This Row],[valor_solicitado]]*1.08,0))</f>
        <v>18360</v>
      </c>
    </row>
    <row r="108" spans="1:55">
      <c r="A108" s="24" t="s">
        <v>76</v>
      </c>
      <c r="B108" s="17" t="s">
        <v>707</v>
      </c>
      <c r="C108" s="25" t="s">
        <v>891</v>
      </c>
      <c r="D108" s="54" t="s">
        <v>809</v>
      </c>
      <c r="E108" s="30">
        <v>36759</v>
      </c>
      <c r="F108" s="24" t="str">
        <f>TabelaClean[[#This Row],[CidadeCPF]]</f>
        <v>Dorne</v>
      </c>
      <c r="G108" s="17" t="str">
        <f>TabelaClean[[#This Row],[RegiaoCPF]]</f>
        <v>Dorne</v>
      </c>
      <c r="H108" s="17" t="str">
        <f>_xlfn.XLOOKUP(TabelaClean[[#This Row],[cpf]],TabelaDirty[cpfclean],TabelaDirty[cidade])</f>
        <v>Dorne</v>
      </c>
      <c r="I108" s="17" t="str">
        <f>_xlfn.XLOOKUP(TabelaClean[[#This Row],[cpf]],TabelaDirty[cpfclean],TabelaDirty[regiao])</f>
        <v>Dorne</v>
      </c>
      <c r="J108" s="17" t="str">
        <f>PROPER(TabelaClean[[#This Row],[Coluna1]])</f>
        <v>Dorne</v>
      </c>
      <c r="K108" s="17" t="e">
        <f>_xlfn.TEXTBEFORE(TabelaClean[[#This Row],[CidadeCPF]]," | ")</f>
        <v>#N/A</v>
      </c>
      <c r="L108" s="24" t="e">
        <f>_xlfn.TEXTAFTER(TabelaClean[[#This Row],[CidadeCPF]]," | ")</f>
        <v>#N/A</v>
      </c>
      <c r="M108" s="26">
        <v>23200</v>
      </c>
      <c r="N108" s="78">
        <v>54500</v>
      </c>
      <c r="O108" s="1" t="s">
        <v>51</v>
      </c>
      <c r="P10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108" s="84">
        <v>26</v>
      </c>
      <c r="R108" s="1" t="str" cm="1">
        <f t="array" ref="R108">_xlfn.IFS(TabelaClean[[#This Row],[qtde_batalhas]]&lt;=10,"Baixo",TabelaClean[[#This Row],[qtde_batalhas]]&gt;=26,"Alto",TabelaClean[[#This Row],[qtde_batalhas]]&lt;26,"Médio")</f>
        <v>Alto</v>
      </c>
      <c r="S108" s="1" t="str">
        <f>IF(AND(TabelaClean[[#This Row],[nivel_risco]]="Alto",TabelaClean[[#This Row],[flag_inadimplente]]="Sim"),"Arriscado","Ok")</f>
        <v>Arriscado</v>
      </c>
      <c r="T108" s="26">
        <v>75000</v>
      </c>
      <c r="U10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08" s="1"/>
      <c r="Y108" t="s">
        <v>809</v>
      </c>
      <c r="Z108" t="str">
        <f t="shared" si="1"/>
        <v>Null</v>
      </c>
      <c r="AE108" t="s">
        <v>330</v>
      </c>
      <c r="AF108" t="str">
        <f>TEXT(AE108,"000\.000\.000\-00")</f>
        <v>000.000.044-00</v>
      </c>
      <c r="AH108" s="15" t="s">
        <v>183</v>
      </c>
      <c r="AJ108" s="22">
        <v>2800</v>
      </c>
      <c r="AK108">
        <v>2800</v>
      </c>
      <c r="AM108" s="21">
        <v>35000</v>
      </c>
      <c r="AN108">
        <v>35000</v>
      </c>
      <c r="AO108">
        <v>35000</v>
      </c>
      <c r="AQ108" t="s">
        <v>223</v>
      </c>
      <c r="AZ108" s="38" t="s">
        <v>512</v>
      </c>
      <c r="BA108" t="s">
        <v>223</v>
      </c>
      <c r="BB108" s="26">
        <v>23200</v>
      </c>
      <c r="BC10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09" spans="1:55">
      <c r="A109" s="24" t="s">
        <v>76</v>
      </c>
      <c r="B109" s="17" t="s">
        <v>737</v>
      </c>
      <c r="C109" s="25" t="s">
        <v>738</v>
      </c>
      <c r="D109" s="54">
        <v>49</v>
      </c>
      <c r="E109" s="30">
        <v>28067</v>
      </c>
      <c r="F109" s="24" t="str">
        <f>TabelaClean[[#This Row],[CidadeCPF]]</f>
        <v>Pyke</v>
      </c>
      <c r="G109" s="17" t="str">
        <f>TabelaClean[[#This Row],[RegiaoCPF]]</f>
        <v>Ilhas De Ferro</v>
      </c>
      <c r="H109" s="17" t="str">
        <f>_xlfn.XLOOKUP(TabelaClean[[#This Row],[cpf]],TabelaDirty[cpfclean],TabelaDirty[cidade])</f>
        <v>Pyke</v>
      </c>
      <c r="I109" s="17" t="str">
        <f>_xlfn.XLOOKUP(TabelaClean[[#This Row],[cpf]],TabelaDirty[cpfclean],TabelaDirty[regiao])</f>
        <v>Ilhas de Ferro</v>
      </c>
      <c r="J109" s="17" t="str">
        <f>PROPER(TabelaClean[[#This Row],[Coluna1]])</f>
        <v>Ilhas De Ferro</v>
      </c>
      <c r="K109" s="17" t="e">
        <f>_xlfn.TEXTBEFORE(TabelaClean[[#This Row],[CidadeCPF]]," | ")</f>
        <v>#N/A</v>
      </c>
      <c r="L109" s="24" t="e">
        <f>_xlfn.TEXTAFTER(TabelaClean[[#This Row],[CidadeCPF]]," | ")</f>
        <v>#N/A</v>
      </c>
      <c r="M109" s="26">
        <v>29800</v>
      </c>
      <c r="N109" s="78">
        <v>54500</v>
      </c>
      <c r="O109" s="1" t="s">
        <v>50</v>
      </c>
      <c r="P10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09" s="84">
        <v>34</v>
      </c>
      <c r="R109" s="1" t="str" cm="1">
        <f t="array" ref="R109">_xlfn.IFS(TabelaClean[[#This Row],[qtde_batalhas]]&lt;=10,"Baixo",TabelaClean[[#This Row],[qtde_batalhas]]&gt;=26,"Alto",TabelaClean[[#This Row],[qtde_batalhas]]&lt;26,"Médio")</f>
        <v>Alto</v>
      </c>
      <c r="S109" s="1" t="str">
        <f>IF(AND(TabelaClean[[#This Row],[nivel_risco]]="Alto",TabelaClean[[#This Row],[flag_inadimplente]]="Sim"),"Arriscado","Ok")</f>
        <v>Ok</v>
      </c>
      <c r="T109" s="26">
        <v>72000</v>
      </c>
      <c r="U109" s="81">
        <f>IF(AND(TabelaClean[[#This Row],[analise_risco]]="Arriscado",TabelaClean[[#This Row],[analise_credito]]="Reprovado"),0,IF(TabelaClean[[#This Row],[status]]="Ativo",TabelaClean[[#This Row],[valor_solicitado]]*1.08,0))</f>
        <v>77760</v>
      </c>
      <c r="W109" s="1"/>
      <c r="Y109" t="s">
        <v>809</v>
      </c>
      <c r="Z109" t="str">
        <f t="shared" si="1"/>
        <v>Null</v>
      </c>
      <c r="AE109" t="s">
        <v>512</v>
      </c>
      <c r="AF109" t="str">
        <f>TEXT(AE109,"000\.000\.000\-00")</f>
        <v>000.000.045-00</v>
      </c>
      <c r="AH109" s="15" t="s">
        <v>148</v>
      </c>
      <c r="AJ109" s="22">
        <v>11300</v>
      </c>
      <c r="AK109">
        <v>11300</v>
      </c>
      <c r="AM109" s="20">
        <v>55000</v>
      </c>
      <c r="AN109">
        <v>55000</v>
      </c>
      <c r="AO109">
        <v>55000</v>
      </c>
      <c r="AQ109" t="s">
        <v>148</v>
      </c>
      <c r="AZ109" s="39" t="s">
        <v>320</v>
      </c>
      <c r="BA109" t="s">
        <v>148</v>
      </c>
      <c r="BB109" s="26">
        <v>29800</v>
      </c>
      <c r="BC109" s="81">
        <f>IF(AND(TabelaClean[[#This Row],[analise_risco]]="Arriscado",TabelaClean[[#This Row],[analise_credito]]="Reprovado"),0,IF(TabelaClean[[#This Row],[status]]="Ativo",TabelaClean[[#This Row],[valor_solicitado]]*1.08,0))</f>
        <v>77760</v>
      </c>
    </row>
    <row r="110" spans="1:55">
      <c r="A110" s="24" t="s">
        <v>173</v>
      </c>
      <c r="B110" s="17" t="s">
        <v>707</v>
      </c>
      <c r="C110" t="str">
        <f>_xlfn.XLOOKUP(TabelaClean[[#This Row],[nome]],Base_Dirty!$B:$B,Base_Dirty!D:D)</f>
        <v>000.000.331-00</v>
      </c>
      <c r="D110" s="82" t="s">
        <v>809</v>
      </c>
      <c r="E110" s="80" t="s">
        <v>809</v>
      </c>
      <c r="F110" s="17" t="s">
        <v>183</v>
      </c>
      <c r="G110" s="17" t="s">
        <v>183</v>
      </c>
      <c r="H110" s="24" t="s">
        <v>183</v>
      </c>
      <c r="I110" s="24">
        <v>23200</v>
      </c>
      <c r="J110" s="24">
        <v>54500</v>
      </c>
      <c r="K110" s="24">
        <v>1</v>
      </c>
      <c r="L110" s="24">
        <v>26</v>
      </c>
      <c r="M110" s="23">
        <f>_xlfn.XLOOKUP(TabelaClean[[#This Row],[nome]],Base_Dirty!$B:$B,Base_Dirty!I:I)</f>
        <v>23200</v>
      </c>
      <c r="N110" s="78">
        <f>_xlfn.XLOOKUP(TabelaClean[[#This Row],[nome]],Base_Dirty!$B:$B,Base_Dirty!J:J)</f>
        <v>54500</v>
      </c>
      <c r="O110" s="79"/>
      <c r="P11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110" s="84">
        <f>_xlfn.XLOOKUP(TabelaClean[[#This Row],[nome]],Base_Dirty!$B:$B,Base_Dirty!L:L)</f>
        <v>26</v>
      </c>
      <c r="R110" s="76" t="str" cm="1">
        <f t="array" ref="R110">_xlfn.IFS(TabelaClean[[#This Row],[qtde_batalhas]]&lt;=10,"Baixo",TabelaClean[[#This Row],[qtde_batalhas]]&gt;=26,"Alto",TabelaClean[[#This Row],[qtde_batalhas]]&lt;26,"Médio")</f>
        <v>Alto</v>
      </c>
      <c r="S110" s="76" t="str">
        <f>IF(AND(TabelaClean[[#This Row],[nivel_risco]]="Alto",TabelaClean[[#This Row],[flag_inadimplente]]="Sim"),"Arriscado","Ok")</f>
        <v>Ok</v>
      </c>
      <c r="T110" s="26">
        <f>_xlfn.XLOOKUP(TabelaClean[[#This Row],[nome]],Base_Dirty!$B:$B,Base_Dirty!O:O)</f>
        <v>75000</v>
      </c>
      <c r="U11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10" s="1"/>
      <c r="Y110" t="s">
        <v>809</v>
      </c>
      <c r="Z110" t="str">
        <f t="shared" si="1"/>
        <v>Null</v>
      </c>
      <c r="AE110" t="s">
        <v>782</v>
      </c>
      <c r="AF110" t="str">
        <f>TEXT(AE110,"000\.000\.000\-00")</f>
        <v>000.000.046-00</v>
      </c>
      <c r="AH110" s="15" t="s">
        <v>223</v>
      </c>
      <c r="AJ110" s="22">
        <v>18000</v>
      </c>
      <c r="AK110">
        <v>18000</v>
      </c>
      <c r="AM110" s="21">
        <v>0</v>
      </c>
      <c r="AN110">
        <v>0</v>
      </c>
      <c r="AO110">
        <v>0</v>
      </c>
      <c r="AQ110" t="s">
        <v>169</v>
      </c>
      <c r="AZ110" s="38" t="s">
        <v>825</v>
      </c>
      <c r="BA110" t="s">
        <v>169</v>
      </c>
      <c r="BB110" s="23">
        <f>_xlfn.XLOOKUP(TabelaClean[[#This Row],[nome]],Base_Dirty!$B:$B,Base_Dirty!AX:AX)</f>
        <v>0</v>
      </c>
      <c r="BC11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11" spans="1:55">
      <c r="A111" s="24" t="s">
        <v>173</v>
      </c>
      <c r="B111" s="17" t="s">
        <v>707</v>
      </c>
      <c r="C111" t="str">
        <f>_xlfn.XLOOKUP(TabelaClean[[#This Row],[nome]],Base_Dirty!$B:$B,Base_Dirty!D:D)</f>
        <v>000.000.331-00</v>
      </c>
      <c r="D111" s="82" t="s">
        <v>809</v>
      </c>
      <c r="E111" s="80" t="s">
        <v>809</v>
      </c>
      <c r="F111" s="17" t="s">
        <v>183</v>
      </c>
      <c r="G111" s="17" t="s">
        <v>183</v>
      </c>
      <c r="H111" s="24" t="s">
        <v>183</v>
      </c>
      <c r="I111" s="24">
        <v>23200</v>
      </c>
      <c r="J111" s="24">
        <v>54500</v>
      </c>
      <c r="K111" s="24">
        <v>1</v>
      </c>
      <c r="L111" s="24">
        <v>26</v>
      </c>
      <c r="M111" s="23">
        <f>_xlfn.XLOOKUP(TabelaClean[[#This Row],[nome]],Base_Dirty!$B:$B,Base_Dirty!I:I)</f>
        <v>23200</v>
      </c>
      <c r="N111" s="78">
        <f>_xlfn.XLOOKUP(TabelaClean[[#This Row],[nome]],Base_Dirty!$B:$B,Base_Dirty!J:J)</f>
        <v>54500</v>
      </c>
      <c r="O111" s="79"/>
      <c r="P11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111" s="84">
        <f>_xlfn.XLOOKUP(TabelaClean[[#This Row],[nome]],Base_Dirty!$B:$B,Base_Dirty!L:L)</f>
        <v>26</v>
      </c>
      <c r="R111" s="76" t="str" cm="1">
        <f t="array" ref="R111">_xlfn.IFS(TabelaClean[[#This Row],[qtde_batalhas]]&lt;=10,"Baixo",TabelaClean[[#This Row],[qtde_batalhas]]&gt;=26,"Alto",TabelaClean[[#This Row],[qtde_batalhas]]&lt;26,"Médio")</f>
        <v>Alto</v>
      </c>
      <c r="S111" s="76" t="str">
        <f>IF(AND(TabelaClean[[#This Row],[nivel_risco]]="Alto",TabelaClean[[#This Row],[flag_inadimplente]]="Sim"),"Arriscado","Ok")</f>
        <v>Ok</v>
      </c>
      <c r="T111" s="26">
        <f>_xlfn.XLOOKUP(TabelaClean[[#This Row],[nome]],Base_Dirty!$B:$B,Base_Dirty!O:O)</f>
        <v>75000</v>
      </c>
      <c r="U11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11" s="1"/>
      <c r="Y111" t="s">
        <v>122</v>
      </c>
      <c r="Z111" t="str">
        <f t="shared" si="1"/>
        <v>Essos</v>
      </c>
      <c r="AE111" t="s">
        <v>206</v>
      </c>
      <c r="AF111" t="str">
        <f>TEXT(AE111,"000\.000\.000\-00")</f>
        <v>000.000.050-00</v>
      </c>
      <c r="AH111" s="15" t="s">
        <v>169</v>
      </c>
      <c r="AJ111" s="22">
        <v>29900</v>
      </c>
      <c r="AK111">
        <v>29900</v>
      </c>
      <c r="AM111" s="20">
        <v>64500</v>
      </c>
      <c r="AN111">
        <v>64500</v>
      </c>
      <c r="AO111">
        <v>64500</v>
      </c>
      <c r="AQ111" t="s">
        <v>121</v>
      </c>
      <c r="AZ111" s="39" t="s">
        <v>159</v>
      </c>
      <c r="BA111" t="s">
        <v>121</v>
      </c>
      <c r="BB111" s="23">
        <f>_xlfn.XLOOKUP(TabelaClean[[#This Row],[nome]],Base_Dirty!$B:$B,Base_Dirty!AX:AX)</f>
        <v>0</v>
      </c>
      <c r="BC11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12" spans="1:55">
      <c r="A112" s="24" t="s">
        <v>76</v>
      </c>
      <c r="B112" s="17" t="s">
        <v>551</v>
      </c>
      <c r="C112" s="25" t="s">
        <v>552</v>
      </c>
      <c r="D112" s="54">
        <v>35</v>
      </c>
      <c r="E112" s="30">
        <v>33336</v>
      </c>
      <c r="F112" s="24" t="str">
        <f>TabelaClean[[#This Row],[CidadeCPF]]</f>
        <v>Ninho da Águia</v>
      </c>
      <c r="G112" s="17" t="str">
        <f>TabelaClean[[#This Row],[RegiaoCPF]]</f>
        <v>Vale</v>
      </c>
      <c r="H112" s="17" t="str">
        <f>_xlfn.XLOOKUP(TabelaClean[[#This Row],[cpf]],TabelaDirty[cpfclean],TabelaDirty[cidade])</f>
        <v>Ninho da Águia</v>
      </c>
      <c r="I112" s="17" t="str">
        <f>_xlfn.XLOOKUP(TabelaClean[[#This Row],[cpf]],TabelaDirty[cpfclean],TabelaDirty[regiao])</f>
        <v>Vale</v>
      </c>
      <c r="J112" s="17" t="str">
        <f>PROPER(TabelaClean[[#This Row],[Coluna1]])</f>
        <v>Vale</v>
      </c>
      <c r="K112" s="17" t="e">
        <f>_xlfn.TEXTBEFORE(TabelaClean[[#This Row],[CidadeCPF]]," | ")</f>
        <v>#N/A</v>
      </c>
      <c r="L112" s="24" t="e">
        <f>_xlfn.TEXTAFTER(TabelaClean[[#This Row],[CidadeCPF]]," | ")</f>
        <v>#N/A</v>
      </c>
      <c r="M112" s="26">
        <v>20900</v>
      </c>
      <c r="N112" s="78">
        <v>54000</v>
      </c>
      <c r="O112" s="1" t="s">
        <v>50</v>
      </c>
      <c r="P11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12" s="84">
        <v>44</v>
      </c>
      <c r="R112" s="1" t="str" cm="1">
        <f t="array" ref="R112">_xlfn.IFS(TabelaClean[[#This Row],[qtde_batalhas]]&lt;=10,"Baixo",TabelaClean[[#This Row],[qtde_batalhas]]&gt;=26,"Alto",TabelaClean[[#This Row],[qtde_batalhas]]&lt;26,"Médio")</f>
        <v>Alto</v>
      </c>
      <c r="S112" s="1" t="str">
        <f>IF(AND(TabelaClean[[#This Row],[nivel_risco]]="Alto",TabelaClean[[#This Row],[flag_inadimplente]]="Sim"),"Arriscado","Ok")</f>
        <v>Ok</v>
      </c>
      <c r="T112" s="26">
        <v>18000</v>
      </c>
      <c r="U112" s="81">
        <f>IF(AND(TabelaClean[[#This Row],[analise_risco]]="Arriscado",TabelaClean[[#This Row],[analise_credito]]="Reprovado"),0,IF(TabelaClean[[#This Row],[status]]="Ativo",TabelaClean[[#This Row],[valor_solicitado]]*1.08,0))</f>
        <v>19440</v>
      </c>
      <c r="W112" s="1"/>
      <c r="Y112" t="s">
        <v>809</v>
      </c>
      <c r="Z112" t="str">
        <f t="shared" si="1"/>
        <v>Null</v>
      </c>
      <c r="AE112" t="s">
        <v>300</v>
      </c>
      <c r="AF112" t="str">
        <f>TEXT(AE112,"000\.000\.000\-00")</f>
        <v>000.000.051-00</v>
      </c>
      <c r="AH112" s="15" t="s">
        <v>183</v>
      </c>
      <c r="AJ112" s="22">
        <v>4500</v>
      </c>
      <c r="AK112">
        <v>4500</v>
      </c>
      <c r="AM112" s="21"/>
      <c r="AN112" t="s">
        <v>809</v>
      </c>
      <c r="AO112" t="s">
        <v>809</v>
      </c>
      <c r="AQ112" t="s">
        <v>172</v>
      </c>
      <c r="AZ112" s="38" t="s">
        <v>761</v>
      </c>
      <c r="BA112" t="s">
        <v>172</v>
      </c>
      <c r="BB112" s="26">
        <v>20900</v>
      </c>
      <c r="BC112" s="81">
        <f>IF(AND(TabelaClean[[#This Row],[analise_risco]]="Arriscado",TabelaClean[[#This Row],[analise_credito]]="Reprovado"),0,IF(TabelaClean[[#This Row],[status]]="Ativo",TabelaClean[[#This Row],[valor_solicitado]]*1.08,0))</f>
        <v>19440</v>
      </c>
    </row>
    <row r="113" spans="1:55">
      <c r="A113" s="24" t="s">
        <v>76</v>
      </c>
      <c r="B113" s="17" t="s">
        <v>509</v>
      </c>
      <c r="C113" s="25" t="s">
        <v>510</v>
      </c>
      <c r="D113" s="54">
        <v>42</v>
      </c>
      <c r="E113" s="30">
        <v>30898</v>
      </c>
      <c r="F113" s="24" t="str">
        <f>TabelaClean[[#This Row],[CidadeCPF]]</f>
        <v>Lannisporto</v>
      </c>
      <c r="G113" s="17" t="str">
        <f>TabelaClean[[#This Row],[RegiaoCPF]]</f>
        <v>Oeste</v>
      </c>
      <c r="H113" s="17" t="str">
        <f>_xlfn.XLOOKUP(TabelaClean[[#This Row],[cpf]],TabelaDirty[cpfclean],TabelaDirty[cidade])</f>
        <v>Lannisporto</v>
      </c>
      <c r="I113" s="17" t="s">
        <v>108</v>
      </c>
      <c r="J113" s="17" t="str">
        <f>PROPER(TabelaClean[[#This Row],[Coluna1]])</f>
        <v>Oeste</v>
      </c>
      <c r="K113" s="17" t="e">
        <f>_xlfn.TEXTBEFORE(TabelaClean[[#This Row],[CidadeCPF]]," | ")</f>
        <v>#N/A</v>
      </c>
      <c r="L113" s="24" t="e">
        <f>_xlfn.TEXTAFTER(TabelaClean[[#This Row],[CidadeCPF]]," | ")</f>
        <v>#N/A</v>
      </c>
      <c r="M113" s="26">
        <v>20800</v>
      </c>
      <c r="N113" s="78">
        <v>54000</v>
      </c>
      <c r="O113" s="1" t="s">
        <v>50</v>
      </c>
      <c r="P11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13" s="84">
        <v>4</v>
      </c>
      <c r="R113" s="1" t="str" cm="1">
        <f t="array" ref="R113">_xlfn.IFS(TabelaClean[[#This Row],[qtde_batalhas]]&lt;=10,"Baixo",TabelaClean[[#This Row],[qtde_batalhas]]&gt;=26,"Alto",TabelaClean[[#This Row],[qtde_batalhas]]&lt;26,"Médio")</f>
        <v>Baixo</v>
      </c>
      <c r="S113" s="1" t="str">
        <f>IF(AND(TabelaClean[[#This Row],[nivel_risco]]="Alto",TabelaClean[[#This Row],[flag_inadimplente]]="Sim"),"Arriscado","Ok")</f>
        <v>Ok</v>
      </c>
      <c r="T113" s="26">
        <v>73500</v>
      </c>
      <c r="U113" s="81">
        <f>IF(AND(TabelaClean[[#This Row],[analise_risco]]="Arriscado",TabelaClean[[#This Row],[analise_credito]]="Reprovado"),0,IF(TabelaClean[[#This Row],[status]]="Ativo",TabelaClean[[#This Row],[valor_solicitado]]*1.08,0))</f>
        <v>79380</v>
      </c>
      <c r="W113" s="1"/>
      <c r="Y113" t="s">
        <v>809</v>
      </c>
      <c r="Z113" t="str">
        <f t="shared" si="1"/>
        <v>Null</v>
      </c>
      <c r="AE113" t="s">
        <v>446</v>
      </c>
      <c r="AF113" t="str">
        <f>TEXT(AE113,"000\.000\.000\-00")</f>
        <v>000.000.052-00</v>
      </c>
      <c r="AH113" s="15" t="s">
        <v>83</v>
      </c>
      <c r="AJ113" s="22">
        <v>15500</v>
      </c>
      <c r="AK113">
        <v>15500</v>
      </c>
      <c r="AM113" s="20">
        <v>75000</v>
      </c>
      <c r="AN113">
        <v>75000</v>
      </c>
      <c r="AO113">
        <v>75000</v>
      </c>
      <c r="AQ113" t="s">
        <v>183</v>
      </c>
      <c r="AZ113" s="39" t="s">
        <v>433</v>
      </c>
      <c r="BA113" t="s">
        <v>183</v>
      </c>
      <c r="BB113" s="26">
        <v>20800</v>
      </c>
      <c r="BC113" s="81">
        <f>IF(AND(TabelaClean[[#This Row],[analise_risco]]="Arriscado",TabelaClean[[#This Row],[analise_credito]]="Reprovado"),0,IF(TabelaClean[[#This Row],[status]]="Ativo",TabelaClean[[#This Row],[valor_solicitado]]*1.08,0))</f>
        <v>79380</v>
      </c>
    </row>
    <row r="114" spans="1:55">
      <c r="A114" s="24" t="s">
        <v>76</v>
      </c>
      <c r="B114" s="17" t="s">
        <v>386</v>
      </c>
      <c r="C114" s="25" t="s">
        <v>387</v>
      </c>
      <c r="D114" s="54">
        <v>28</v>
      </c>
      <c r="E114" s="30">
        <v>35993</v>
      </c>
      <c r="F114" s="24" t="str">
        <f>TabelaClean[[#This Row],[CidadeCPF]]</f>
        <v>Lannisporto</v>
      </c>
      <c r="G114" s="17" t="str">
        <f>TabelaClean[[#This Row],[RegiaoCPF]]</f>
        <v>Oeste</v>
      </c>
      <c r="H114" s="17" t="str">
        <f>_xlfn.XLOOKUP(TabelaClean[[#This Row],[cpf]],TabelaDirty[cpfclean],TabelaDirty[cidade])</f>
        <v>Lannisporto</v>
      </c>
      <c r="I114" s="17" t="str">
        <f>_xlfn.XLOOKUP(TabelaClean[[#This Row],[cpf]],TabelaDirty[cpfclean],TabelaDirty[regiao])</f>
        <v>Oeste</v>
      </c>
      <c r="J114" s="17" t="str">
        <f>PROPER(TabelaClean[[#This Row],[Coluna1]])</f>
        <v>Oeste</v>
      </c>
      <c r="K114" s="17" t="e">
        <f>_xlfn.TEXTBEFORE(TabelaClean[[#This Row],[CidadeCPF]]," | ")</f>
        <v>#N/A</v>
      </c>
      <c r="L114" s="24" t="e">
        <f>_xlfn.TEXTAFTER(TabelaClean[[#This Row],[CidadeCPF]]," | ")</f>
        <v>#N/A</v>
      </c>
      <c r="M114" s="26">
        <v>13400</v>
      </c>
      <c r="N114" s="78">
        <v>54000</v>
      </c>
      <c r="O114" s="1" t="s">
        <v>50</v>
      </c>
      <c r="P11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14" s="84">
        <v>15</v>
      </c>
      <c r="R114" s="1" t="str" cm="1">
        <f t="array" ref="R114">_xlfn.IFS(TabelaClean[[#This Row],[qtde_batalhas]]&lt;=10,"Baixo",TabelaClean[[#This Row],[qtde_batalhas]]&gt;=26,"Alto",TabelaClean[[#This Row],[qtde_batalhas]]&lt;26,"Médio")</f>
        <v>Médio</v>
      </c>
      <c r="S114" s="1" t="str">
        <f>IF(AND(TabelaClean[[#This Row],[nivel_risco]]="Alto",TabelaClean[[#This Row],[flag_inadimplente]]="Sim"),"Arriscado","Ok")</f>
        <v>Ok</v>
      </c>
      <c r="T114" s="26">
        <v>99000</v>
      </c>
      <c r="U114" s="81">
        <f>IF(AND(TabelaClean[[#This Row],[analise_risco]]="Arriscado",TabelaClean[[#This Row],[analise_credito]]="Reprovado"),0,IF(TabelaClean[[#This Row],[status]]="Ativo",TabelaClean[[#This Row],[valor_solicitado]]*1.08,0))</f>
        <v>106920</v>
      </c>
      <c r="W114" s="1"/>
      <c r="Y114" t="s">
        <v>809</v>
      </c>
      <c r="Z114" t="str">
        <f t="shared" si="1"/>
        <v>Null</v>
      </c>
      <c r="AE114" t="s">
        <v>295</v>
      </c>
      <c r="AF114" t="str">
        <f>TEXT(AE114,"000\.000\.000\-00")</f>
        <v>000.000.054-00</v>
      </c>
      <c r="AH114" s="15" t="s">
        <v>121</v>
      </c>
      <c r="AJ114" s="22">
        <v>9700</v>
      </c>
      <c r="AK114">
        <v>9700</v>
      </c>
      <c r="AM114" s="21">
        <v>25000</v>
      </c>
      <c r="AN114">
        <v>25000</v>
      </c>
      <c r="AO114">
        <v>25000</v>
      </c>
      <c r="AQ114" t="s">
        <v>172</v>
      </c>
      <c r="AZ114" s="38" t="s">
        <v>171</v>
      </c>
      <c r="BA114" t="s">
        <v>172</v>
      </c>
      <c r="BB114" s="26">
        <v>13400</v>
      </c>
      <c r="BC114" s="81">
        <f>IF(AND(TabelaClean[[#This Row],[analise_risco]]="Arriscado",TabelaClean[[#This Row],[analise_credito]]="Reprovado"),0,IF(TabelaClean[[#This Row],[status]]="Ativo",TabelaClean[[#This Row],[valor_solicitado]]*1.08,0))</f>
        <v>106920</v>
      </c>
    </row>
    <row r="115" spans="1:55">
      <c r="A115" s="24" t="s">
        <v>76</v>
      </c>
      <c r="B115" s="17" t="s">
        <v>376</v>
      </c>
      <c r="C115" s="25" t="s">
        <v>377</v>
      </c>
      <c r="D115" s="54">
        <v>26</v>
      </c>
      <c r="E115" s="30">
        <v>36475</v>
      </c>
      <c r="F115" s="17" t="str">
        <f>TabelaClean[[#This Row],[CidadeClean]]</f>
        <v>Harrenhal</v>
      </c>
      <c r="G115" s="17" t="str">
        <f>TabelaClean[[#This Row],[RegiaoClean]]</f>
        <v>Terras Fluviais</v>
      </c>
      <c r="H115" s="17" t="str">
        <f>_xlfn.XLOOKUP(TabelaClean[[#This Row],[cpf]],TabelaDirty[cpfclean],TabelaDirty[cidade])</f>
        <v>Harrenhal | Terras Fluviais</v>
      </c>
      <c r="I115" s="17">
        <f>_xlfn.XLOOKUP(TabelaClean[[#This Row],[cpf]],TabelaDirty[cpfclean],TabelaDirty[regiao])</f>
        <v>0</v>
      </c>
      <c r="J115" s="17" t="s">
        <v>139</v>
      </c>
      <c r="K115" s="17" t="str">
        <f>_xlfn.TEXTBEFORE(TabelaClean[[#This Row],[CidadeCPF]]," | ")</f>
        <v>Harrenhal</v>
      </c>
      <c r="L115" s="24" t="str">
        <f>_xlfn.TEXTAFTER(TabelaClean[[#This Row],[CidadeCPF]]," | ")</f>
        <v>Terras Fluviais</v>
      </c>
      <c r="M115" s="26">
        <v>13900</v>
      </c>
      <c r="N115" s="78">
        <v>53500</v>
      </c>
      <c r="O115" s="1" t="s">
        <v>50</v>
      </c>
      <c r="P11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15" s="84">
        <v>12</v>
      </c>
      <c r="R115" s="1" t="str" cm="1">
        <f t="array" ref="R115">_xlfn.IFS(TabelaClean[[#This Row],[qtde_batalhas]]&lt;=10,"Baixo",TabelaClean[[#This Row],[qtde_batalhas]]&gt;=26,"Alto",TabelaClean[[#This Row],[qtde_batalhas]]&lt;26,"Médio")</f>
        <v>Médio</v>
      </c>
      <c r="S115" s="1" t="str">
        <f>IF(AND(TabelaClean[[#This Row],[nivel_risco]]="Alto",TabelaClean[[#This Row],[flag_inadimplente]]="Sim"),"Arriscado","Ok")</f>
        <v>Ok</v>
      </c>
      <c r="T115" s="26">
        <v>85000</v>
      </c>
      <c r="U115" s="81">
        <f>IF(AND(TabelaClean[[#This Row],[analise_risco]]="Arriscado",TabelaClean[[#This Row],[analise_credito]]="Reprovado"),0,IF(TabelaClean[[#This Row],[status]]="Ativo",TabelaClean[[#This Row],[valor_solicitado]]*1.08,0))</f>
        <v>91800</v>
      </c>
      <c r="W115" s="1"/>
      <c r="Y115" t="s">
        <v>809</v>
      </c>
      <c r="Z115" t="str">
        <f t="shared" si="1"/>
        <v>Null</v>
      </c>
      <c r="AE115" t="s">
        <v>662</v>
      </c>
      <c r="AF115" t="str">
        <f>TEXT(AE115,"000\.000\.000\-00")</f>
        <v>000.000.055-00</v>
      </c>
      <c r="AH115" s="15" t="s">
        <v>79</v>
      </c>
      <c r="AJ115" s="22">
        <v>24000</v>
      </c>
      <c r="AK115">
        <v>24000</v>
      </c>
      <c r="AM115" s="20" t="s">
        <v>572</v>
      </c>
      <c r="AN115" t="s">
        <v>809</v>
      </c>
      <c r="AO115" t="s">
        <v>809</v>
      </c>
      <c r="AQ115" t="s">
        <v>83</v>
      </c>
      <c r="AZ115" s="39" t="s">
        <v>839</v>
      </c>
      <c r="BA115" t="s">
        <v>83</v>
      </c>
      <c r="BB115" s="26">
        <v>13900</v>
      </c>
      <c r="BC115" s="81">
        <f>IF(AND(TabelaClean[[#This Row],[analise_risco]]="Arriscado",TabelaClean[[#This Row],[analise_credito]]="Reprovado"),0,IF(TabelaClean[[#This Row],[status]]="Ativo",TabelaClean[[#This Row],[valor_solicitado]]*1.08,0))</f>
        <v>91800</v>
      </c>
    </row>
    <row r="116" spans="1:55">
      <c r="A116" s="24" t="s">
        <v>76</v>
      </c>
      <c r="B116" s="17" t="s">
        <v>322</v>
      </c>
      <c r="C116" s="25" t="s">
        <v>323</v>
      </c>
      <c r="D116" s="54">
        <v>40</v>
      </c>
      <c r="E116" s="30">
        <v>31408</v>
      </c>
      <c r="F116" s="17" t="str">
        <f>TabelaClean[[#This Row],[CidadeClean]]</f>
        <v>Braavos</v>
      </c>
      <c r="G116" s="17" t="str">
        <f>TabelaClean[[#This Row],[RegiaoClean]]</f>
        <v>Essos</v>
      </c>
      <c r="H116" s="17" t="str">
        <f>_xlfn.XLOOKUP(TabelaClean[[#This Row],[cpf]],TabelaDirty[cpfclean],TabelaDirty[cidade])</f>
        <v>Braavos | Essos</v>
      </c>
      <c r="I116" s="17">
        <f>_xlfn.XLOOKUP(TabelaClean[[#This Row],[cpf]],TabelaDirty[cpfclean],TabelaDirty[regiao])</f>
        <v>0</v>
      </c>
      <c r="J116" s="17" t="s">
        <v>122</v>
      </c>
      <c r="K116" s="17" t="str">
        <f>_xlfn.TEXTBEFORE(TabelaClean[[#This Row],[CidadeCPF]]," | ")</f>
        <v>Braavos</v>
      </c>
      <c r="L116" s="24" t="str">
        <f>_xlfn.TEXTAFTER(TabelaClean[[#This Row],[CidadeCPF]]," | ")</f>
        <v>Essos</v>
      </c>
      <c r="M116" s="26">
        <v>17400</v>
      </c>
      <c r="N116" s="78">
        <v>53000</v>
      </c>
      <c r="O116" s="1" t="s">
        <v>51</v>
      </c>
      <c r="P11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116" s="84">
        <v>20</v>
      </c>
      <c r="R116" s="1" t="str" cm="1">
        <f t="array" ref="R116">_xlfn.IFS(TabelaClean[[#This Row],[qtde_batalhas]]&lt;=10,"Baixo",TabelaClean[[#This Row],[qtde_batalhas]]&gt;=26,"Alto",TabelaClean[[#This Row],[qtde_batalhas]]&lt;26,"Médio")</f>
        <v>Médio</v>
      </c>
      <c r="S116" s="1" t="str">
        <f>IF(AND(TabelaClean[[#This Row],[nivel_risco]]="Alto",TabelaClean[[#This Row],[flag_inadimplente]]="Sim"),"Arriscado","Ok")</f>
        <v>Ok</v>
      </c>
      <c r="T116" s="26">
        <v>52500</v>
      </c>
      <c r="U116" s="81">
        <f>IF(AND(TabelaClean[[#This Row],[analise_risco]]="Arriscado",TabelaClean[[#This Row],[analise_credito]]="Reprovado"),0,IF(TabelaClean[[#This Row],[status]]="Ativo",TabelaClean[[#This Row],[valor_solicitado]]*1.08,0))</f>
        <v>56700.000000000007</v>
      </c>
      <c r="W116" s="1"/>
      <c r="Y116" t="s">
        <v>809</v>
      </c>
      <c r="Z116" t="str">
        <f t="shared" si="1"/>
        <v>Null</v>
      </c>
      <c r="AE116" t="s">
        <v>552</v>
      </c>
      <c r="AF116" t="str">
        <f>TEXT(AE116,"000\.000\.000\-00")</f>
        <v>000.000.056-00</v>
      </c>
      <c r="AH116" s="15" t="s">
        <v>183</v>
      </c>
      <c r="AJ116" s="22">
        <v>18700</v>
      </c>
      <c r="AK116">
        <v>18700</v>
      </c>
      <c r="AM116" s="21">
        <v>11000</v>
      </c>
      <c r="AN116">
        <v>11000</v>
      </c>
      <c r="AO116">
        <v>11000</v>
      </c>
      <c r="AQ116" t="s">
        <v>183</v>
      </c>
      <c r="AZ116" s="38" t="s">
        <v>840</v>
      </c>
      <c r="BA116" t="s">
        <v>183</v>
      </c>
      <c r="BB116" s="26">
        <v>17400</v>
      </c>
      <c r="BC116" s="81">
        <f>IF(AND(TabelaClean[[#This Row],[analise_risco]]="Arriscado",TabelaClean[[#This Row],[analise_credito]]="Reprovado"),0,IF(TabelaClean[[#This Row],[status]]="Ativo",TabelaClean[[#This Row],[valor_solicitado]]*1.08,0))</f>
        <v>56700.000000000007</v>
      </c>
    </row>
    <row r="117" spans="1:55">
      <c r="A117" s="24" t="s">
        <v>81</v>
      </c>
      <c r="B117" s="17" t="s">
        <v>749</v>
      </c>
      <c r="C117" s="25" t="s">
        <v>892</v>
      </c>
      <c r="D117" s="54">
        <v>48</v>
      </c>
      <c r="E117" s="30">
        <v>28446</v>
      </c>
      <c r="F117" s="24" t="str">
        <f>TabelaClean[[#This Row],[CidadeCPF]]</f>
        <v>Pedra do Dragão</v>
      </c>
      <c r="G117" s="17" t="str">
        <f>TabelaClean[[#This Row],[RegiaoCPF]]</f>
        <v>Terras Da Coroa</v>
      </c>
      <c r="H117" s="17" t="str">
        <f>_xlfn.XLOOKUP(TabelaClean[[#This Row],[cpf]],TabelaDirty[cpfclean],TabelaDirty[cidade])</f>
        <v>Pedra do Dragão</v>
      </c>
      <c r="I117" s="17" t="str">
        <f>_xlfn.XLOOKUP(TabelaClean[[#This Row],[cpf]],TabelaDirty[cpfclean],TabelaDirty[regiao])</f>
        <v>terras da coroa</v>
      </c>
      <c r="J117" s="17" t="str">
        <f>PROPER(TabelaClean[[#This Row],[Coluna1]])</f>
        <v>Terras Da Coroa</v>
      </c>
      <c r="K117" s="17" t="e">
        <f>_xlfn.TEXTBEFORE(TabelaClean[[#This Row],[CidadeCPF]]," | ")</f>
        <v>#N/A</v>
      </c>
      <c r="L117" s="24" t="e">
        <f>_xlfn.TEXTAFTER(TabelaClean[[#This Row],[CidadeCPF]]," | ")</f>
        <v>#N/A</v>
      </c>
      <c r="M117" s="26">
        <v>6900</v>
      </c>
      <c r="N117" s="78">
        <v>52500</v>
      </c>
      <c r="O117" s="1" t="s">
        <v>51</v>
      </c>
      <c r="P11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117" s="84">
        <v>0</v>
      </c>
      <c r="R117" s="1" t="str" cm="1">
        <f t="array" ref="R117">_xlfn.IFS(TabelaClean[[#This Row],[qtde_batalhas]]&lt;=10,"Baixo",TabelaClean[[#This Row],[qtde_batalhas]]&gt;=26,"Alto",TabelaClean[[#This Row],[qtde_batalhas]]&lt;26,"Médio")</f>
        <v>Baixo</v>
      </c>
      <c r="S117" s="1" t="str">
        <f>IF(AND(TabelaClean[[#This Row],[nivel_risco]]="Alto",TabelaClean[[#This Row],[flag_inadimplente]]="Sim"),"Arriscado","Ok")</f>
        <v>Ok</v>
      </c>
      <c r="T117" s="26">
        <v>66000</v>
      </c>
      <c r="U11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17" s="1"/>
      <c r="Y117" t="s">
        <v>809</v>
      </c>
      <c r="Z117" t="str">
        <f t="shared" si="1"/>
        <v>Null</v>
      </c>
      <c r="AE117" t="s">
        <v>189</v>
      </c>
      <c r="AF117" t="str">
        <f>TEXT(AE117,"000\.000\.000\-00")</f>
        <v>000.000.057-00</v>
      </c>
      <c r="AH117" s="15" t="s">
        <v>112</v>
      </c>
      <c r="AJ117" s="22">
        <v>12400</v>
      </c>
      <c r="AK117">
        <v>12400</v>
      </c>
      <c r="AM117" s="20">
        <v>0</v>
      </c>
      <c r="AN117">
        <v>0</v>
      </c>
      <c r="AO117">
        <v>0</v>
      </c>
      <c r="AQ117" t="s">
        <v>127</v>
      </c>
      <c r="AZ117" s="39" t="s">
        <v>697</v>
      </c>
      <c r="BA117" t="s">
        <v>127</v>
      </c>
      <c r="BB117" s="26">
        <v>6900</v>
      </c>
      <c r="BC11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18" spans="1:55">
      <c r="A118" s="24" t="s">
        <v>76</v>
      </c>
      <c r="B118" s="17" t="s">
        <v>646</v>
      </c>
      <c r="C118" s="25" t="s">
        <v>647</v>
      </c>
      <c r="D118" s="54">
        <v>57</v>
      </c>
      <c r="E118" s="30">
        <v>25350</v>
      </c>
      <c r="F118" s="24" t="str">
        <f>TabelaClean[[#This Row],[CidadeCPF]]</f>
        <v>Harrenhal</v>
      </c>
      <c r="G118" s="17" t="str">
        <f>TabelaClean[[#This Row],[RegiaoCPF]]</f>
        <v>Terras Fluviais</v>
      </c>
      <c r="H118" s="17" t="str">
        <f>_xlfn.XLOOKUP(TabelaClean[[#This Row],[cpf]],TabelaDirty[cpfclean],TabelaDirty[cidade])</f>
        <v>Harrenhal</v>
      </c>
      <c r="I118" s="17" t="str">
        <f>_xlfn.XLOOKUP(TabelaClean[[#This Row],[cpf]],TabelaDirty[cpfclean],TabelaDirty[regiao])</f>
        <v>Terras Fluviais</v>
      </c>
      <c r="J118" s="17" t="str">
        <f>PROPER(TabelaClean[[#This Row],[Coluna1]])</f>
        <v>Terras Fluviais</v>
      </c>
      <c r="K118" s="17" t="e">
        <f>_xlfn.TEXTBEFORE(TabelaClean[[#This Row],[CidadeCPF]]," | ")</f>
        <v>#N/A</v>
      </c>
      <c r="L118" s="24" t="e">
        <f>_xlfn.TEXTAFTER(TabelaClean[[#This Row],[CidadeCPF]]," | ")</f>
        <v>#N/A</v>
      </c>
      <c r="M118" s="26">
        <v>20600</v>
      </c>
      <c r="N118" s="78">
        <v>52500</v>
      </c>
      <c r="O118" s="1" t="s">
        <v>50</v>
      </c>
      <c r="P11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18" s="84">
        <v>16</v>
      </c>
      <c r="R118" s="1" t="str" cm="1">
        <f t="array" ref="R118">_xlfn.IFS(TabelaClean[[#This Row],[qtde_batalhas]]&lt;=10,"Baixo",TabelaClean[[#This Row],[qtde_batalhas]]&gt;=26,"Alto",TabelaClean[[#This Row],[qtde_batalhas]]&lt;26,"Médio")</f>
        <v>Médio</v>
      </c>
      <c r="S118" s="1" t="str">
        <f>IF(AND(TabelaClean[[#This Row],[nivel_risco]]="Alto",TabelaClean[[#This Row],[flag_inadimplente]]="Sim"),"Arriscado","Ok")</f>
        <v>Ok</v>
      </c>
      <c r="T118" s="26">
        <v>97000</v>
      </c>
      <c r="U118" s="81">
        <f>IF(AND(TabelaClean[[#This Row],[analise_risco]]="Arriscado",TabelaClean[[#This Row],[analise_credito]]="Reprovado"),0,IF(TabelaClean[[#This Row],[status]]="Ativo",TabelaClean[[#This Row],[valor_solicitado]]*1.08,0))</f>
        <v>104760</v>
      </c>
      <c r="W118" s="1"/>
      <c r="Y118" t="s">
        <v>809</v>
      </c>
      <c r="Z118" t="str">
        <f t="shared" si="1"/>
        <v>Null</v>
      </c>
      <c r="AE118" t="s">
        <v>666</v>
      </c>
      <c r="AF118" t="str">
        <f>TEXT(AE118,"000\.000\.000\-00")</f>
        <v>000.000.058-00</v>
      </c>
      <c r="AH118" s="15" t="s">
        <v>172</v>
      </c>
      <c r="AJ118" s="22" t="s">
        <v>553</v>
      </c>
      <c r="AK118">
        <v>20900</v>
      </c>
      <c r="AM118" s="21">
        <v>54000</v>
      </c>
      <c r="AN118">
        <v>54000</v>
      </c>
      <c r="AO118">
        <v>54000</v>
      </c>
      <c r="AQ118" t="s">
        <v>162</v>
      </c>
      <c r="AZ118" s="38" t="s">
        <v>370</v>
      </c>
      <c r="BA118" t="s">
        <v>162</v>
      </c>
      <c r="BB118" s="26">
        <v>20600</v>
      </c>
      <c r="BC118" s="81">
        <f>IF(AND(TabelaClean[[#This Row],[analise_risco]]="Arriscado",TabelaClean[[#This Row],[analise_credito]]="Reprovado"),0,IF(TabelaClean[[#This Row],[status]]="Ativo",TabelaClean[[#This Row],[valor_solicitado]]*1.08,0))</f>
        <v>104760</v>
      </c>
    </row>
    <row r="119" spans="1:55">
      <c r="A119" s="24" t="s">
        <v>76</v>
      </c>
      <c r="B119" s="17" t="s">
        <v>297</v>
      </c>
      <c r="C119" s="25" t="s">
        <v>298</v>
      </c>
      <c r="D119" s="54">
        <v>53</v>
      </c>
      <c r="E119" s="30">
        <v>26812</v>
      </c>
      <c r="F119" s="24" t="str">
        <f>TabelaClean[[#This Row],[CidadeCPF]]</f>
        <v>Meereen</v>
      </c>
      <c r="G119" s="17" t="str">
        <f>TabelaClean[[#This Row],[RegiaoCPF]]</f>
        <v>Essos</v>
      </c>
      <c r="H119" s="17" t="str">
        <f>_xlfn.XLOOKUP(TabelaClean[[#This Row],[cpf]],TabelaDirty[cpfclean],TabelaDirty[cidade])</f>
        <v>Meereen</v>
      </c>
      <c r="I119" s="17" t="str">
        <f>_xlfn.XLOOKUP(TabelaClean[[#This Row],[cpf]],TabelaDirty[cpfclean],TabelaDirty[regiao])</f>
        <v>Essos</v>
      </c>
      <c r="J119" s="17" t="str">
        <f>PROPER(TabelaClean[[#This Row],[Coluna1]])</f>
        <v>Essos</v>
      </c>
      <c r="K119" s="17" t="e">
        <f>_xlfn.TEXTBEFORE(TabelaClean[[#This Row],[CidadeCPF]]," | ")</f>
        <v>#N/A</v>
      </c>
      <c r="L119" s="24" t="e">
        <f>_xlfn.TEXTAFTER(TabelaClean[[#This Row],[CidadeCPF]]," | ")</f>
        <v>#N/A</v>
      </c>
      <c r="M119" s="26">
        <v>27800</v>
      </c>
      <c r="N119" s="78">
        <v>52000</v>
      </c>
      <c r="O119" s="1" t="s">
        <v>50</v>
      </c>
      <c r="P11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19" s="84">
        <v>43</v>
      </c>
      <c r="R119" s="1" t="str" cm="1">
        <f t="array" ref="R119">_xlfn.IFS(TabelaClean[[#This Row],[qtde_batalhas]]&lt;=10,"Baixo",TabelaClean[[#This Row],[qtde_batalhas]]&gt;=26,"Alto",TabelaClean[[#This Row],[qtde_batalhas]]&lt;26,"Médio")</f>
        <v>Alto</v>
      </c>
      <c r="S119" s="1" t="str">
        <f>IF(AND(TabelaClean[[#This Row],[nivel_risco]]="Alto",TabelaClean[[#This Row],[flag_inadimplente]]="Sim"),"Arriscado","Ok")</f>
        <v>Ok</v>
      </c>
      <c r="T119" s="26">
        <v>93500</v>
      </c>
      <c r="U119" s="81">
        <f>IF(AND(TabelaClean[[#This Row],[analise_risco]]="Arriscado",TabelaClean[[#This Row],[analise_credito]]="Reprovado"),0,IF(TabelaClean[[#This Row],[status]]="Ativo",TabelaClean[[#This Row],[valor_solicitado]]*1.08,0))</f>
        <v>100980</v>
      </c>
      <c r="W119" s="1"/>
      <c r="Y119" t="s">
        <v>809</v>
      </c>
      <c r="Z119" t="str">
        <f t="shared" si="1"/>
        <v>Null</v>
      </c>
      <c r="AE119" t="s">
        <v>111</v>
      </c>
      <c r="AF119" t="str">
        <f>TEXT(AE119,"000\.000\.000\-00")</f>
        <v>000.000.059-00</v>
      </c>
      <c r="AH119" s="15" t="s">
        <v>83</v>
      </c>
      <c r="AJ119" s="22">
        <v>23400</v>
      </c>
      <c r="AK119">
        <v>23400</v>
      </c>
      <c r="AM119" s="20">
        <v>59000</v>
      </c>
      <c r="AN119">
        <v>59000</v>
      </c>
      <c r="AO119">
        <v>59000</v>
      </c>
      <c r="AQ119" t="s">
        <v>112</v>
      </c>
      <c r="AZ119" s="39" t="s">
        <v>637</v>
      </c>
      <c r="BA119" t="s">
        <v>112</v>
      </c>
      <c r="BB119" s="26">
        <v>27800</v>
      </c>
      <c r="BC119" s="81">
        <f>IF(AND(TabelaClean[[#This Row],[analise_risco]]="Arriscado",TabelaClean[[#This Row],[analise_credito]]="Reprovado"),0,IF(TabelaClean[[#This Row],[status]]="Ativo",TabelaClean[[#This Row],[valor_solicitado]]*1.08,0))</f>
        <v>100980</v>
      </c>
    </row>
    <row r="120" spans="1:55">
      <c r="A120" s="24" t="s">
        <v>81</v>
      </c>
      <c r="B120" s="17" t="s">
        <v>570</v>
      </c>
      <c r="C120" t="str">
        <f>_xlfn.XLOOKUP(TabelaClean[[#This Row],[nome]],Base_Dirty!$B:$B,Base_Dirty!D:D)</f>
        <v>000.000.322-00</v>
      </c>
      <c r="D120" s="54">
        <f>_xlfn.XLOOKUP(TabelaClean[[#This Row],[nome]],Base_Dirty!B:B,Base_Dirty!E:E)</f>
        <v>26</v>
      </c>
      <c r="E120" s="30">
        <v>26</v>
      </c>
      <c r="F120" s="17" t="s">
        <v>89</v>
      </c>
      <c r="G120" s="17" t="s">
        <v>90</v>
      </c>
      <c r="H120" s="24" t="s">
        <v>165</v>
      </c>
      <c r="I120" s="24">
        <v>24000</v>
      </c>
      <c r="J120" s="24" t="s">
        <v>572</v>
      </c>
      <c r="K120" s="24" t="s">
        <v>50</v>
      </c>
      <c r="L120" s="24">
        <v>30</v>
      </c>
      <c r="M120" s="23">
        <f>_xlfn.XLOOKUP(TabelaClean[[#This Row],[nome]],Base_Dirty!$B:$B,Base_Dirty!I:I)</f>
        <v>24000</v>
      </c>
      <c r="N120" s="78">
        <v>52000</v>
      </c>
      <c r="O120" s="79" t="s">
        <v>50</v>
      </c>
      <c r="P12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0" s="84">
        <f>_xlfn.XLOOKUP(TabelaClean[[#This Row],[nome]],Base_Dirty!$B:$B,Base_Dirty!L:L)</f>
        <v>30</v>
      </c>
      <c r="R120" s="76" t="str" cm="1">
        <f t="array" ref="R120">_xlfn.IFS(TabelaClean[[#This Row],[qtde_batalhas]]&lt;=10,"Baixo",TabelaClean[[#This Row],[qtde_batalhas]]&gt;=26,"Alto",TabelaClean[[#This Row],[qtde_batalhas]]&lt;26,"Médio")</f>
        <v>Alto</v>
      </c>
      <c r="S120" s="76" t="str">
        <f>IF(AND(TabelaClean[[#This Row],[nivel_risco]]="Alto",TabelaClean[[#This Row],[flag_inadimplente]]="Sim"),"Arriscado","Ok")</f>
        <v>Ok</v>
      </c>
      <c r="T120" s="26">
        <f>_xlfn.XLOOKUP(TabelaClean[[#This Row],[nome]],Base_Dirty!$B:$B,Base_Dirty!O:O)</f>
        <v>62500</v>
      </c>
      <c r="U12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20" s="1"/>
      <c r="Y120" t="s">
        <v>413</v>
      </c>
      <c r="Z120" t="str">
        <f t="shared" si="1"/>
        <v>Terras Da Coroa</v>
      </c>
      <c r="AE120" t="s">
        <v>776</v>
      </c>
      <c r="AF120" t="str">
        <f>TEXT(AE120,"000\.000\.000\-00")</f>
        <v>000.000.060-00</v>
      </c>
      <c r="AH120" s="15" t="s">
        <v>121</v>
      </c>
      <c r="AJ120" s="22">
        <v>17000</v>
      </c>
      <c r="AK120">
        <v>17000</v>
      </c>
      <c r="AM120" s="21">
        <v>41000</v>
      </c>
      <c r="AN120">
        <v>41000</v>
      </c>
      <c r="AO120">
        <v>41000</v>
      </c>
      <c r="AQ120" t="s">
        <v>162</v>
      </c>
      <c r="AZ120" s="38" t="s">
        <v>522</v>
      </c>
      <c r="BA120" t="s">
        <v>162</v>
      </c>
      <c r="BB120" s="23">
        <f>_xlfn.XLOOKUP(TabelaClean[[#This Row],[nome]],Base_Dirty!$B:$B,Base_Dirty!AX:AX)</f>
        <v>0</v>
      </c>
      <c r="BC12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21" spans="1:55">
      <c r="A121" s="24" t="s">
        <v>81</v>
      </c>
      <c r="B121" s="17" t="s">
        <v>570</v>
      </c>
      <c r="C121" s="25" t="s">
        <v>571</v>
      </c>
      <c r="D121" s="54">
        <v>26</v>
      </c>
      <c r="E121" s="30">
        <v>36540</v>
      </c>
      <c r="F121" s="24" t="str">
        <f>TabelaClean[[#This Row],[CidadeCPF]]</f>
        <v>Pedra do Dragão</v>
      </c>
      <c r="G121" s="17" t="str">
        <f>TabelaClean[[#This Row],[RegiaoCPF]]</f>
        <v>Terras Da Coroa</v>
      </c>
      <c r="H121" s="17" t="str">
        <f>_xlfn.XLOOKUP(TabelaClean[[#This Row],[cpf]],TabelaDirty[cpfclean],TabelaDirty[cidade])</f>
        <v>Pedra do Dragão</v>
      </c>
      <c r="I121" s="17" t="str">
        <f>_xlfn.XLOOKUP(TabelaClean[[#This Row],[cpf]],TabelaDirty[cpfclean],TabelaDirty[regiao])</f>
        <v>TERRAS DA COROA</v>
      </c>
      <c r="J121" s="17" t="str">
        <f>PROPER(TabelaClean[[#This Row],[Coluna1]])</f>
        <v>Terras Da Coroa</v>
      </c>
      <c r="K121" s="17" t="e">
        <f>_xlfn.TEXTBEFORE(TabelaClean[[#This Row],[CidadeCPF]]," | ")</f>
        <v>#N/A</v>
      </c>
      <c r="L121" s="24" t="e">
        <f>_xlfn.TEXTAFTER(TabelaClean[[#This Row],[CidadeCPF]]," | ")</f>
        <v>#N/A</v>
      </c>
      <c r="M121" s="26">
        <v>24000</v>
      </c>
      <c r="N121" s="78">
        <v>52000</v>
      </c>
      <c r="O121" s="1" t="s">
        <v>50</v>
      </c>
      <c r="P12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1" s="84">
        <v>30</v>
      </c>
      <c r="R121" s="1" t="str" cm="1">
        <f t="array" ref="R121">_xlfn.IFS(TabelaClean[[#This Row],[qtde_batalhas]]&lt;=10,"Baixo",TabelaClean[[#This Row],[qtde_batalhas]]&gt;=26,"Alto",TabelaClean[[#This Row],[qtde_batalhas]]&lt;26,"Médio")</f>
        <v>Alto</v>
      </c>
      <c r="S121" s="1" t="str">
        <f>IF(AND(TabelaClean[[#This Row],[nivel_risco]]="Alto",TabelaClean[[#This Row],[flag_inadimplente]]="Sim"),"Arriscado","Ok")</f>
        <v>Ok</v>
      </c>
      <c r="T121" s="26">
        <v>62500</v>
      </c>
      <c r="U12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21" s="1"/>
      <c r="Y121" t="s">
        <v>809</v>
      </c>
      <c r="Z121" t="str">
        <f t="shared" si="1"/>
        <v>Null</v>
      </c>
      <c r="AE121" t="s">
        <v>504</v>
      </c>
      <c r="AF121" t="str">
        <f>TEXT(AE121,"000\.000\.000\-00")</f>
        <v>000.000.061-00</v>
      </c>
      <c r="AH121" s="15" t="s">
        <v>83</v>
      </c>
      <c r="AK121" t="s">
        <v>809</v>
      </c>
      <c r="AM121" s="20">
        <v>73500</v>
      </c>
      <c r="AN121">
        <v>73500</v>
      </c>
      <c r="AO121">
        <v>73500</v>
      </c>
      <c r="AQ121" t="s">
        <v>103</v>
      </c>
      <c r="AZ121" s="39" t="s">
        <v>854</v>
      </c>
      <c r="BA121" t="s">
        <v>103</v>
      </c>
      <c r="BB121" s="26">
        <v>24000</v>
      </c>
      <c r="BC12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22" spans="1:55">
      <c r="A122" s="24" t="s">
        <v>81</v>
      </c>
      <c r="B122" s="17" t="s">
        <v>577</v>
      </c>
      <c r="C122" s="25" t="s">
        <v>578</v>
      </c>
      <c r="D122" s="54">
        <v>33</v>
      </c>
      <c r="E122" s="30">
        <v>33902</v>
      </c>
      <c r="F122" s="24" t="str">
        <f>TabelaClean[[#This Row],[CidadeCPF]]</f>
        <v>Jardim de Cima</v>
      </c>
      <c r="G122" s="17" t="str">
        <f>TabelaClean[[#This Row],[RegiaoCPF]]</f>
        <v>Campina</v>
      </c>
      <c r="H122" s="17" t="str">
        <f>_xlfn.XLOOKUP(TabelaClean[[#This Row],[cpf]],TabelaDirty[cpfclean],TabelaDirty[cidade])</f>
        <v>Jardim de Cima</v>
      </c>
      <c r="I122" s="17" t="str">
        <f>_xlfn.XLOOKUP(TabelaClean[[#This Row],[cpf]],TabelaDirty[cpfclean],TabelaDirty[regiao])</f>
        <v>campina</v>
      </c>
      <c r="J122" s="17" t="str">
        <f>PROPER(TabelaClean[[#This Row],[Coluna1]])</f>
        <v>Campina</v>
      </c>
      <c r="K122" s="17" t="e">
        <f>_xlfn.TEXTBEFORE(TabelaClean[[#This Row],[CidadeCPF]]," | ")</f>
        <v>#N/A</v>
      </c>
      <c r="L122" s="24" t="e">
        <f>_xlfn.TEXTAFTER(TabelaClean[[#This Row],[CidadeCPF]]," | ")</f>
        <v>#N/A</v>
      </c>
      <c r="M122" s="26">
        <v>12500</v>
      </c>
      <c r="N122" s="78">
        <v>51500</v>
      </c>
      <c r="O122" s="1" t="s">
        <v>51</v>
      </c>
      <c r="P12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122" s="84">
        <v>44</v>
      </c>
      <c r="R122" s="1" t="str" cm="1">
        <f t="array" ref="R122">_xlfn.IFS(TabelaClean[[#This Row],[qtde_batalhas]]&lt;=10,"Baixo",TabelaClean[[#This Row],[qtde_batalhas]]&gt;=26,"Alto",TabelaClean[[#This Row],[qtde_batalhas]]&lt;26,"Médio")</f>
        <v>Alto</v>
      </c>
      <c r="S122" s="1" t="str">
        <f>IF(AND(TabelaClean[[#This Row],[nivel_risco]]="Alto",TabelaClean[[#This Row],[flag_inadimplente]]="Sim"),"Arriscado","Ok")</f>
        <v>Arriscado</v>
      </c>
      <c r="T122" s="26">
        <v>24000</v>
      </c>
      <c r="U12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22" s="1"/>
      <c r="Y122" t="s">
        <v>809</v>
      </c>
      <c r="Z122" t="str">
        <f t="shared" si="1"/>
        <v>Null</v>
      </c>
      <c r="AE122" t="s">
        <v>687</v>
      </c>
      <c r="AF122" t="str">
        <f>TEXT(AE122,"000\.000\.000\-00")</f>
        <v>000.000.062-00</v>
      </c>
      <c r="AH122" s="15" t="s">
        <v>242</v>
      </c>
      <c r="AJ122" s="22" t="s">
        <v>549</v>
      </c>
      <c r="AK122">
        <v>14300</v>
      </c>
      <c r="AM122" s="21" t="s">
        <v>550</v>
      </c>
      <c r="AN122" t="s">
        <v>809</v>
      </c>
      <c r="AO122" t="s">
        <v>809</v>
      </c>
      <c r="AQ122" t="s">
        <v>127</v>
      </c>
      <c r="AZ122" s="38" t="s">
        <v>857</v>
      </c>
      <c r="BA122" t="s">
        <v>127</v>
      </c>
      <c r="BB122" s="26">
        <v>12500</v>
      </c>
      <c r="BC12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23" spans="1:55">
      <c r="A123" s="24" t="s">
        <v>76</v>
      </c>
      <c r="B123" s="17" t="s">
        <v>147</v>
      </c>
      <c r="C123" s="25" t="s">
        <v>893</v>
      </c>
      <c r="D123" s="54">
        <v>25</v>
      </c>
      <c r="E123" s="30">
        <v>36831</v>
      </c>
      <c r="F123" s="24" t="str">
        <f>TabelaClean[[#This Row],[CidadeCPF]]</f>
        <v>Vilavelha</v>
      </c>
      <c r="G123" s="17" t="str">
        <f>TabelaClean[[#This Row],[RegiaoCPF]]</f>
        <v>Campina</v>
      </c>
      <c r="H123" s="17" t="str">
        <f>_xlfn.XLOOKUP(TabelaClean[[#This Row],[cpf]],TabelaDirty[cpfclean],TabelaDirty[cidade])</f>
        <v>Vilavelha</v>
      </c>
      <c r="I123" s="17" t="str">
        <f>_xlfn.XLOOKUP(TabelaClean[[#This Row],[cpf]],TabelaDirty[cpfclean],TabelaDirty[regiao])</f>
        <v>Campina</v>
      </c>
      <c r="J123" s="17" t="str">
        <f>PROPER(TabelaClean[[#This Row],[Coluna1]])</f>
        <v>Campina</v>
      </c>
      <c r="K123" s="17" t="e">
        <f>_xlfn.TEXTBEFORE(TabelaClean[[#This Row],[CidadeCPF]]," | ")</f>
        <v>#N/A</v>
      </c>
      <c r="L123" s="24" t="e">
        <f>_xlfn.TEXTAFTER(TabelaClean[[#This Row],[CidadeCPF]]," | ")</f>
        <v>#N/A</v>
      </c>
      <c r="M123" s="26">
        <v>9400</v>
      </c>
      <c r="N123" s="78">
        <v>51500</v>
      </c>
      <c r="O123" s="1" t="s">
        <v>50</v>
      </c>
      <c r="P12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3" s="84">
        <v>14</v>
      </c>
      <c r="R123" s="1" t="str" cm="1">
        <f t="array" ref="R123">_xlfn.IFS(TabelaClean[[#This Row],[qtde_batalhas]]&lt;=10,"Baixo",TabelaClean[[#This Row],[qtde_batalhas]]&gt;=26,"Alto",TabelaClean[[#This Row],[qtde_batalhas]]&lt;26,"Médio")</f>
        <v>Médio</v>
      </c>
      <c r="S123" s="1" t="str">
        <f>IF(AND(TabelaClean[[#This Row],[nivel_risco]]="Alto",TabelaClean[[#This Row],[flag_inadimplente]]="Sim"),"Arriscado","Ok")</f>
        <v>Ok</v>
      </c>
      <c r="T123" s="26">
        <v>29500</v>
      </c>
      <c r="U123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  <c r="W123" s="1"/>
      <c r="Y123" t="s">
        <v>809</v>
      </c>
      <c r="Z123" t="str">
        <f t="shared" si="1"/>
        <v>Null</v>
      </c>
      <c r="AE123" t="s">
        <v>328</v>
      </c>
      <c r="AF123" t="str">
        <f>TEXT(AE123,"000\.000\.000\-00")</f>
        <v>000.000.065-00</v>
      </c>
      <c r="AH123" s="15" t="s">
        <v>215</v>
      </c>
      <c r="AJ123" s="22">
        <v>9900</v>
      </c>
      <c r="AK123">
        <v>9900</v>
      </c>
      <c r="AM123" s="20" t="s">
        <v>464</v>
      </c>
      <c r="AN123" t="s">
        <v>809</v>
      </c>
      <c r="AO123" t="s">
        <v>809</v>
      </c>
      <c r="AQ123" t="s">
        <v>112</v>
      </c>
      <c r="AZ123" s="39" t="s">
        <v>540</v>
      </c>
      <c r="BA123" t="s">
        <v>112</v>
      </c>
      <c r="BB123" s="26">
        <v>9400</v>
      </c>
      <c r="BC123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</row>
    <row r="124" spans="1:55">
      <c r="A124" t="s">
        <v>76</v>
      </c>
      <c r="B124" t="s">
        <v>147</v>
      </c>
      <c r="C124" t="s">
        <v>787</v>
      </c>
      <c r="D124" s="54">
        <f>_xlfn.XLOOKUP(TabelaClean[[#This Row],[nome]],Base_Dirty!B:B,Base_Dirty!E:E)</f>
        <v>25</v>
      </c>
      <c r="E124" s="51">
        <f>_xlfn.XLOOKUP(TabelaClean[[#This Row],[nome]],Base_Dirty!$B:$B,Base_Dirty!F:F)</f>
        <v>36831</v>
      </c>
      <c r="F124" t="s">
        <v>148</v>
      </c>
      <c r="G124" s="17" t="s">
        <v>149</v>
      </c>
      <c r="H124" t="s">
        <v>149</v>
      </c>
      <c r="I124" s="13">
        <v>9400</v>
      </c>
      <c r="J124">
        <v>51500</v>
      </c>
      <c r="K124" t="s">
        <v>50</v>
      </c>
      <c r="L124">
        <v>14</v>
      </c>
      <c r="M124" s="23">
        <f>_xlfn.XLOOKUP(TabelaClean[[#This Row],[nome]],Base_Dirty!$B:$B,Base_Dirty!I:I)</f>
        <v>9400</v>
      </c>
      <c r="N124" s="78">
        <f>_xlfn.XLOOKUP(TabelaClean[[#This Row],[nome]],Base_Dirty!$B:$B,Base_Dirty!J:J)</f>
        <v>51500</v>
      </c>
      <c r="O124" s="79" t="s">
        <v>50</v>
      </c>
      <c r="P124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4" s="84">
        <f>_xlfn.XLOOKUP(TabelaClean[[#This Row],[nome]],Base_Dirty!$B:$B,Base_Dirty!L:L)</f>
        <v>14</v>
      </c>
      <c r="R124"/>
      <c r="S124"/>
      <c r="T124" s="26">
        <f>_xlfn.XLOOKUP(TabelaClean[[#This Row],[nome]],Base_Dirty!$B:$B,Base_Dirty!O:O)</f>
        <v>29500</v>
      </c>
      <c r="U124" s="17"/>
      <c r="W124" s="1"/>
      <c r="Y124" t="s">
        <v>809</v>
      </c>
      <c r="Z124" t="str">
        <f t="shared" si="1"/>
        <v>Null</v>
      </c>
      <c r="AE124" t="s">
        <v>241</v>
      </c>
      <c r="AF124" t="str">
        <f>TEXT(AE124,"000\.000\.000\-00")</f>
        <v>000.000.066-00</v>
      </c>
      <c r="AH124" s="15" t="s">
        <v>162</v>
      </c>
      <c r="AJ124" s="22">
        <v>28800</v>
      </c>
      <c r="AK124">
        <v>28800</v>
      </c>
      <c r="AM124" s="21">
        <v>78500</v>
      </c>
      <c r="AN124">
        <v>78500</v>
      </c>
      <c r="AO124">
        <v>78500</v>
      </c>
      <c r="AQ124" t="s">
        <v>148</v>
      </c>
      <c r="AZ124" s="38" t="s">
        <v>409</v>
      </c>
      <c r="BA124" t="s">
        <v>148</v>
      </c>
      <c r="BB124" s="23">
        <f>_xlfn.XLOOKUP(TabelaClean[[#This Row],[nome]],Base_Dirty!$B:$B,Base_Dirty!AX:AX)</f>
        <v>0</v>
      </c>
      <c r="BC124" s="17"/>
    </row>
    <row r="125" spans="1:55">
      <c r="A125" s="24" t="s">
        <v>76</v>
      </c>
      <c r="B125" s="17" t="s">
        <v>147</v>
      </c>
      <c r="C125" t="str">
        <f>_xlfn.XLOOKUP(TabelaClean[[#This Row],[nome]],Base_Dirty!$B:$B,Base_Dirty!D:D)</f>
        <v>000.000.223-00</v>
      </c>
      <c r="D125" s="54">
        <f>_xlfn.XLOOKUP(TabelaClean[[#This Row],[nome]],Base_Dirty!B:B,Base_Dirty!E:E)</f>
        <v>25</v>
      </c>
      <c r="E125" s="30">
        <v>25</v>
      </c>
      <c r="F125" s="50" t="s">
        <v>148</v>
      </c>
      <c r="G125" s="17" t="s">
        <v>149</v>
      </c>
      <c r="H125" s="24" t="s">
        <v>149</v>
      </c>
      <c r="I125" s="24">
        <v>9400</v>
      </c>
      <c r="J125" s="24">
        <v>51500</v>
      </c>
      <c r="K125" s="24" t="s">
        <v>50</v>
      </c>
      <c r="L125" s="24">
        <v>14</v>
      </c>
      <c r="M125" s="23">
        <f>_xlfn.XLOOKUP(TabelaClean[[#This Row],[nome]],Base_Dirty!$B:$B,Base_Dirty!I:I)</f>
        <v>9400</v>
      </c>
      <c r="N125" s="78">
        <f>_xlfn.XLOOKUP(TabelaClean[[#This Row],[nome]],Base_Dirty!$B:$B,Base_Dirty!J:J)</f>
        <v>51500</v>
      </c>
      <c r="O125" s="79" t="s">
        <v>50</v>
      </c>
      <c r="P125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5" s="84">
        <f>_xlfn.XLOOKUP(TabelaClean[[#This Row],[nome]],Base_Dirty!$B:$B,Base_Dirty!L:L)</f>
        <v>14</v>
      </c>
      <c r="R125" s="76" t="str" cm="1">
        <f t="array" ref="R125">_xlfn.IFS(TabelaClean[[#This Row],[qtde_batalhas]]&lt;=10,"Baixo",TabelaClean[[#This Row],[qtde_batalhas]]&gt;=26,"Alto",TabelaClean[[#This Row],[qtde_batalhas]]&lt;26,"Médio")</f>
        <v>Médio</v>
      </c>
      <c r="S125" s="76" t="str">
        <f>IF(AND(TabelaClean[[#This Row],[nivel_risco]]="Alto",TabelaClean[[#This Row],[flag_inadimplente]]="Sim"),"Arriscado","Ok")</f>
        <v>Ok</v>
      </c>
      <c r="T125" s="26">
        <f>_xlfn.XLOOKUP(TabelaClean[[#This Row],[nome]],Base_Dirty!$B:$B,Base_Dirty!O:O)</f>
        <v>29500</v>
      </c>
      <c r="U125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  <c r="W125" s="1"/>
      <c r="Y125" t="s">
        <v>809</v>
      </c>
      <c r="Z125" t="str">
        <f t="shared" si="1"/>
        <v>Null</v>
      </c>
      <c r="AE125" t="s">
        <v>284</v>
      </c>
      <c r="AF125" t="str">
        <f>TEXT(AE125,"000\.000\.000\-00")</f>
        <v>000.000.067-00</v>
      </c>
      <c r="AH125" s="15" t="s">
        <v>148</v>
      </c>
      <c r="AK125" t="s">
        <v>809</v>
      </c>
      <c r="AM125" s="20">
        <v>21000</v>
      </c>
      <c r="AN125">
        <v>21000</v>
      </c>
      <c r="AO125">
        <v>21000</v>
      </c>
      <c r="AQ125" t="s">
        <v>127</v>
      </c>
      <c r="AZ125" s="39" t="s">
        <v>417</v>
      </c>
      <c r="BA125" t="s">
        <v>127</v>
      </c>
      <c r="BB125" s="23">
        <f>_xlfn.XLOOKUP(TabelaClean[[#This Row],[nome]],Base_Dirty!$B:$B,Base_Dirty!AX:AX)</f>
        <v>0</v>
      </c>
      <c r="BC125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</row>
    <row r="126" spans="1:55">
      <c r="A126" s="24" t="s">
        <v>76</v>
      </c>
      <c r="B126" s="17" t="s">
        <v>692</v>
      </c>
      <c r="C126" s="25" t="s">
        <v>693</v>
      </c>
      <c r="D126" s="54">
        <v>71</v>
      </c>
      <c r="E126" s="30">
        <v>20275</v>
      </c>
      <c r="F126" s="24" t="str">
        <f>TabelaClean[[#This Row],[CidadeCPF]]</f>
        <v>Lannisporto</v>
      </c>
      <c r="G126" s="17" t="str">
        <f>TabelaClean[[#This Row],[RegiaoCPF]]</f>
        <v>Oeste</v>
      </c>
      <c r="H126" s="17" t="str">
        <f>_xlfn.XLOOKUP(TabelaClean[[#This Row],[cpf]],TabelaDirty[cpfclean],TabelaDirty[cidade])</f>
        <v>Lannisporto</v>
      </c>
      <c r="I126" s="17" t="str">
        <f>_xlfn.XLOOKUP(TabelaClean[[#This Row],[cpf]],TabelaDirty[cpfclean],TabelaDirty[regiao])</f>
        <v>Oeste</v>
      </c>
      <c r="J126" s="17" t="str">
        <f>PROPER(TabelaClean[[#This Row],[Coluna1]])</f>
        <v>Oeste</v>
      </c>
      <c r="K126" s="17" t="e">
        <f>_xlfn.TEXTBEFORE(TabelaClean[[#This Row],[CidadeCPF]]," | ")</f>
        <v>#N/A</v>
      </c>
      <c r="L126" s="24" t="e">
        <f>_xlfn.TEXTAFTER(TabelaClean[[#This Row],[CidadeCPF]]," | ")</f>
        <v>#N/A</v>
      </c>
      <c r="M126" s="26">
        <v>14200</v>
      </c>
      <c r="N126" s="78">
        <v>51000</v>
      </c>
      <c r="O126" s="1" t="s">
        <v>50</v>
      </c>
      <c r="P12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6" s="84">
        <v>10</v>
      </c>
      <c r="R126" s="1" t="str" cm="1">
        <f t="array" ref="R126">_xlfn.IFS(TabelaClean[[#This Row],[qtde_batalhas]]&lt;=10,"Baixo",TabelaClean[[#This Row],[qtde_batalhas]]&gt;=26,"Alto",TabelaClean[[#This Row],[qtde_batalhas]]&lt;26,"Médio")</f>
        <v>Baixo</v>
      </c>
      <c r="S126" s="1" t="str">
        <f>IF(AND(TabelaClean[[#This Row],[nivel_risco]]="Alto",TabelaClean[[#This Row],[flag_inadimplente]]="Sim"),"Arriscado","Ok")</f>
        <v>Ok</v>
      </c>
      <c r="T126" s="26">
        <v>90500</v>
      </c>
      <c r="U126" s="81">
        <f>IF(AND(TabelaClean[[#This Row],[analise_risco]]="Arriscado",TabelaClean[[#This Row],[analise_credito]]="Reprovado"),0,IF(TabelaClean[[#This Row],[status]]="Ativo",TabelaClean[[#This Row],[valor_solicitado]]*1.08,0))</f>
        <v>97740</v>
      </c>
      <c r="W126" s="1"/>
      <c r="Y126" t="s">
        <v>809</v>
      </c>
      <c r="Z126" t="str">
        <f t="shared" si="1"/>
        <v>Null</v>
      </c>
      <c r="AE126" t="s">
        <v>493</v>
      </c>
      <c r="AF126" t="str">
        <f>TEXT(AE126,"000\.000\.000\-00")</f>
        <v>000.000.070-00</v>
      </c>
      <c r="AH126" s="15" t="s">
        <v>83</v>
      </c>
      <c r="AJ126" s="22">
        <v>24700</v>
      </c>
      <c r="AK126">
        <v>24700</v>
      </c>
      <c r="AM126" s="21">
        <v>23000</v>
      </c>
      <c r="AN126">
        <v>23000</v>
      </c>
      <c r="AO126">
        <v>23000</v>
      </c>
      <c r="AQ126" t="s">
        <v>183</v>
      </c>
      <c r="AZ126" s="38" t="s">
        <v>234</v>
      </c>
      <c r="BA126" t="s">
        <v>183</v>
      </c>
      <c r="BB126" s="26">
        <v>14200</v>
      </c>
      <c r="BC126" s="81">
        <f>IF(AND(TabelaClean[[#This Row],[analise_risco]]="Arriscado",TabelaClean[[#This Row],[analise_credito]]="Reprovado"),0,IF(TabelaClean[[#This Row],[status]]="Ativo",TabelaClean[[#This Row],[valor_solicitado]]*1.08,0))</f>
        <v>97740</v>
      </c>
    </row>
    <row r="127" spans="1:55">
      <c r="A127" s="24" t="s">
        <v>76</v>
      </c>
      <c r="B127" s="17" t="s">
        <v>894</v>
      </c>
      <c r="C127" s="25" t="s">
        <v>222</v>
      </c>
      <c r="D127" s="54">
        <v>28</v>
      </c>
      <c r="E127" s="30">
        <v>35887</v>
      </c>
      <c r="F127" s="24" t="str">
        <f>TabelaClean[[#This Row],[CidadeCPF]]</f>
        <v>Porto Real</v>
      </c>
      <c r="G127" s="17" t="str">
        <f>TabelaClean[[#This Row],[RegiaoCPF]]</f>
        <v>Terras Da Coroa</v>
      </c>
      <c r="H127" s="17" t="str">
        <f>_xlfn.XLOOKUP(TabelaClean[[#This Row],[cpf]],TabelaDirty[cpfclean],TabelaDirty[cidade])</f>
        <v>Porto Real</v>
      </c>
      <c r="I127" s="17" t="str">
        <f>_xlfn.XLOOKUP(TabelaClean[[#This Row],[cpf]],TabelaDirty[cpfclean],TabelaDirty[regiao])</f>
        <v>Terras da Coroa</v>
      </c>
      <c r="J127" s="17" t="str">
        <f>PROPER(TabelaClean[[#This Row],[Coluna1]])</f>
        <v>Terras Da Coroa</v>
      </c>
      <c r="K127" s="17" t="e">
        <f>_xlfn.TEXTBEFORE(TabelaClean[[#This Row],[CidadeCPF]]," | ")</f>
        <v>#N/A</v>
      </c>
      <c r="L127" s="24" t="e">
        <f>_xlfn.TEXTAFTER(TabelaClean[[#This Row],[CidadeCPF]]," | ")</f>
        <v>#N/A</v>
      </c>
      <c r="M127" s="26">
        <v>2000</v>
      </c>
      <c r="N127" s="78">
        <v>51000</v>
      </c>
      <c r="O127" s="1" t="s">
        <v>50</v>
      </c>
      <c r="P12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7" s="84">
        <v>12</v>
      </c>
      <c r="R127" s="1" t="str" cm="1">
        <f t="array" ref="R127">_xlfn.IFS(TabelaClean[[#This Row],[qtde_batalhas]]&lt;=10,"Baixo",TabelaClean[[#This Row],[qtde_batalhas]]&gt;=26,"Alto",TabelaClean[[#This Row],[qtde_batalhas]]&lt;26,"Médio")</f>
        <v>Médio</v>
      </c>
      <c r="S127" s="1" t="str">
        <f>IF(AND(TabelaClean[[#This Row],[nivel_risco]]="Alto",TabelaClean[[#This Row],[flag_inadimplente]]="Sim"),"Arriscado","Ok")</f>
        <v>Ok</v>
      </c>
      <c r="T127" s="26">
        <v>72500</v>
      </c>
      <c r="U127" s="81">
        <f>IF(AND(TabelaClean[[#This Row],[analise_risco]]="Arriscado",TabelaClean[[#This Row],[analise_credito]]="Reprovado"),0,IF(TabelaClean[[#This Row],[status]]="Ativo",TabelaClean[[#This Row],[valor_solicitado]]*1.08,0))</f>
        <v>78300</v>
      </c>
      <c r="W127" s="1"/>
      <c r="Y127" t="s">
        <v>809</v>
      </c>
      <c r="Z127" t="str">
        <f t="shared" si="1"/>
        <v>Null</v>
      </c>
      <c r="AE127" t="s">
        <v>756</v>
      </c>
      <c r="AF127" t="str">
        <f>TEXT(AE127,"000\.000\.000\-00")</f>
        <v>000.000.071-00</v>
      </c>
      <c r="AH127" s="15" t="s">
        <v>112</v>
      </c>
      <c r="AJ127" s="22">
        <v>13300</v>
      </c>
      <c r="AK127">
        <v>13300</v>
      </c>
      <c r="AM127" s="20">
        <v>1000</v>
      </c>
      <c r="AN127">
        <v>1000</v>
      </c>
      <c r="AO127">
        <v>1000</v>
      </c>
      <c r="AQ127" t="s">
        <v>183</v>
      </c>
      <c r="AZ127" s="39" t="s">
        <v>631</v>
      </c>
      <c r="BA127" t="s">
        <v>183</v>
      </c>
      <c r="BB127" s="26">
        <v>2000</v>
      </c>
      <c r="BC127" s="81">
        <f>IF(AND(TabelaClean[[#This Row],[analise_risco]]="Arriscado",TabelaClean[[#This Row],[analise_credito]]="Reprovado"),0,IF(TabelaClean[[#This Row],[status]]="Ativo",TabelaClean[[#This Row],[valor_solicitado]]*1.08,0))</f>
        <v>78300</v>
      </c>
    </row>
    <row r="128" spans="1:55">
      <c r="A128" s="24" t="s">
        <v>76</v>
      </c>
      <c r="B128" s="17" t="s">
        <v>179</v>
      </c>
      <c r="C128" s="25" t="s">
        <v>180</v>
      </c>
      <c r="D128" s="54">
        <v>19</v>
      </c>
      <c r="E128" s="30">
        <v>39220</v>
      </c>
      <c r="F128" s="24" t="str">
        <f>TabelaClean[[#This Row],[CidadeCPF]]</f>
        <v>Vilavelha</v>
      </c>
      <c r="G128" s="17" t="str">
        <f>TabelaClean[[#This Row],[RegiaoCPF]]</f>
        <v>Campina</v>
      </c>
      <c r="H128" s="17" t="str">
        <f>_xlfn.XLOOKUP(TabelaClean[[#This Row],[cpf]],TabelaDirty[cpfclean],TabelaDirty[cidade])</f>
        <v>Vilavelha</v>
      </c>
      <c r="I128" s="17" t="str">
        <f>_xlfn.XLOOKUP(TabelaClean[[#This Row],[cpf]],TabelaDirty[cpfclean],TabelaDirty[regiao])</f>
        <v>Campina</v>
      </c>
      <c r="J128" s="17" t="str">
        <f>PROPER(TabelaClean[[#This Row],[Coluna1]])</f>
        <v>Campina</v>
      </c>
      <c r="K128" s="17" t="e">
        <f>_xlfn.TEXTBEFORE(TabelaClean[[#This Row],[CidadeCPF]]," | ")</f>
        <v>#N/A</v>
      </c>
      <c r="L128" s="24" t="e">
        <f>_xlfn.TEXTAFTER(TabelaClean[[#This Row],[CidadeCPF]]," | ")</f>
        <v>#N/A</v>
      </c>
      <c r="M128" s="26">
        <v>18000</v>
      </c>
      <c r="N128" s="78">
        <v>50500</v>
      </c>
      <c r="O128" s="1" t="s">
        <v>51</v>
      </c>
      <c r="P12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Reprovado</v>
      </c>
      <c r="Q128" s="84">
        <v>11</v>
      </c>
      <c r="R128" s="1" t="str" cm="1">
        <f t="array" ref="R128">_xlfn.IFS(TabelaClean[[#This Row],[qtde_batalhas]]&lt;=10,"Baixo",TabelaClean[[#This Row],[qtde_batalhas]]&gt;=26,"Alto",TabelaClean[[#This Row],[qtde_batalhas]]&lt;26,"Médio")</f>
        <v>Médio</v>
      </c>
      <c r="S128" s="1" t="str">
        <f>IF(AND(TabelaClean[[#This Row],[nivel_risco]]="Alto",TabelaClean[[#This Row],[flag_inadimplente]]="Sim"),"Arriscado","Ok")</f>
        <v>Ok</v>
      </c>
      <c r="T128" s="26">
        <v>26000</v>
      </c>
      <c r="U128" s="81">
        <f>IF(AND(TabelaClean[[#This Row],[analise_risco]]="Arriscado",TabelaClean[[#This Row],[analise_credito]]="Reprovado"),0,IF(TabelaClean[[#This Row],[status]]="Ativo",TabelaClean[[#This Row],[valor_solicitado]]*1.08,0))</f>
        <v>28080.000000000004</v>
      </c>
      <c r="W128" s="1"/>
      <c r="Y128" t="s">
        <v>809</v>
      </c>
      <c r="Z128" t="str">
        <f t="shared" si="1"/>
        <v>Null</v>
      </c>
      <c r="AE128" t="s">
        <v>450</v>
      </c>
      <c r="AF128" t="str">
        <f>TEXT(AE128,"000\.000\.000\-00")</f>
        <v>000.000.073-00</v>
      </c>
      <c r="AH128" s="15" t="s">
        <v>121</v>
      </c>
      <c r="AJ128" s="22">
        <v>29000</v>
      </c>
      <c r="AK128">
        <v>29000</v>
      </c>
      <c r="AM128" s="21">
        <v>36500</v>
      </c>
      <c r="AN128">
        <v>36500</v>
      </c>
      <c r="AO128">
        <v>36500</v>
      </c>
      <c r="AQ128" t="s">
        <v>89</v>
      </c>
      <c r="AZ128" s="38" t="s">
        <v>865</v>
      </c>
      <c r="BA128" t="s">
        <v>89</v>
      </c>
      <c r="BB128" s="26">
        <v>18000</v>
      </c>
      <c r="BC128" s="81">
        <f>IF(AND(TabelaClean[[#This Row],[analise_risco]]="Arriscado",TabelaClean[[#This Row],[analise_credito]]="Reprovado"),0,IF(TabelaClean[[#This Row],[status]]="Ativo",TabelaClean[[#This Row],[valor_solicitado]]*1.08,0))</f>
        <v>28080.000000000004</v>
      </c>
    </row>
    <row r="129" spans="1:55">
      <c r="A129" s="24" t="s">
        <v>76</v>
      </c>
      <c r="B129" s="17" t="s">
        <v>791</v>
      </c>
      <c r="C129" s="25" t="s">
        <v>792</v>
      </c>
      <c r="D129" s="54">
        <v>22</v>
      </c>
      <c r="E129" s="30">
        <v>38204</v>
      </c>
      <c r="F129" s="24" t="str">
        <f>TabelaClean[[#This Row],[CidadeCPF]]</f>
        <v>Ninho da Águia</v>
      </c>
      <c r="G129" s="17" t="str">
        <f>TabelaClean[[#This Row],[RegiaoCPF]]</f>
        <v>Vale</v>
      </c>
      <c r="H129" s="17" t="str">
        <f>_xlfn.XLOOKUP(TabelaClean[[#This Row],[cpf]],TabelaDirty[cpfclean],TabelaDirty[cidade])</f>
        <v>Ninho da Águia</v>
      </c>
      <c r="I129" s="17" t="str">
        <f>_xlfn.XLOOKUP(TabelaClean[[#This Row],[cpf]],TabelaDirty[cpfclean],TabelaDirty[regiao])</f>
        <v>Vale</v>
      </c>
      <c r="J129" s="17" t="str">
        <f>PROPER(TabelaClean[[#This Row],[Coluna1]])</f>
        <v>Vale</v>
      </c>
      <c r="K129" s="17" t="e">
        <f>_xlfn.TEXTBEFORE(TabelaClean[[#This Row],[CidadeCPF]]," | ")</f>
        <v>#N/A</v>
      </c>
      <c r="L129" s="24" t="e">
        <f>_xlfn.TEXTAFTER(TabelaClean[[#This Row],[CidadeCPF]]," | ")</f>
        <v>#N/A</v>
      </c>
      <c r="M129" s="26">
        <v>10500</v>
      </c>
      <c r="N129" s="78">
        <v>50500</v>
      </c>
      <c r="O129" s="1" t="s">
        <v>50</v>
      </c>
      <c r="P12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29" s="84">
        <v>16</v>
      </c>
      <c r="R129" s="1" t="str" cm="1">
        <f t="array" ref="R129">_xlfn.IFS(TabelaClean[[#This Row],[qtde_batalhas]]&lt;=10,"Baixo",TabelaClean[[#This Row],[qtde_batalhas]]&gt;=26,"Alto",TabelaClean[[#This Row],[qtde_batalhas]]&lt;26,"Médio")</f>
        <v>Médio</v>
      </c>
      <c r="S129" s="1" t="str">
        <f>IF(AND(TabelaClean[[#This Row],[nivel_risco]]="Alto",TabelaClean[[#This Row],[flag_inadimplente]]="Sim"),"Arriscado","Ok")</f>
        <v>Ok</v>
      </c>
      <c r="T129" s="26">
        <v>41500</v>
      </c>
      <c r="U129" s="81">
        <f>IF(AND(TabelaClean[[#This Row],[analise_risco]]="Arriscado",TabelaClean[[#This Row],[analise_credito]]="Reprovado"),0,IF(TabelaClean[[#This Row],[status]]="Ativo",TabelaClean[[#This Row],[valor_solicitado]]*1.08,0))</f>
        <v>44820</v>
      </c>
      <c r="W129" s="1"/>
      <c r="Y129" t="s">
        <v>809</v>
      </c>
      <c r="Z129" t="str">
        <f t="shared" si="1"/>
        <v>Null</v>
      </c>
      <c r="AE129" t="s">
        <v>598</v>
      </c>
      <c r="AF129" t="str">
        <f>TEXT(AE129,"000\.000\.000\-00")</f>
        <v>000.000.074-00</v>
      </c>
      <c r="AH129" s="15" t="s">
        <v>242</v>
      </c>
      <c r="AJ129" s="22" t="s">
        <v>505</v>
      </c>
      <c r="AK129">
        <v>20100</v>
      </c>
      <c r="AM129" s="20">
        <v>40000</v>
      </c>
      <c r="AN129">
        <v>40000</v>
      </c>
      <c r="AO129">
        <v>40000</v>
      </c>
      <c r="AQ129" t="s">
        <v>242</v>
      </c>
      <c r="AZ129" s="39" t="s">
        <v>446</v>
      </c>
      <c r="BA129" t="s">
        <v>242</v>
      </c>
      <c r="BB129" s="26">
        <v>10500</v>
      </c>
      <c r="BC129" s="81">
        <f>IF(AND(TabelaClean[[#This Row],[analise_risco]]="Arriscado",TabelaClean[[#This Row],[analise_credito]]="Reprovado"),0,IF(TabelaClean[[#This Row],[status]]="Ativo",TabelaClean[[#This Row],[valor_solicitado]]*1.08,0))</f>
        <v>44820</v>
      </c>
    </row>
    <row r="130" spans="1:55">
      <c r="A130" s="24" t="s">
        <v>76</v>
      </c>
      <c r="B130" s="17" t="s">
        <v>622</v>
      </c>
      <c r="C130" s="25" t="s">
        <v>623</v>
      </c>
      <c r="D130" s="54">
        <v>59</v>
      </c>
      <c r="E130" s="30">
        <v>24578</v>
      </c>
      <c r="F130" s="24" t="str">
        <f>TabelaClean[[#This Row],[CidadeCPF]]</f>
        <v>Atalaia da Água Cinzenta</v>
      </c>
      <c r="G130" s="17" t="str">
        <f>TabelaClean[[#This Row],[RegiaoCPF]]</f>
        <v>Gargalo</v>
      </c>
      <c r="H130" s="17" t="str">
        <f>_xlfn.XLOOKUP(TabelaClean[[#This Row],[cpf]],TabelaDirty[cpfclean],TabelaDirty[cidade])</f>
        <v>Atalaia da Água Cinzenta</v>
      </c>
      <c r="I130" s="17" t="s">
        <v>456</v>
      </c>
      <c r="J130" s="17" t="str">
        <f>PROPER(TabelaClean[[#This Row],[Coluna1]])</f>
        <v>Gargalo</v>
      </c>
      <c r="K130" s="17" t="e">
        <f>_xlfn.TEXTBEFORE(TabelaClean[[#This Row],[CidadeCPF]]," | ")</f>
        <v>#N/A</v>
      </c>
      <c r="L130" s="24" t="e">
        <f>_xlfn.TEXTAFTER(TabelaClean[[#This Row],[CidadeCPF]]," | ")</f>
        <v>#N/A</v>
      </c>
      <c r="M130" s="26">
        <v>6600</v>
      </c>
      <c r="N130" s="78">
        <v>50000</v>
      </c>
      <c r="O130" s="1" t="s">
        <v>51</v>
      </c>
      <c r="P13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0" s="84">
        <v>9</v>
      </c>
      <c r="R130" s="1" t="str" cm="1">
        <f t="array" ref="R130">_xlfn.IFS(TabelaClean[[#This Row],[qtde_batalhas]]&lt;=10,"Baixo",TabelaClean[[#This Row],[qtde_batalhas]]&gt;=26,"Alto",TabelaClean[[#This Row],[qtde_batalhas]]&lt;26,"Médio")</f>
        <v>Baixo</v>
      </c>
      <c r="S130" s="1" t="str">
        <f>IF(AND(TabelaClean[[#This Row],[nivel_risco]]="Alto",TabelaClean[[#This Row],[flag_inadimplente]]="Sim"),"Arriscado","Ok")</f>
        <v>Ok</v>
      </c>
      <c r="T130" s="26">
        <v>25000</v>
      </c>
      <c r="U130" s="81">
        <f>IF(AND(TabelaClean[[#This Row],[analise_risco]]="Arriscado",TabelaClean[[#This Row],[analise_credito]]="Reprovado"),0,IF(TabelaClean[[#This Row],[status]]="Ativo",TabelaClean[[#This Row],[valor_solicitado]]*1.08,0))</f>
        <v>27000</v>
      </c>
      <c r="W130" s="1"/>
      <c r="Y130" t="s">
        <v>187</v>
      </c>
      <c r="Z130" t="str">
        <f t="shared" si="1"/>
        <v>Terras Da Tempestade</v>
      </c>
      <c r="AE130" t="s">
        <v>396</v>
      </c>
      <c r="AF130" t="str">
        <f>TEXT(AE130,"000\.000\.000\-00")</f>
        <v>000.000.075-00</v>
      </c>
      <c r="AH130" s="15" t="s">
        <v>79</v>
      </c>
      <c r="AJ130" s="22">
        <v>11400</v>
      </c>
      <c r="AK130">
        <v>11400</v>
      </c>
      <c r="AM130" s="21">
        <v>0</v>
      </c>
      <c r="AN130">
        <v>0</v>
      </c>
      <c r="AO130">
        <v>0</v>
      </c>
      <c r="AQ130" t="s">
        <v>83</v>
      </c>
      <c r="AZ130" s="38" t="s">
        <v>498</v>
      </c>
      <c r="BA130" t="s">
        <v>83</v>
      </c>
      <c r="BB130" s="26">
        <v>6600</v>
      </c>
      <c r="BC130" s="81">
        <f>IF(AND(TabelaClean[[#This Row],[analise_risco]]="Arriscado",TabelaClean[[#This Row],[analise_credito]]="Reprovado"),0,IF(TabelaClean[[#This Row],[status]]="Ativo",TabelaClean[[#This Row],[valor_solicitado]]*1.08,0))</f>
        <v>27000</v>
      </c>
    </row>
    <row r="131" spans="1:55">
      <c r="A131" s="24" t="s">
        <v>76</v>
      </c>
      <c r="B131" s="17" t="s">
        <v>508</v>
      </c>
      <c r="C131" s="25" t="s">
        <v>895</v>
      </c>
      <c r="D131" s="54">
        <v>26</v>
      </c>
      <c r="E131" s="30">
        <v>36596</v>
      </c>
      <c r="F131" s="24" t="str">
        <f>TabelaClean[[#This Row],[CidadeCPF]]</f>
        <v>Ilha dos Ursos</v>
      </c>
      <c r="G131" s="17" t="str">
        <f>TabelaClean[[#This Row],[RegiaoCPF]]</f>
        <v>Norte</v>
      </c>
      <c r="H131" s="17" t="str">
        <f>_xlfn.XLOOKUP(TabelaClean[[#This Row],[cpf]],TabelaDirty[cpfclean],TabelaDirty[cidade])</f>
        <v>Ilha dos Ursos</v>
      </c>
      <c r="I131" s="17" t="str">
        <f>_xlfn.XLOOKUP(TabelaClean[[#This Row],[cpf]],TabelaDirty[cpfclean],TabelaDirty[regiao])</f>
        <v>norte</v>
      </c>
      <c r="J131" s="17" t="str">
        <f>PROPER(TabelaClean[[#This Row],[Coluna1]])</f>
        <v>Norte</v>
      </c>
      <c r="K131" s="17" t="e">
        <f>_xlfn.TEXTBEFORE(TabelaClean[[#This Row],[CidadeCPF]]," | ")</f>
        <v>#N/A</v>
      </c>
      <c r="L131" s="24" t="e">
        <f>_xlfn.TEXTAFTER(TabelaClean[[#This Row],[CidadeCPF]]," | ")</f>
        <v>#N/A</v>
      </c>
      <c r="M131" s="26">
        <v>3500</v>
      </c>
      <c r="N131" s="78">
        <v>50000</v>
      </c>
      <c r="O131" s="1" t="s">
        <v>50</v>
      </c>
      <c r="P13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1" s="84">
        <v>40</v>
      </c>
      <c r="R131" s="1" t="str" cm="1">
        <f t="array" ref="R131">_xlfn.IFS(TabelaClean[[#This Row],[qtde_batalhas]]&lt;=10,"Baixo",TabelaClean[[#This Row],[qtde_batalhas]]&gt;=26,"Alto",TabelaClean[[#This Row],[qtde_batalhas]]&lt;26,"Médio")</f>
        <v>Alto</v>
      </c>
      <c r="S131" s="1" t="str">
        <f>IF(AND(TabelaClean[[#This Row],[nivel_risco]]="Alto",TabelaClean[[#This Row],[flag_inadimplente]]="Sim"),"Arriscado","Ok")</f>
        <v>Ok</v>
      </c>
      <c r="T131" s="26">
        <v>46500</v>
      </c>
      <c r="U131" s="81">
        <f>IF(AND(TabelaClean[[#This Row],[analise_risco]]="Arriscado",TabelaClean[[#This Row],[analise_credito]]="Reprovado"),0,IF(TabelaClean[[#This Row],[status]]="Ativo",TabelaClean[[#This Row],[valor_solicitado]]*1.08,0))</f>
        <v>50220</v>
      </c>
      <c r="W131" s="1"/>
      <c r="Y131" t="s">
        <v>809</v>
      </c>
      <c r="Z131" t="str">
        <f t="shared" si="1"/>
        <v>Null</v>
      </c>
      <c r="AE131" t="s">
        <v>107</v>
      </c>
      <c r="AF131" t="str">
        <f>TEXT(AE131,"000\.000\.000\-00")</f>
        <v>000.000.076-00</v>
      </c>
      <c r="AH131" s="15" t="s">
        <v>162</v>
      </c>
      <c r="AJ131" s="22">
        <v>30000</v>
      </c>
      <c r="AK131">
        <v>30000</v>
      </c>
      <c r="AM131" s="20"/>
      <c r="AN131" t="s">
        <v>809</v>
      </c>
      <c r="AO131" t="s">
        <v>809</v>
      </c>
      <c r="AQ131" t="s">
        <v>148</v>
      </c>
      <c r="AZ131" s="39" t="s">
        <v>475</v>
      </c>
      <c r="BA131" t="s">
        <v>148</v>
      </c>
      <c r="BB131" s="26">
        <v>3500</v>
      </c>
      <c r="BC131" s="81">
        <f>IF(AND(TabelaClean[[#This Row],[analise_risco]]="Arriscado",TabelaClean[[#This Row],[analise_credito]]="Reprovado"),0,IF(TabelaClean[[#This Row],[status]]="Ativo",TabelaClean[[#This Row],[valor_solicitado]]*1.08,0))</f>
        <v>50220</v>
      </c>
    </row>
    <row r="132" spans="1:55">
      <c r="A132" s="24" t="s">
        <v>76</v>
      </c>
      <c r="B132" s="17" t="s">
        <v>368</v>
      </c>
      <c r="C132" s="25" t="s">
        <v>813</v>
      </c>
      <c r="D132" s="54">
        <v>29</v>
      </c>
      <c r="E132" s="30">
        <v>35344</v>
      </c>
      <c r="F132" s="24" t="str">
        <f>TabelaClean[[#This Row],[CidadeCPF]]</f>
        <v>Ninho da Águia</v>
      </c>
      <c r="G132" s="17" t="str">
        <f>TabelaClean[[#This Row],[RegiaoCPF]]</f>
        <v>Vale</v>
      </c>
      <c r="H132" s="17" t="str">
        <f>_xlfn.XLOOKUP(TabelaClean[[#This Row],[cpf]],TabelaDirty[cpfclean],TabelaDirty[cidade])</f>
        <v>Ninho da Águia</v>
      </c>
      <c r="I132" s="17" t="str">
        <f>_xlfn.XLOOKUP(TabelaClean[[#This Row],[cpf]],TabelaDirty[cpfclean],TabelaDirty[regiao])</f>
        <v>vale</v>
      </c>
      <c r="J132" s="17" t="str">
        <f>PROPER(TabelaClean[[#This Row],[Coluna1]])</f>
        <v>Vale</v>
      </c>
      <c r="K132" s="17" t="e">
        <f>_xlfn.TEXTBEFORE(TabelaClean[[#This Row],[CidadeCPF]]," | ")</f>
        <v>#N/A</v>
      </c>
      <c r="L132" s="24" t="e">
        <f>_xlfn.TEXTAFTER(TabelaClean[[#This Row],[CidadeCPF]]," | ")</f>
        <v>#N/A</v>
      </c>
      <c r="M132" s="26">
        <v>19900</v>
      </c>
      <c r="N132" s="78">
        <v>49500</v>
      </c>
      <c r="O132" s="1" t="s">
        <v>51</v>
      </c>
      <c r="P13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2" s="84">
        <v>27</v>
      </c>
      <c r="R132" s="1" t="str" cm="1">
        <f t="array" ref="R132">_xlfn.IFS(TabelaClean[[#This Row],[qtde_batalhas]]&lt;=10,"Baixo",TabelaClean[[#This Row],[qtde_batalhas]]&gt;=26,"Alto",TabelaClean[[#This Row],[qtde_batalhas]]&lt;26,"Médio")</f>
        <v>Alto</v>
      </c>
      <c r="S132" s="1" t="str">
        <f>IF(AND(TabelaClean[[#This Row],[nivel_risco]]="Alto",TabelaClean[[#This Row],[flag_inadimplente]]="Sim"),"Arriscado","Ok")</f>
        <v>Arriscado</v>
      </c>
      <c r="T132" s="26">
        <v>23000</v>
      </c>
      <c r="U132" s="81">
        <f>IF(AND(TabelaClean[[#This Row],[analise_risco]]="Arriscado",TabelaClean[[#This Row],[analise_credito]]="Reprovado"),0,IF(TabelaClean[[#This Row],[status]]="Ativo",TabelaClean[[#This Row],[valor_solicitado]]*1.08,0))</f>
        <v>24840</v>
      </c>
      <c r="W132" s="1"/>
      <c r="Y132" t="s">
        <v>90</v>
      </c>
      <c r="Z132" t="str">
        <f t="shared" ref="Z132:Z195" si="2">PROPER(Y132)</f>
        <v>Terras Da Coroa</v>
      </c>
      <c r="AE132" t="s">
        <v>787</v>
      </c>
      <c r="AF132" t="str">
        <f>TEXT(AE132,"000\.000\.000\-00")</f>
        <v>000.000.080-00</v>
      </c>
      <c r="AH132" s="15" t="s">
        <v>691</v>
      </c>
      <c r="AI132" t="e" cm="1" vm="1">
        <f t="array" aca="1" ref="AI132" ca="1">_xlfn.TEXTSPLIT(AH132," | ")</f>
        <v>#VALUE!</v>
      </c>
      <c r="AJ132" s="22">
        <v>28600</v>
      </c>
      <c r="AK132">
        <v>28600</v>
      </c>
      <c r="AM132" s="21"/>
      <c r="AN132" t="s">
        <v>809</v>
      </c>
      <c r="AO132" t="s">
        <v>809</v>
      </c>
      <c r="AQ132" t="s">
        <v>141</v>
      </c>
      <c r="AZ132" s="38" t="s">
        <v>514</v>
      </c>
      <c r="BA132" t="s">
        <v>141</v>
      </c>
      <c r="BB132" s="26">
        <v>19900</v>
      </c>
      <c r="BC132" s="81">
        <f>IF(AND(TabelaClean[[#This Row],[analise_risco]]="Arriscado",TabelaClean[[#This Row],[analise_credito]]="Reprovado"),0,IF(TabelaClean[[#This Row],[status]]="Ativo",TabelaClean[[#This Row],[valor_solicitado]]*1.08,0))</f>
        <v>24840</v>
      </c>
    </row>
    <row r="133" spans="1:55">
      <c r="A133" s="24" t="s">
        <v>76</v>
      </c>
      <c r="B133" s="17" t="s">
        <v>424</v>
      </c>
      <c r="C133" s="25" t="s">
        <v>896</v>
      </c>
      <c r="D133" s="54">
        <v>65</v>
      </c>
      <c r="E133" s="30">
        <v>22337</v>
      </c>
      <c r="F133" s="24" t="str">
        <f>TabelaClean[[#This Row],[CidadeCPF]]</f>
        <v>Castelo Negro</v>
      </c>
      <c r="G133" s="17" t="str">
        <f>TabelaClean[[#This Row],[RegiaoCPF]]</f>
        <v>Norte</v>
      </c>
      <c r="H133" s="17" t="str">
        <f>_xlfn.XLOOKUP(TabelaClean[[#This Row],[cpf]],TabelaDirty[cpfclean],TabelaDirty[cidade])</f>
        <v>Castelo Negro</v>
      </c>
      <c r="I133" s="17" t="str">
        <f>_xlfn.XLOOKUP(TabelaClean[[#This Row],[cpf]],TabelaDirty[cpfclean],TabelaDirty[regiao])</f>
        <v>Norte</v>
      </c>
      <c r="J133" s="17" t="str">
        <f>PROPER(TabelaClean[[#This Row],[Coluna1]])</f>
        <v>Norte</v>
      </c>
      <c r="K133" s="17" t="e">
        <f>_xlfn.TEXTBEFORE(TabelaClean[[#This Row],[CidadeCPF]]," | ")</f>
        <v>#N/A</v>
      </c>
      <c r="L133" s="24" t="e">
        <f>_xlfn.TEXTAFTER(TabelaClean[[#This Row],[CidadeCPF]]," | ")</f>
        <v>#N/A</v>
      </c>
      <c r="M133" s="26">
        <v>3800</v>
      </c>
      <c r="N133" s="78">
        <v>49500</v>
      </c>
      <c r="O133" s="1" t="s">
        <v>50</v>
      </c>
      <c r="P13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3" s="84">
        <v>16</v>
      </c>
      <c r="R133" s="1" t="str" cm="1">
        <f t="array" ref="R133">_xlfn.IFS(TabelaClean[[#This Row],[qtde_batalhas]]&lt;=10,"Baixo",TabelaClean[[#This Row],[qtde_batalhas]]&gt;=26,"Alto",TabelaClean[[#This Row],[qtde_batalhas]]&lt;26,"Médio")</f>
        <v>Médio</v>
      </c>
      <c r="S133" s="1" t="str">
        <f>IF(AND(TabelaClean[[#This Row],[nivel_risco]]="Alto",TabelaClean[[#This Row],[flag_inadimplente]]="Sim"),"Arriscado","Ok")</f>
        <v>Ok</v>
      </c>
      <c r="T133" s="26">
        <v>15500</v>
      </c>
      <c r="U133" s="81">
        <f>IF(AND(TabelaClean[[#This Row],[analise_risco]]="Arriscado",TabelaClean[[#This Row],[analise_credito]]="Reprovado"),0,IF(TabelaClean[[#This Row],[status]]="Ativo",TabelaClean[[#This Row],[valor_solicitado]]*1.08,0))</f>
        <v>16740</v>
      </c>
      <c r="W133" s="1"/>
      <c r="Y133" t="s">
        <v>296</v>
      </c>
      <c r="Z133" t="str">
        <f t="shared" si="2"/>
        <v>Dorne</v>
      </c>
      <c r="AE133" t="s">
        <v>326</v>
      </c>
      <c r="AF133" t="str">
        <f>TEXT(AE133,"000\.000\.000\-00")</f>
        <v>000.000.081-00</v>
      </c>
      <c r="AH133" s="15" t="s">
        <v>154</v>
      </c>
      <c r="AJ133" s="22">
        <v>8900</v>
      </c>
      <c r="AK133">
        <v>8900</v>
      </c>
      <c r="AM133" s="20">
        <v>19500</v>
      </c>
      <c r="AN133">
        <v>19500</v>
      </c>
      <c r="AO133">
        <v>19500</v>
      </c>
      <c r="AQ133" t="s">
        <v>154</v>
      </c>
      <c r="AZ133" s="39" t="s">
        <v>879</v>
      </c>
      <c r="BA133" t="s">
        <v>154</v>
      </c>
      <c r="BB133" s="26">
        <v>3800</v>
      </c>
      <c r="BC133" s="81">
        <f>IF(AND(TabelaClean[[#This Row],[analise_risco]]="Arriscado",TabelaClean[[#This Row],[analise_credito]]="Reprovado"),0,IF(TabelaClean[[#This Row],[status]]="Ativo",TabelaClean[[#This Row],[valor_solicitado]]*1.08,0))</f>
        <v>16740</v>
      </c>
    </row>
    <row r="134" spans="1:55">
      <c r="A134" s="24" t="s">
        <v>76</v>
      </c>
      <c r="B134" s="17" t="s">
        <v>731</v>
      </c>
      <c r="C134" s="25" t="s">
        <v>732</v>
      </c>
      <c r="D134" s="54">
        <v>67</v>
      </c>
      <c r="E134" s="30">
        <v>21522</v>
      </c>
      <c r="F134" s="24" t="str">
        <f>TabelaClean[[#This Row],[CidadeCPF]]</f>
        <v>Solar do Entardecer</v>
      </c>
      <c r="G134" s="17" t="str">
        <f>TabelaClean[[#This Row],[RegiaoCPF]]</f>
        <v>Terras Da Tempestade</v>
      </c>
      <c r="H134" s="17" t="str">
        <f>_xlfn.XLOOKUP(TabelaClean[[#This Row],[cpf]],TabelaDirty[cpfclean],TabelaDirty[cidade])</f>
        <v>Solar do Entardecer</v>
      </c>
      <c r="I134" s="17" t="str">
        <f>_xlfn.XLOOKUP(TabelaClean[[#This Row],[cpf]],TabelaDirty[cpfclean],TabelaDirty[regiao])</f>
        <v>Terras Da Tempestade</v>
      </c>
      <c r="J134" s="17" t="str">
        <f>PROPER(TabelaClean[[#This Row],[Coluna1]])</f>
        <v>Terras Da Tempestade</v>
      </c>
      <c r="K134" s="17" t="e">
        <f>_xlfn.TEXTBEFORE(TabelaClean[[#This Row],[CidadeCPF]]," | ")</f>
        <v>#N/A</v>
      </c>
      <c r="L134" s="24" t="e">
        <f>_xlfn.TEXTAFTER(TabelaClean[[#This Row],[CidadeCPF]]," | ")</f>
        <v>#N/A</v>
      </c>
      <c r="M134" s="26">
        <v>11300</v>
      </c>
      <c r="N134" s="78">
        <v>49500</v>
      </c>
      <c r="O134" s="1" t="s">
        <v>50</v>
      </c>
      <c r="P13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4" s="84">
        <v>12</v>
      </c>
      <c r="R134" s="1" t="str" cm="1">
        <f t="array" ref="R134">_xlfn.IFS(TabelaClean[[#This Row],[qtde_batalhas]]&lt;=10,"Baixo",TabelaClean[[#This Row],[qtde_batalhas]]&gt;=26,"Alto",TabelaClean[[#This Row],[qtde_batalhas]]&lt;26,"Médio")</f>
        <v>Médio</v>
      </c>
      <c r="S134" s="1" t="str">
        <f>IF(AND(TabelaClean[[#This Row],[nivel_risco]]="Alto",TabelaClean[[#This Row],[flag_inadimplente]]="Sim"),"Arriscado","Ok")</f>
        <v>Ok</v>
      </c>
      <c r="T134" s="26">
        <v>34500</v>
      </c>
      <c r="U134" s="81">
        <f>IF(AND(TabelaClean[[#This Row],[analise_risco]]="Arriscado",TabelaClean[[#This Row],[analise_credito]]="Reprovado"),0,IF(TabelaClean[[#This Row],[status]]="Ativo",TabelaClean[[#This Row],[valor_solicitado]]*1.08,0))</f>
        <v>37260</v>
      </c>
      <c r="W134" s="1"/>
      <c r="Y134" t="s">
        <v>809</v>
      </c>
      <c r="Z134" t="str">
        <f t="shared" si="2"/>
        <v>Null</v>
      </c>
      <c r="AE134" t="s">
        <v>718</v>
      </c>
      <c r="AF134" t="str">
        <f>TEXT(AE134,"000\.000\.000\-00")</f>
        <v>000.000.085-00</v>
      </c>
      <c r="AH134" s="15" t="s">
        <v>127</v>
      </c>
      <c r="AJ134" s="22" t="s">
        <v>276</v>
      </c>
      <c r="AK134">
        <v>20000</v>
      </c>
      <c r="AM134" s="21">
        <v>20500</v>
      </c>
      <c r="AN134">
        <v>20500</v>
      </c>
      <c r="AO134">
        <v>20500</v>
      </c>
      <c r="AQ134" t="s">
        <v>89</v>
      </c>
      <c r="AZ134" s="38" t="s">
        <v>493</v>
      </c>
      <c r="BA134" t="s">
        <v>89</v>
      </c>
      <c r="BB134" s="26">
        <v>11300</v>
      </c>
      <c r="BC134" s="81">
        <f>IF(AND(TabelaClean[[#This Row],[analise_risco]]="Arriscado",TabelaClean[[#This Row],[analise_credito]]="Reprovado"),0,IF(TabelaClean[[#This Row],[status]]="Ativo",TabelaClean[[#This Row],[valor_solicitado]]*1.08,0))</f>
        <v>37260</v>
      </c>
    </row>
    <row r="135" spans="1:55">
      <c r="A135" s="24" t="s">
        <v>76</v>
      </c>
      <c r="B135" s="17" t="s">
        <v>610</v>
      </c>
      <c r="C135" s="25" t="s">
        <v>611</v>
      </c>
      <c r="D135" s="54" t="s">
        <v>809</v>
      </c>
      <c r="E135" s="30">
        <v>39230</v>
      </c>
      <c r="F135" s="24" t="str">
        <f>TabelaClean[[#This Row],[CidadeCPF]]</f>
        <v>Jardim de Cima</v>
      </c>
      <c r="G135" s="17" t="str">
        <f>TabelaClean[[#This Row],[RegiaoCPF]]</f>
        <v>Campina</v>
      </c>
      <c r="H135" s="17" t="str">
        <f>_xlfn.XLOOKUP(TabelaClean[[#This Row],[cpf]],TabelaDirty[cpfclean],TabelaDirty[cidade])</f>
        <v>Jardim de Cima</v>
      </c>
      <c r="I135" s="17" t="str">
        <f>_xlfn.XLOOKUP(TabelaClean[[#This Row],[cpf]],TabelaDirty[cpfclean],TabelaDirty[regiao])</f>
        <v>Campina</v>
      </c>
      <c r="J135" s="17" t="str">
        <f>PROPER(TabelaClean[[#This Row],[Coluna1]])</f>
        <v>Campina</v>
      </c>
      <c r="K135" s="17" t="e">
        <f>_xlfn.TEXTBEFORE(TabelaClean[[#This Row],[CidadeCPF]]," | ")</f>
        <v>#N/A</v>
      </c>
      <c r="L135" s="24" t="e">
        <f>_xlfn.TEXTAFTER(TabelaClean[[#This Row],[CidadeCPF]]," | ")</f>
        <v>#N/A</v>
      </c>
      <c r="M135" s="26">
        <v>18000</v>
      </c>
      <c r="N135" s="78">
        <v>49500</v>
      </c>
      <c r="O135" s="1" t="s">
        <v>50</v>
      </c>
      <c r="P13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5" s="84">
        <v>25</v>
      </c>
      <c r="R135" s="1" t="str" cm="1">
        <f t="array" ref="R135">_xlfn.IFS(TabelaClean[[#This Row],[qtde_batalhas]]&lt;=10,"Baixo",TabelaClean[[#This Row],[qtde_batalhas]]&gt;=26,"Alto",TabelaClean[[#This Row],[qtde_batalhas]]&lt;26,"Médio")</f>
        <v>Médio</v>
      </c>
      <c r="S135" s="1" t="str">
        <f>IF(AND(TabelaClean[[#This Row],[nivel_risco]]="Alto",TabelaClean[[#This Row],[flag_inadimplente]]="Sim"),"Arriscado","Ok")</f>
        <v>Ok</v>
      </c>
      <c r="T135" s="26">
        <v>46500</v>
      </c>
      <c r="U135" s="81">
        <f>IF(AND(TabelaClean[[#This Row],[analise_risco]]="Arriscado",TabelaClean[[#This Row],[analise_credito]]="Reprovado"),0,IF(TabelaClean[[#This Row],[status]]="Ativo",TabelaClean[[#This Row],[valor_solicitado]]*1.08,0))</f>
        <v>50220</v>
      </c>
      <c r="W135" s="1"/>
      <c r="Y135" t="s">
        <v>809</v>
      </c>
      <c r="Z135" t="str">
        <f t="shared" si="2"/>
        <v>Null</v>
      </c>
      <c r="AE135" t="s">
        <v>380</v>
      </c>
      <c r="AF135" t="str">
        <f>TEXT(AE135,"000\.000\.000\-00")</f>
        <v>000.000.087-00</v>
      </c>
      <c r="AH135" s="15" t="s">
        <v>162</v>
      </c>
      <c r="AJ135" s="22">
        <v>12200</v>
      </c>
      <c r="AK135">
        <v>12200</v>
      </c>
      <c r="AM135" s="20" t="s">
        <v>309</v>
      </c>
      <c r="AN135" t="s">
        <v>809</v>
      </c>
      <c r="AO135" t="s">
        <v>809</v>
      </c>
      <c r="AQ135" t="s">
        <v>154</v>
      </c>
      <c r="AZ135" s="39" t="s">
        <v>590</v>
      </c>
      <c r="BA135" t="s">
        <v>154</v>
      </c>
      <c r="BB135" s="26">
        <v>18000</v>
      </c>
      <c r="BC135" s="81">
        <f>IF(AND(TabelaClean[[#This Row],[analise_risco]]="Arriscado",TabelaClean[[#This Row],[analise_credito]]="Reprovado"),0,IF(TabelaClean[[#This Row],[status]]="Ativo",TabelaClean[[#This Row],[valor_solicitado]]*1.08,0))</f>
        <v>50220</v>
      </c>
    </row>
    <row r="136" spans="1:55">
      <c r="A136" s="24" t="s">
        <v>812</v>
      </c>
      <c r="B136" s="17" t="s">
        <v>786</v>
      </c>
      <c r="C136" s="25" t="s">
        <v>897</v>
      </c>
      <c r="D136" s="54">
        <v>61</v>
      </c>
      <c r="E136" s="30">
        <v>23834</v>
      </c>
      <c r="F136" s="25" t="s">
        <v>215</v>
      </c>
      <c r="G136" s="25" t="s">
        <v>149</v>
      </c>
      <c r="H136" s="24">
        <v>9100</v>
      </c>
      <c r="I136" s="24">
        <v>49000</v>
      </c>
      <c r="J136" s="24" t="s">
        <v>50</v>
      </c>
      <c r="K136" s="24"/>
      <c r="L136" s="24"/>
      <c r="M136" s="26">
        <v>48000</v>
      </c>
      <c r="N136" s="78">
        <v>49000</v>
      </c>
      <c r="O136" s="1" t="s">
        <v>50</v>
      </c>
      <c r="P13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136" s="76" t="str" cm="1">
        <f t="array" ref="R136">_xlfn.IFS(TabelaClean[[#This Row],[qtde_batalhas]]&lt;=10,"Baixo",TabelaClean[[#This Row],[qtde_batalhas]]&gt;=26,"Alto",TabelaClean[[#This Row],[qtde_batalhas]]&lt;26,"Médio")</f>
        <v>Baixo</v>
      </c>
      <c r="S136" s="76" t="str">
        <f>IF(AND(TabelaClean[[#This Row],[nivel_risco]]="Alto",TabelaClean[[#This Row],[flag_inadimplente]]="Sim"),"Arriscado","Ok")</f>
        <v>Ok</v>
      </c>
      <c r="T136" s="26">
        <v>48000</v>
      </c>
      <c r="U13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36" s="1"/>
      <c r="Y136" t="s">
        <v>122</v>
      </c>
      <c r="Z136" t="str">
        <f t="shared" si="2"/>
        <v>Essos</v>
      </c>
      <c r="AE136" t="s">
        <v>337</v>
      </c>
      <c r="AF136" t="str">
        <f>TEXT(AE136,"000\.000\.000\-00")</f>
        <v>000.000.088-00</v>
      </c>
      <c r="AH136" s="15" t="s">
        <v>83</v>
      </c>
      <c r="AJ136" s="22">
        <v>10700</v>
      </c>
      <c r="AK136">
        <v>10700</v>
      </c>
      <c r="AM136" s="21">
        <v>9000</v>
      </c>
      <c r="AN136">
        <v>9000</v>
      </c>
      <c r="AO136">
        <v>9000</v>
      </c>
      <c r="AQ136" t="s">
        <v>148</v>
      </c>
      <c r="AZ136" s="38" t="s">
        <v>480</v>
      </c>
      <c r="BA136" t="s">
        <v>148</v>
      </c>
      <c r="BB136" s="26">
        <v>48000</v>
      </c>
      <c r="BC13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37" spans="1:55">
      <c r="A137" s="24" t="s">
        <v>76</v>
      </c>
      <c r="B137" s="17" t="s">
        <v>573</v>
      </c>
      <c r="C137" s="25" t="s">
        <v>574</v>
      </c>
      <c r="D137" s="54">
        <v>35</v>
      </c>
      <c r="E137" s="30">
        <v>33309</v>
      </c>
      <c r="F137" s="24" t="str">
        <f>TabelaClean[[#This Row],[CidadeCPF]]</f>
        <v>Correrrio</v>
      </c>
      <c r="G137" s="17" t="str">
        <f>TabelaClean[[#This Row],[RegiaoCPF]]</f>
        <v>Terras Fluviais</v>
      </c>
      <c r="H137" s="17" t="str">
        <f>_xlfn.XLOOKUP(TabelaClean[[#This Row],[cpf]],TabelaDirty[cpfclean],TabelaDirty[cidade])</f>
        <v>Correrrio</v>
      </c>
      <c r="I137" s="17" t="str">
        <f>_xlfn.XLOOKUP(TabelaClean[[#This Row],[cpf]],TabelaDirty[cpfclean],TabelaDirty[regiao])</f>
        <v>Terras Fluviais</v>
      </c>
      <c r="J137" s="17" t="str">
        <f>PROPER(TabelaClean[[#This Row],[Coluna1]])</f>
        <v>Terras Fluviais</v>
      </c>
      <c r="K137" s="17" t="e">
        <f>_xlfn.TEXTBEFORE(TabelaClean[[#This Row],[CidadeCPF]]," | ")</f>
        <v>#N/A</v>
      </c>
      <c r="L137" s="24" t="e">
        <f>_xlfn.TEXTAFTER(TabelaClean[[#This Row],[CidadeCPF]]," | ")</f>
        <v>#N/A</v>
      </c>
      <c r="M137" s="26">
        <v>28500</v>
      </c>
      <c r="N137" s="78">
        <v>48500</v>
      </c>
      <c r="O137" s="1" t="s">
        <v>50</v>
      </c>
      <c r="P13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7" s="84">
        <v>24</v>
      </c>
      <c r="R137" s="1" t="str" cm="1">
        <f t="array" ref="R137">_xlfn.IFS(TabelaClean[[#This Row],[qtde_batalhas]]&lt;=10,"Baixo",TabelaClean[[#This Row],[qtde_batalhas]]&gt;=26,"Alto",TabelaClean[[#This Row],[qtde_batalhas]]&lt;26,"Médio")</f>
        <v>Médio</v>
      </c>
      <c r="S137" s="1" t="str">
        <f>IF(AND(TabelaClean[[#This Row],[nivel_risco]]="Alto",TabelaClean[[#This Row],[flag_inadimplente]]="Sim"),"Arriscado","Ok")</f>
        <v>Ok</v>
      </c>
      <c r="T137" s="26">
        <v>80500</v>
      </c>
      <c r="U137" s="81">
        <f>IF(AND(TabelaClean[[#This Row],[analise_risco]]="Arriscado",TabelaClean[[#This Row],[analise_credito]]="Reprovado"),0,IF(TabelaClean[[#This Row],[status]]="Ativo",TabelaClean[[#This Row],[valor_solicitado]]*1.08,0))</f>
        <v>86940</v>
      </c>
      <c r="W137" s="1"/>
      <c r="Y137" t="s">
        <v>809</v>
      </c>
      <c r="Z137" t="str">
        <f t="shared" si="2"/>
        <v>Null</v>
      </c>
      <c r="AE137" t="s">
        <v>145</v>
      </c>
      <c r="AF137" t="str">
        <f>TEXT(AE137,"000\.000\.000\-00")</f>
        <v>000.000.090-00</v>
      </c>
      <c r="AH137" s="15" t="s">
        <v>154</v>
      </c>
      <c r="AJ137" s="22">
        <v>27300</v>
      </c>
      <c r="AK137">
        <v>27300</v>
      </c>
      <c r="AM137" s="20">
        <v>48500</v>
      </c>
      <c r="AN137">
        <v>48500</v>
      </c>
      <c r="AO137">
        <v>48500</v>
      </c>
      <c r="AQ137" t="s">
        <v>172</v>
      </c>
      <c r="AZ137" s="39" t="s">
        <v>335</v>
      </c>
      <c r="BA137" t="s">
        <v>172</v>
      </c>
      <c r="BB137" s="26">
        <v>28500</v>
      </c>
      <c r="BC137" s="81">
        <f>IF(AND(TabelaClean[[#This Row],[analise_risco]]="Arriscado",TabelaClean[[#This Row],[analise_credito]]="Reprovado"),0,IF(TabelaClean[[#This Row],[status]]="Ativo",TabelaClean[[#This Row],[valor_solicitado]]*1.08,0))</f>
        <v>86940</v>
      </c>
    </row>
    <row r="138" spans="1:55">
      <c r="A138" s="24" t="s">
        <v>81</v>
      </c>
      <c r="B138" s="17" t="s">
        <v>447</v>
      </c>
      <c r="C138" s="25" t="s">
        <v>448</v>
      </c>
      <c r="D138" s="54">
        <v>63</v>
      </c>
      <c r="E138" s="30">
        <v>23119</v>
      </c>
      <c r="F138" s="24" t="str">
        <f>TabelaClean[[#This Row],[CidadeCPF]]</f>
        <v>Ninho da Águia</v>
      </c>
      <c r="G138" s="17" t="str">
        <f>TabelaClean[[#This Row],[RegiaoCPF]]</f>
        <v>Vale</v>
      </c>
      <c r="H138" s="17" t="str">
        <f>_xlfn.XLOOKUP(TabelaClean[[#This Row],[cpf]],TabelaDirty[cpfclean],TabelaDirty[cidade])</f>
        <v>Ninho da Águia</v>
      </c>
      <c r="I138" s="17" t="str">
        <f>_xlfn.XLOOKUP(TabelaClean[[#This Row],[cpf]],TabelaDirty[cpfclean],TabelaDirty[regiao])</f>
        <v>vale</v>
      </c>
      <c r="J138" s="17" t="str">
        <f>PROPER(TabelaClean[[#This Row],[Coluna1]])</f>
        <v>Vale</v>
      </c>
      <c r="K138" s="17" t="e">
        <f>_xlfn.TEXTBEFORE(TabelaClean[[#This Row],[CidadeCPF]]," | ")</f>
        <v>#N/A</v>
      </c>
      <c r="L138" s="24" t="e">
        <f>_xlfn.TEXTAFTER(TabelaClean[[#This Row],[CidadeCPF]]," | ")</f>
        <v>#N/A</v>
      </c>
      <c r="M138" s="26">
        <v>9300</v>
      </c>
      <c r="N138" s="78">
        <v>48500</v>
      </c>
      <c r="O138" s="1" t="s">
        <v>50</v>
      </c>
      <c r="P13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8" s="84">
        <v>28</v>
      </c>
      <c r="R138" s="1" t="str" cm="1">
        <f t="array" ref="R138">_xlfn.IFS(TabelaClean[[#This Row],[qtde_batalhas]]&lt;=10,"Baixo",TabelaClean[[#This Row],[qtde_batalhas]]&gt;=26,"Alto",TabelaClean[[#This Row],[qtde_batalhas]]&lt;26,"Médio")</f>
        <v>Alto</v>
      </c>
      <c r="S138" s="1" t="str">
        <f>IF(AND(TabelaClean[[#This Row],[nivel_risco]]="Alto",TabelaClean[[#This Row],[flag_inadimplente]]="Sim"),"Arriscado","Ok")</f>
        <v>Ok</v>
      </c>
      <c r="T138" s="26">
        <v>20000</v>
      </c>
      <c r="U13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38" s="1"/>
      <c r="Y138" t="s">
        <v>809</v>
      </c>
      <c r="Z138" t="str">
        <f t="shared" si="2"/>
        <v>Null</v>
      </c>
      <c r="AE138" t="s">
        <v>312</v>
      </c>
      <c r="AF138" t="str">
        <f>TEXT(AE138,"000\.000\.000\-00")</f>
        <v>000.000.091-00</v>
      </c>
      <c r="AH138" s="15" t="s">
        <v>83</v>
      </c>
      <c r="AJ138" s="22">
        <v>6100</v>
      </c>
      <c r="AK138">
        <v>6100</v>
      </c>
      <c r="AM138" s="21">
        <v>40000</v>
      </c>
      <c r="AN138">
        <v>40000</v>
      </c>
      <c r="AO138">
        <v>40000</v>
      </c>
      <c r="AQ138" t="s">
        <v>112</v>
      </c>
      <c r="AZ138" s="38" t="s">
        <v>885</v>
      </c>
      <c r="BA138" t="s">
        <v>112</v>
      </c>
      <c r="BB138" s="26">
        <v>9300</v>
      </c>
      <c r="BC13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39" spans="1:55">
      <c r="A139" s="24" t="s">
        <v>76</v>
      </c>
      <c r="B139" s="17" t="s">
        <v>644</v>
      </c>
      <c r="C139" s="25" t="s">
        <v>645</v>
      </c>
      <c r="D139" s="54">
        <v>65</v>
      </c>
      <c r="E139" s="30">
        <v>22297</v>
      </c>
      <c r="F139" s="24" t="str">
        <f>TabelaClean[[#This Row],[CidadeCPF]]</f>
        <v>Lannisporto</v>
      </c>
      <c r="G139" s="17" t="str">
        <f>TabelaClean[[#This Row],[RegiaoCPF]]</f>
        <v>Oeste</v>
      </c>
      <c r="H139" s="17" t="str">
        <f>_xlfn.XLOOKUP(TabelaClean[[#This Row],[cpf]],TabelaDirty[cpfclean],TabelaDirty[cidade])</f>
        <v>Lannisporto</v>
      </c>
      <c r="I139" s="17" t="str">
        <f>_xlfn.XLOOKUP(TabelaClean[[#This Row],[cpf]],TabelaDirty[cpfclean],TabelaDirty[regiao])</f>
        <v>Oeste</v>
      </c>
      <c r="J139" s="17" t="str">
        <f>PROPER(TabelaClean[[#This Row],[Coluna1]])</f>
        <v>Oeste</v>
      </c>
      <c r="K139" s="17" t="e">
        <f>_xlfn.TEXTBEFORE(TabelaClean[[#This Row],[CidadeCPF]]," | ")</f>
        <v>#N/A</v>
      </c>
      <c r="L139" s="24" t="e">
        <f>_xlfn.TEXTAFTER(TabelaClean[[#This Row],[CidadeCPF]]," | ")</f>
        <v>#N/A</v>
      </c>
      <c r="M139" s="26">
        <v>27300</v>
      </c>
      <c r="N139" s="78">
        <v>48500</v>
      </c>
      <c r="O139" s="1" t="s">
        <v>50</v>
      </c>
      <c r="P13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39" s="84">
        <v>29</v>
      </c>
      <c r="R139" s="1" t="str" cm="1">
        <f t="array" ref="R139">_xlfn.IFS(TabelaClean[[#This Row],[qtde_batalhas]]&lt;=10,"Baixo",TabelaClean[[#This Row],[qtde_batalhas]]&gt;=26,"Alto",TabelaClean[[#This Row],[qtde_batalhas]]&lt;26,"Médio")</f>
        <v>Alto</v>
      </c>
      <c r="S139" s="1" t="str">
        <f>IF(AND(TabelaClean[[#This Row],[nivel_risco]]="Alto",TabelaClean[[#This Row],[flag_inadimplente]]="Sim"),"Arriscado","Ok")</f>
        <v>Ok</v>
      </c>
      <c r="T139" s="26">
        <v>94000</v>
      </c>
      <c r="U139" s="81">
        <f>IF(AND(TabelaClean[[#This Row],[analise_risco]]="Arriscado",TabelaClean[[#This Row],[analise_credito]]="Reprovado"),0,IF(TabelaClean[[#This Row],[status]]="Ativo",TabelaClean[[#This Row],[valor_solicitado]]*1.08,0))</f>
        <v>101520</v>
      </c>
      <c r="W139" s="1"/>
      <c r="Y139" t="s">
        <v>122</v>
      </c>
      <c r="Z139" t="str">
        <f t="shared" si="2"/>
        <v>Essos</v>
      </c>
      <c r="AE139" t="s">
        <v>290</v>
      </c>
      <c r="AF139" t="str">
        <f>TEXT(AE139,"000\.000\.000\-00")</f>
        <v>000.000.092-00</v>
      </c>
      <c r="AH139" s="15" t="s">
        <v>141</v>
      </c>
      <c r="AJ139" s="22">
        <v>9300</v>
      </c>
      <c r="AK139">
        <v>9300</v>
      </c>
      <c r="AM139" s="20">
        <v>35000</v>
      </c>
      <c r="AN139">
        <v>35000</v>
      </c>
      <c r="AO139">
        <v>35000</v>
      </c>
      <c r="AQ139" t="s">
        <v>169</v>
      </c>
      <c r="AZ139" s="39" t="s">
        <v>404</v>
      </c>
      <c r="BA139" t="s">
        <v>169</v>
      </c>
      <c r="BB139" s="26">
        <v>27300</v>
      </c>
      <c r="BC139" s="81">
        <f>IF(AND(TabelaClean[[#This Row],[analise_risco]]="Arriscado",TabelaClean[[#This Row],[analise_credito]]="Reprovado"),0,IF(TabelaClean[[#This Row],[status]]="Ativo",TabelaClean[[#This Row],[valor_solicitado]]*1.08,0))</f>
        <v>101520</v>
      </c>
    </row>
    <row r="140" spans="1:55">
      <c r="A140" s="24" t="s">
        <v>76</v>
      </c>
      <c r="B140" s="17" t="s">
        <v>898</v>
      </c>
      <c r="C140" s="25" t="s">
        <v>899</v>
      </c>
      <c r="D140" s="54">
        <v>40</v>
      </c>
      <c r="E140" s="30">
        <v>31458</v>
      </c>
      <c r="F140" s="25" t="s">
        <v>154</v>
      </c>
      <c r="G140" s="25" t="s">
        <v>142</v>
      </c>
      <c r="H140" s="24">
        <v>21300</v>
      </c>
      <c r="I140" s="24">
        <v>48500</v>
      </c>
      <c r="J140" s="24" t="s">
        <v>50</v>
      </c>
      <c r="K140" s="24">
        <v>44</v>
      </c>
      <c r="L140" s="24"/>
      <c r="M140" s="26">
        <v>62500</v>
      </c>
      <c r="N140" s="78">
        <v>48500</v>
      </c>
      <c r="O140" s="1" t="s">
        <v>50</v>
      </c>
      <c r="P14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0" s="84">
        <v>44</v>
      </c>
      <c r="R140" s="76" t="str" cm="1">
        <f t="array" ref="R140">_xlfn.IFS(TabelaClean[[#This Row],[qtde_batalhas]]&lt;=10,"Baixo",TabelaClean[[#This Row],[qtde_batalhas]]&gt;=26,"Alto",TabelaClean[[#This Row],[qtde_batalhas]]&lt;26,"Médio")</f>
        <v>Alto</v>
      </c>
      <c r="S140" s="76" t="str">
        <f>IF(AND(TabelaClean[[#This Row],[nivel_risco]]="Alto",TabelaClean[[#This Row],[flag_inadimplente]]="Sim"),"Arriscado","Ok")</f>
        <v>Ok</v>
      </c>
      <c r="T140" s="26">
        <v>62500</v>
      </c>
      <c r="U140" s="81">
        <f>IF(AND(TabelaClean[[#This Row],[analise_risco]]="Arriscado",TabelaClean[[#This Row],[analise_credito]]="Reprovado"),0,IF(TabelaClean[[#This Row],[status]]="Ativo",TabelaClean[[#This Row],[valor_solicitado]]*1.08,0))</f>
        <v>67500</v>
      </c>
      <c r="W140" s="1"/>
      <c r="Y140" t="s">
        <v>809</v>
      </c>
      <c r="Z140" t="str">
        <f t="shared" si="2"/>
        <v>Null</v>
      </c>
      <c r="AE140" t="s">
        <v>631</v>
      </c>
      <c r="AF140" t="str">
        <f>TEXT(AE140,"000\.000\.000\-00")</f>
        <v>000.000.093-00</v>
      </c>
      <c r="AH140" s="15" t="s">
        <v>112</v>
      </c>
      <c r="AJ140" s="22">
        <v>18900</v>
      </c>
      <c r="AK140">
        <v>18900</v>
      </c>
      <c r="AM140" s="21">
        <v>1000</v>
      </c>
      <c r="AN140">
        <v>1000</v>
      </c>
      <c r="AO140">
        <v>1000</v>
      </c>
      <c r="AQ140" t="s">
        <v>103</v>
      </c>
      <c r="AZ140" s="38" t="s">
        <v>887</v>
      </c>
      <c r="BA140" t="s">
        <v>103</v>
      </c>
      <c r="BB140" s="26">
        <v>62500</v>
      </c>
      <c r="BC140" s="81">
        <f>IF(AND(TabelaClean[[#This Row],[analise_risco]]="Arriscado",TabelaClean[[#This Row],[analise_credito]]="Reprovado"),0,IF(TabelaClean[[#This Row],[status]]="Ativo",TabelaClean[[#This Row],[valor_solicitado]]*1.08,0))</f>
        <v>67500</v>
      </c>
    </row>
    <row r="141" spans="1:55">
      <c r="A141" s="24" t="s">
        <v>76</v>
      </c>
      <c r="B141" s="17" t="s">
        <v>144</v>
      </c>
      <c r="C141" s="25" t="s">
        <v>145</v>
      </c>
      <c r="D141" s="54">
        <v>32</v>
      </c>
      <c r="E141" s="30">
        <v>34457</v>
      </c>
      <c r="F141" s="24" t="str">
        <f>TabelaClean[[#This Row],[CidadeCPF]]</f>
        <v>Correrrio</v>
      </c>
      <c r="G141" s="17" t="str">
        <f>TabelaClean[[#This Row],[RegiaoCPF]]</f>
        <v>Terras Fluviais</v>
      </c>
      <c r="H141" s="17" t="str">
        <f>_xlfn.XLOOKUP(TabelaClean[[#This Row],[cpf]],TabelaDirty[cpfclean],TabelaDirty[cidade])</f>
        <v>Correrrio</v>
      </c>
      <c r="I141" s="17" t="str">
        <f>_xlfn.XLOOKUP(TabelaClean[[#This Row],[cpf]],TabelaDirty[cpfclean],TabelaDirty[regiao])</f>
        <v>TERRAS FLUVIAIS</v>
      </c>
      <c r="J141" s="17" t="str">
        <f>PROPER(TabelaClean[[#This Row],[Coluna1]])</f>
        <v>Terras Fluviais</v>
      </c>
      <c r="K141" s="17" t="e">
        <f>_xlfn.TEXTBEFORE(TabelaClean[[#This Row],[CidadeCPF]]," | ")</f>
        <v>#N/A</v>
      </c>
      <c r="L141" s="24" t="e">
        <f>_xlfn.TEXTAFTER(TabelaClean[[#This Row],[CidadeCPF]]," | ")</f>
        <v>#N/A</v>
      </c>
      <c r="M141" s="26">
        <v>21300</v>
      </c>
      <c r="N141" s="78">
        <v>48000</v>
      </c>
      <c r="O141" s="1" t="s">
        <v>50</v>
      </c>
      <c r="P14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1" s="84">
        <v>11</v>
      </c>
      <c r="R141" s="1" t="str" cm="1">
        <f t="array" ref="R141">_xlfn.IFS(TabelaClean[[#This Row],[qtde_batalhas]]&lt;=10,"Baixo",TabelaClean[[#This Row],[qtde_batalhas]]&gt;=26,"Alto",TabelaClean[[#This Row],[qtde_batalhas]]&lt;26,"Médio")</f>
        <v>Médio</v>
      </c>
      <c r="S141" s="1" t="str">
        <f>IF(AND(TabelaClean[[#This Row],[nivel_risco]]="Alto",TabelaClean[[#This Row],[flag_inadimplente]]="Sim"),"Arriscado","Ok")</f>
        <v>Ok</v>
      </c>
      <c r="T141" s="26">
        <v>35000</v>
      </c>
      <c r="U141" s="81">
        <f>IF(AND(TabelaClean[[#This Row],[analise_risco]]="Arriscado",TabelaClean[[#This Row],[analise_credito]]="Reprovado"),0,IF(TabelaClean[[#This Row],[status]]="Ativo",TabelaClean[[#This Row],[valor_solicitado]]*1.08,0))</f>
        <v>37800</v>
      </c>
      <c r="W141" s="1"/>
      <c r="Y141" t="s">
        <v>183</v>
      </c>
      <c r="Z141" t="str">
        <f t="shared" si="2"/>
        <v>Dorne</v>
      </c>
      <c r="AE141" t="s">
        <v>419</v>
      </c>
      <c r="AF141" t="str">
        <f>TEXT(AE141,"000\.000\.000\-00")</f>
        <v>000.000.094-00</v>
      </c>
      <c r="AH141" s="14" t="s">
        <v>471</v>
      </c>
      <c r="AI141" t="e" cm="1" vm="1">
        <f t="array" aca="1" ref="AI141" ca="1">_xlfn.TEXTSPLIT(AH141," | ")</f>
        <v>#VALUE!</v>
      </c>
      <c r="AJ141" s="22">
        <v>23200</v>
      </c>
      <c r="AK141">
        <v>23200</v>
      </c>
      <c r="AM141" s="20">
        <v>54500</v>
      </c>
      <c r="AN141">
        <v>54500</v>
      </c>
      <c r="AO141">
        <v>54500</v>
      </c>
      <c r="AQ141" t="s">
        <v>89</v>
      </c>
      <c r="AZ141" s="39" t="s">
        <v>888</v>
      </c>
      <c r="BA141" t="s">
        <v>89</v>
      </c>
      <c r="BB141" s="26">
        <v>21300</v>
      </c>
      <c r="BC141" s="81">
        <f>IF(AND(TabelaClean[[#This Row],[analise_risco]]="Arriscado",TabelaClean[[#This Row],[analise_credito]]="Reprovado"),0,IF(TabelaClean[[#This Row],[status]]="Ativo",TabelaClean[[#This Row],[valor_solicitado]]*1.08,0))</f>
        <v>37800</v>
      </c>
    </row>
    <row r="142" spans="1:55">
      <c r="A142" s="24" t="s">
        <v>81</v>
      </c>
      <c r="B142" s="17" t="s">
        <v>597</v>
      </c>
      <c r="C142" s="25" t="s">
        <v>598</v>
      </c>
      <c r="D142" s="54">
        <v>69</v>
      </c>
      <c r="E142" s="30">
        <v>20785</v>
      </c>
      <c r="F142" s="24" t="str">
        <f>TabelaClean[[#This Row],[CidadeCPF]]</f>
        <v>Castelo Negro</v>
      </c>
      <c r="G142" s="17" t="str">
        <f>TabelaClean[[#This Row],[RegiaoCPF]]</f>
        <v>Norte</v>
      </c>
      <c r="H142" s="17" t="str">
        <f>_xlfn.XLOOKUP(TabelaClean[[#This Row],[cpf]],TabelaDirty[cpfclean],TabelaDirty[cidade])</f>
        <v>Castelo Negro</v>
      </c>
      <c r="I142" s="17" t="str">
        <f>_xlfn.XLOOKUP(TabelaClean[[#This Row],[cpf]],TabelaDirty[cpfclean],TabelaDirty[regiao])</f>
        <v>NORTE</v>
      </c>
      <c r="J142" s="17" t="str">
        <f>PROPER(TabelaClean[[#This Row],[Coluna1]])</f>
        <v>Norte</v>
      </c>
      <c r="K142" s="17" t="e">
        <f>_xlfn.TEXTBEFORE(TabelaClean[[#This Row],[CidadeCPF]]," | ")</f>
        <v>#N/A</v>
      </c>
      <c r="L142" s="24" t="e">
        <f>_xlfn.TEXTAFTER(TabelaClean[[#This Row],[CidadeCPF]]," | ")</f>
        <v>#N/A</v>
      </c>
      <c r="M142" s="26">
        <v>16000</v>
      </c>
      <c r="N142" s="78">
        <v>48000</v>
      </c>
      <c r="O142" s="1" t="s">
        <v>50</v>
      </c>
      <c r="P14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2" s="84">
        <v>29</v>
      </c>
      <c r="R142" s="1" t="str" cm="1">
        <f t="array" ref="R142">_xlfn.IFS(TabelaClean[[#This Row],[qtde_batalhas]]&lt;=10,"Baixo",TabelaClean[[#This Row],[qtde_batalhas]]&gt;=26,"Alto",TabelaClean[[#This Row],[qtde_batalhas]]&lt;26,"Médio")</f>
        <v>Alto</v>
      </c>
      <c r="S142" s="1" t="str">
        <f>IF(AND(TabelaClean[[#This Row],[nivel_risco]]="Alto",TabelaClean[[#This Row],[flag_inadimplente]]="Sim"),"Arriscado","Ok")</f>
        <v>Ok</v>
      </c>
      <c r="T142" s="26">
        <v>74500</v>
      </c>
      <c r="U14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42" s="1"/>
      <c r="Y142" t="s">
        <v>809</v>
      </c>
      <c r="Z142" t="str">
        <f t="shared" si="2"/>
        <v>Null</v>
      </c>
      <c r="AE142" t="s">
        <v>668</v>
      </c>
      <c r="AF142" t="str">
        <f>TEXT(AE142,"000\.000\.000\-00")</f>
        <v>000.000.095-00</v>
      </c>
      <c r="AH142" s="15" t="s">
        <v>215</v>
      </c>
      <c r="AJ142" s="22">
        <v>10000</v>
      </c>
      <c r="AK142">
        <v>10000</v>
      </c>
      <c r="AM142" s="21">
        <v>25500</v>
      </c>
      <c r="AN142">
        <v>25500</v>
      </c>
      <c r="AO142">
        <v>25500</v>
      </c>
      <c r="AQ142" t="s">
        <v>89</v>
      </c>
      <c r="AZ142" s="38" t="s">
        <v>330</v>
      </c>
      <c r="BA142" t="s">
        <v>89</v>
      </c>
      <c r="BB142" s="26">
        <v>16000</v>
      </c>
      <c r="BC14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43" spans="1:55">
      <c r="A143" s="24" t="s">
        <v>76</v>
      </c>
      <c r="B143" s="17" t="s">
        <v>900</v>
      </c>
      <c r="C143" s="25" t="s">
        <v>362</v>
      </c>
      <c r="D143" s="54">
        <v>31</v>
      </c>
      <c r="E143" s="30">
        <v>34852</v>
      </c>
      <c r="F143" s="17" t="str">
        <f>TabelaClean[[#This Row],[CidadeClean]]</f>
        <v>Fosso Cailin</v>
      </c>
      <c r="G143" s="17" t="str">
        <f>TabelaClean[[#This Row],[RegiaoClean]]</f>
        <v>Norte</v>
      </c>
      <c r="H143" s="17" t="str">
        <f>_xlfn.XLOOKUP(TabelaClean[[#This Row],[cpf]],TabelaDirty[cpfclean],TabelaDirty[cidade])</f>
        <v>Fosso Cailin | Norte</v>
      </c>
      <c r="I143" s="17">
        <f>_xlfn.XLOOKUP(TabelaClean[[#This Row],[cpf]],TabelaDirty[cpfclean],TabelaDirty[regiao])</f>
        <v>0</v>
      </c>
      <c r="J143" s="17" t="s">
        <v>142</v>
      </c>
      <c r="K143" s="17" t="str">
        <f>_xlfn.TEXTBEFORE(TabelaClean[[#This Row],[CidadeCPF]]," | ")</f>
        <v>Fosso Cailin</v>
      </c>
      <c r="L143" s="24" t="str">
        <f>_xlfn.TEXTAFTER(TabelaClean[[#This Row],[CidadeCPF]]," | ")</f>
        <v>Norte</v>
      </c>
      <c r="M143" s="26">
        <v>20500</v>
      </c>
      <c r="N143" s="78">
        <v>47500</v>
      </c>
      <c r="O143" s="1" t="s">
        <v>50</v>
      </c>
      <c r="P14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3" s="84">
        <v>11</v>
      </c>
      <c r="R143" s="1" t="str" cm="1">
        <f t="array" ref="R143">_xlfn.IFS(TabelaClean[[#This Row],[qtde_batalhas]]&lt;=10,"Baixo",TabelaClean[[#This Row],[qtde_batalhas]]&gt;=26,"Alto",TabelaClean[[#This Row],[qtde_batalhas]]&lt;26,"Médio")</f>
        <v>Médio</v>
      </c>
      <c r="S143" s="1" t="str">
        <f>IF(AND(TabelaClean[[#This Row],[nivel_risco]]="Alto",TabelaClean[[#This Row],[flag_inadimplente]]="Sim"),"Arriscado","Ok")</f>
        <v>Ok</v>
      </c>
      <c r="T143" s="26">
        <v>18500</v>
      </c>
      <c r="U143" s="81">
        <f>IF(AND(TabelaClean[[#This Row],[analise_risco]]="Arriscado",TabelaClean[[#This Row],[analise_credito]]="Reprovado"),0,IF(TabelaClean[[#This Row],[status]]="Ativo",TabelaClean[[#This Row],[valor_solicitado]]*1.08,0))</f>
        <v>19980</v>
      </c>
      <c r="W143" s="1"/>
      <c r="Y143" t="s">
        <v>809</v>
      </c>
      <c r="Z143" t="str">
        <f t="shared" si="2"/>
        <v>Null</v>
      </c>
      <c r="AE143" t="s">
        <v>475</v>
      </c>
      <c r="AF143" t="str">
        <f>TEXT(AE143,"000\.000\.000\-00")</f>
        <v>000.000.097-00</v>
      </c>
      <c r="AH143" s="15" t="s">
        <v>162</v>
      </c>
      <c r="AJ143" s="22">
        <v>24900</v>
      </c>
      <c r="AK143">
        <v>24900</v>
      </c>
      <c r="AM143" s="20">
        <v>0</v>
      </c>
      <c r="AN143">
        <v>0</v>
      </c>
      <c r="AO143">
        <v>0</v>
      </c>
      <c r="AQ143" t="s">
        <v>112</v>
      </c>
      <c r="AZ143" s="39" t="s">
        <v>738</v>
      </c>
      <c r="BA143" t="s">
        <v>112</v>
      </c>
      <c r="BB143" s="26">
        <v>20500</v>
      </c>
      <c r="BC143" s="81">
        <f>IF(AND(TabelaClean[[#This Row],[analise_risco]]="Arriscado",TabelaClean[[#This Row],[analise_credito]]="Reprovado"),0,IF(TabelaClean[[#This Row],[status]]="Ativo",TabelaClean[[#This Row],[valor_solicitado]]*1.08,0))</f>
        <v>19980</v>
      </c>
    </row>
    <row r="144" spans="1:55">
      <c r="A144" s="24" t="s">
        <v>81</v>
      </c>
      <c r="B144" s="17" t="s">
        <v>901</v>
      </c>
      <c r="C144" s="25" t="s">
        <v>742</v>
      </c>
      <c r="D144" s="54">
        <v>73</v>
      </c>
      <c r="E144" s="30" t="s">
        <v>809</v>
      </c>
      <c r="F144" s="24" t="str">
        <f>TabelaClean[[#This Row],[CidadeCPF]]</f>
        <v>Castelo Negro</v>
      </c>
      <c r="G144" s="17" t="str">
        <f>TabelaClean[[#This Row],[RegiaoCPF]]</f>
        <v>Norte</v>
      </c>
      <c r="H144" s="17" t="str">
        <f>_xlfn.XLOOKUP(TabelaClean[[#This Row],[cpf]],TabelaDirty[cpfclean],TabelaDirty[cidade])</f>
        <v>Castelo Negro</v>
      </c>
      <c r="I144" s="17" t="str">
        <f>_xlfn.XLOOKUP(TabelaClean[[#This Row],[cpf]],TabelaDirty[cpfclean],TabelaDirty[regiao])</f>
        <v>Norte</v>
      </c>
      <c r="J144" s="17" t="str">
        <f>PROPER(TabelaClean[[#This Row],[Coluna1]])</f>
        <v>Norte</v>
      </c>
      <c r="K144" s="17" t="e">
        <f>_xlfn.TEXTBEFORE(TabelaClean[[#This Row],[CidadeCPF]]," | ")</f>
        <v>#N/A</v>
      </c>
      <c r="L144" s="24" t="e">
        <f>_xlfn.TEXTAFTER(TabelaClean[[#This Row],[CidadeCPF]]," | ")</f>
        <v>#N/A</v>
      </c>
      <c r="M144" s="26">
        <v>19900</v>
      </c>
      <c r="N144" s="78">
        <v>47000</v>
      </c>
      <c r="O144" s="1" t="s">
        <v>50</v>
      </c>
      <c r="P14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4" s="84">
        <v>19</v>
      </c>
      <c r="R144" s="1" t="str" cm="1">
        <f t="array" ref="R144">_xlfn.IFS(TabelaClean[[#This Row],[qtde_batalhas]]&lt;=10,"Baixo",TabelaClean[[#This Row],[qtde_batalhas]]&gt;=26,"Alto",TabelaClean[[#This Row],[qtde_batalhas]]&lt;26,"Médio")</f>
        <v>Médio</v>
      </c>
      <c r="S144" s="1" t="str">
        <f>IF(AND(TabelaClean[[#This Row],[nivel_risco]]="Alto",TabelaClean[[#This Row],[flag_inadimplente]]="Sim"),"Arriscado","Ok")</f>
        <v>Ok</v>
      </c>
      <c r="T144" s="26">
        <v>20500</v>
      </c>
      <c r="U14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44" s="1"/>
      <c r="Y144" t="s">
        <v>809</v>
      </c>
      <c r="Z144" t="str">
        <f t="shared" si="2"/>
        <v>Null</v>
      </c>
      <c r="AE144" t="s">
        <v>621</v>
      </c>
      <c r="AF144" t="str">
        <f>TEXT(AE144,"000\.000\.000\-00")</f>
        <v>000.000.100-00</v>
      </c>
      <c r="AH144" s="15" t="s">
        <v>705</v>
      </c>
      <c r="AI144" t="e" cm="1" vm="1">
        <f t="array" aca="1" ref="AI144" ca="1">_xlfn.TEXTSPLIT(AH144," | ")</f>
        <v>#VALUE!</v>
      </c>
      <c r="AJ144" s="22">
        <v>12400</v>
      </c>
      <c r="AK144">
        <v>12400</v>
      </c>
      <c r="AL144" t="s">
        <v>139</v>
      </c>
      <c r="AM144" s="21">
        <v>0</v>
      </c>
      <c r="AN144">
        <v>0</v>
      </c>
      <c r="AO144">
        <v>0</v>
      </c>
      <c r="AQ144" t="s">
        <v>79</v>
      </c>
      <c r="AZ144" s="38" t="s">
        <v>552</v>
      </c>
      <c r="BA144" t="s">
        <v>79</v>
      </c>
      <c r="BB144" s="26">
        <v>19900</v>
      </c>
      <c r="BC14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45" spans="1:55">
      <c r="A145" s="24" t="s">
        <v>76</v>
      </c>
      <c r="B145" s="17" t="s">
        <v>747</v>
      </c>
      <c r="C145" s="25" t="s">
        <v>748</v>
      </c>
      <c r="D145" s="54">
        <v>54</v>
      </c>
      <c r="E145" s="30">
        <v>26230</v>
      </c>
      <c r="F145" s="24" t="str">
        <f>TabelaClean[[#This Row],[CidadeCPF]]</f>
        <v>Fosso Cailin</v>
      </c>
      <c r="G145" s="17" t="str">
        <f>TabelaClean[[#This Row],[RegiaoCPF]]</f>
        <v>Norte</v>
      </c>
      <c r="H145" s="17" t="str">
        <f>_xlfn.XLOOKUP(TabelaClean[[#This Row],[cpf]],TabelaDirty[cpfclean],TabelaDirty[cidade])</f>
        <v>Fosso Cailin</v>
      </c>
      <c r="I145" s="17" t="str">
        <f>_xlfn.XLOOKUP(TabelaClean[[#This Row],[cpf]],TabelaDirty[cpfclean],TabelaDirty[regiao])</f>
        <v>NORTE</v>
      </c>
      <c r="J145" s="17" t="str">
        <f>PROPER(TabelaClean[[#This Row],[Coluna1]])</f>
        <v>Norte</v>
      </c>
      <c r="K145" s="17" t="e">
        <f>_xlfn.TEXTBEFORE(TabelaClean[[#This Row],[CidadeCPF]]," | ")</f>
        <v>#N/A</v>
      </c>
      <c r="L145" s="24" t="e">
        <f>_xlfn.TEXTAFTER(TabelaClean[[#This Row],[CidadeCPF]]," | ")</f>
        <v>#N/A</v>
      </c>
      <c r="M145" s="26">
        <v>18700</v>
      </c>
      <c r="N145" s="78">
        <v>46000</v>
      </c>
      <c r="O145" s="1" t="s">
        <v>51</v>
      </c>
      <c r="P14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5" s="84">
        <v>4</v>
      </c>
      <c r="R145" s="1" t="str" cm="1">
        <f t="array" ref="R145">_xlfn.IFS(TabelaClean[[#This Row],[qtde_batalhas]]&lt;=10,"Baixo",TabelaClean[[#This Row],[qtde_batalhas]]&gt;=26,"Alto",TabelaClean[[#This Row],[qtde_batalhas]]&lt;26,"Médio")</f>
        <v>Baixo</v>
      </c>
      <c r="S145" s="1" t="str">
        <f>IF(AND(TabelaClean[[#This Row],[nivel_risco]]="Alto",TabelaClean[[#This Row],[flag_inadimplente]]="Sim"),"Arriscado","Ok")</f>
        <v>Ok</v>
      </c>
      <c r="T145" s="26">
        <v>27500</v>
      </c>
      <c r="U145" s="81">
        <f>IF(AND(TabelaClean[[#This Row],[analise_risco]]="Arriscado",TabelaClean[[#This Row],[analise_credito]]="Reprovado"),0,IF(TabelaClean[[#This Row],[status]]="Ativo",TabelaClean[[#This Row],[valor_solicitado]]*1.08,0))</f>
        <v>29700.000000000004</v>
      </c>
      <c r="W145" s="1"/>
      <c r="Y145" t="s">
        <v>809</v>
      </c>
      <c r="Z145" t="str">
        <f t="shared" si="2"/>
        <v>Null</v>
      </c>
      <c r="AE145" t="s">
        <v>695</v>
      </c>
      <c r="AF145" t="str">
        <f>TEXT(AE145,"000\.000\.000\-00")</f>
        <v>000.000.101-00</v>
      </c>
      <c r="AH145" s="15" t="s">
        <v>183</v>
      </c>
      <c r="AJ145" s="22" t="s">
        <v>97</v>
      </c>
      <c r="AK145">
        <v>10400</v>
      </c>
      <c r="AM145" s="20">
        <v>8500</v>
      </c>
      <c r="AN145">
        <v>8500</v>
      </c>
      <c r="AO145">
        <v>8500</v>
      </c>
      <c r="AQ145" t="s">
        <v>103</v>
      </c>
      <c r="AZ145" s="39" t="s">
        <v>510</v>
      </c>
      <c r="BA145" t="s">
        <v>103</v>
      </c>
      <c r="BB145" s="26">
        <v>18700</v>
      </c>
      <c r="BC145" s="81">
        <f>IF(AND(TabelaClean[[#This Row],[analise_risco]]="Arriscado",TabelaClean[[#This Row],[analise_credito]]="Reprovado"),0,IF(TabelaClean[[#This Row],[status]]="Ativo",TabelaClean[[#This Row],[valor_solicitado]]*1.08,0))</f>
        <v>29700.000000000004</v>
      </c>
    </row>
    <row r="146" spans="1:55">
      <c r="A146" s="24" t="s">
        <v>76</v>
      </c>
      <c r="B146" s="17" t="s">
        <v>332</v>
      </c>
      <c r="C146" s="25" t="s">
        <v>333</v>
      </c>
      <c r="D146" s="54">
        <v>60</v>
      </c>
      <c r="E146" s="30">
        <v>24082</v>
      </c>
      <c r="F146" s="24" t="str">
        <f>TabelaClean[[#This Row],[CidadeCPF]]</f>
        <v>Atalaia da Água Cinzenta</v>
      </c>
      <c r="G146" s="17" t="str">
        <f>TabelaClean[[#This Row],[RegiaoCPF]]</f>
        <v>Gargalo</v>
      </c>
      <c r="H146" s="17" t="str">
        <f>_xlfn.XLOOKUP(TabelaClean[[#This Row],[cpf]],TabelaDirty[cpfclean],TabelaDirty[cidade])</f>
        <v>Atalaia da Água Cinzenta</v>
      </c>
      <c r="I146" s="17" t="str">
        <f>_xlfn.XLOOKUP(TabelaClean[[#This Row],[cpf]],TabelaDirty[cpfclean],TabelaDirty[regiao])</f>
        <v>gargalo</v>
      </c>
      <c r="J146" s="17" t="str">
        <f>PROPER(TabelaClean[[#This Row],[Coluna1]])</f>
        <v>Gargalo</v>
      </c>
      <c r="K146" s="17" t="e">
        <f>_xlfn.TEXTBEFORE(TabelaClean[[#This Row],[CidadeCPF]]," | ")</f>
        <v>#N/A</v>
      </c>
      <c r="L146" s="24" t="e">
        <f>_xlfn.TEXTAFTER(TabelaClean[[#This Row],[CidadeCPF]]," | ")</f>
        <v>#N/A</v>
      </c>
      <c r="M146" s="26">
        <v>13800</v>
      </c>
      <c r="N146" s="78">
        <v>45500</v>
      </c>
      <c r="O146" s="1" t="s">
        <v>50</v>
      </c>
      <c r="P14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6" s="84">
        <v>30</v>
      </c>
      <c r="R146" s="1" t="str" cm="1">
        <f t="array" ref="R146">_xlfn.IFS(TabelaClean[[#This Row],[qtde_batalhas]]&lt;=10,"Baixo",TabelaClean[[#This Row],[qtde_batalhas]]&gt;=26,"Alto",TabelaClean[[#This Row],[qtde_batalhas]]&lt;26,"Médio")</f>
        <v>Alto</v>
      </c>
      <c r="S146" s="1" t="str">
        <f>IF(AND(TabelaClean[[#This Row],[nivel_risco]]="Alto",TabelaClean[[#This Row],[flag_inadimplente]]="Sim"),"Arriscado","Ok")</f>
        <v>Ok</v>
      </c>
      <c r="T146" s="26">
        <v>17500</v>
      </c>
      <c r="U146" s="81">
        <f>IF(AND(TabelaClean[[#This Row],[analise_risco]]="Arriscado",TabelaClean[[#This Row],[analise_credito]]="Reprovado"),0,IF(TabelaClean[[#This Row],[status]]="Ativo",TabelaClean[[#This Row],[valor_solicitado]]*1.08,0))</f>
        <v>18900</v>
      </c>
      <c r="W146" s="1"/>
      <c r="Y146" t="s">
        <v>809</v>
      </c>
      <c r="Z146" t="str">
        <f t="shared" si="2"/>
        <v>Null</v>
      </c>
      <c r="AE146" t="s">
        <v>670</v>
      </c>
      <c r="AF146" t="str">
        <f>TEXT(AE146,"000\.000\.000\-00")</f>
        <v>000.000.105-00</v>
      </c>
      <c r="AH146" s="15" t="s">
        <v>127</v>
      </c>
      <c r="AJ146" s="22">
        <v>28400</v>
      </c>
      <c r="AK146">
        <v>28400</v>
      </c>
      <c r="AM146" s="21">
        <v>38500</v>
      </c>
      <c r="AN146">
        <v>38500</v>
      </c>
      <c r="AO146">
        <v>38500</v>
      </c>
      <c r="AQ146" t="s">
        <v>103</v>
      </c>
      <c r="AZ146" s="38" t="s">
        <v>387</v>
      </c>
      <c r="BA146" t="s">
        <v>103</v>
      </c>
      <c r="BB146" s="26">
        <v>13800</v>
      </c>
      <c r="BC146" s="81">
        <f>IF(AND(TabelaClean[[#This Row],[analise_risco]]="Arriscado",TabelaClean[[#This Row],[analise_credito]]="Reprovado"),0,IF(TabelaClean[[#This Row],[status]]="Ativo",TabelaClean[[#This Row],[valor_solicitado]]*1.08,0))</f>
        <v>18900</v>
      </c>
    </row>
    <row r="147" spans="1:55">
      <c r="A147" s="24" t="s">
        <v>81</v>
      </c>
      <c r="B147" s="17" t="s">
        <v>579</v>
      </c>
      <c r="C147" s="25" t="s">
        <v>580</v>
      </c>
      <c r="D147" s="54">
        <v>31</v>
      </c>
      <c r="E147" s="30">
        <v>34885</v>
      </c>
      <c r="F147" s="24" t="str">
        <f>TabelaClean[[#This Row],[CidadeCPF]]</f>
        <v>Pedra do Dragão</v>
      </c>
      <c r="G147" s="17" t="str">
        <f>TabelaClean[[#This Row],[RegiaoCPF]]</f>
        <v>Terras Da Coroa</v>
      </c>
      <c r="H147" s="17" t="str">
        <f>_xlfn.XLOOKUP(TabelaClean[[#This Row],[cpf]],TabelaDirty[cpfclean],TabelaDirty[cidade])</f>
        <v>Pedra do Dragão</v>
      </c>
      <c r="I147" s="17" t="str">
        <f>_xlfn.XLOOKUP(TabelaClean[[#This Row],[cpf]],TabelaDirty[cpfclean],TabelaDirty[regiao])</f>
        <v>Terras da Coroa</v>
      </c>
      <c r="J147" s="17" t="str">
        <f>PROPER(TabelaClean[[#This Row],[Coluna1]])</f>
        <v>Terras Da Coroa</v>
      </c>
      <c r="K147" s="17" t="e">
        <f>_xlfn.TEXTBEFORE(TabelaClean[[#This Row],[CidadeCPF]]," | ")</f>
        <v>#N/A</v>
      </c>
      <c r="L147" s="24" t="e">
        <f>_xlfn.TEXTAFTER(TabelaClean[[#This Row],[CidadeCPF]]," | ")</f>
        <v>#N/A</v>
      </c>
      <c r="M147" s="26">
        <v>16400</v>
      </c>
      <c r="N147" s="78">
        <v>45500</v>
      </c>
      <c r="O147" s="1" t="s">
        <v>50</v>
      </c>
      <c r="P14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7" s="84">
        <v>6</v>
      </c>
      <c r="R147" s="1" t="str" cm="1">
        <f t="array" ref="R147">_xlfn.IFS(TabelaClean[[#This Row],[qtde_batalhas]]&lt;=10,"Baixo",TabelaClean[[#This Row],[qtde_batalhas]]&gt;=26,"Alto",TabelaClean[[#This Row],[qtde_batalhas]]&lt;26,"Médio")</f>
        <v>Baixo</v>
      </c>
      <c r="S147" s="1" t="str">
        <f>IF(AND(TabelaClean[[#This Row],[nivel_risco]]="Alto",TabelaClean[[#This Row],[flag_inadimplente]]="Sim"),"Arriscado","Ok")</f>
        <v>Ok</v>
      </c>
      <c r="T147" s="26">
        <v>49500</v>
      </c>
      <c r="U14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47" s="1"/>
      <c r="Y147" t="s">
        <v>809</v>
      </c>
      <c r="Z147" t="str">
        <f t="shared" si="2"/>
        <v>Null</v>
      </c>
      <c r="AE147" t="s">
        <v>660</v>
      </c>
      <c r="AF147" t="str">
        <f>TEXT(AE147,"000\.000\.000\-00")</f>
        <v>000.000.106-00</v>
      </c>
      <c r="AH147" s="15" t="s">
        <v>172</v>
      </c>
      <c r="AM147" s="20">
        <v>0</v>
      </c>
      <c r="AN147">
        <v>0</v>
      </c>
      <c r="AO147">
        <v>0</v>
      </c>
      <c r="AQ147" t="s">
        <v>169</v>
      </c>
      <c r="AZ147" s="39" t="s">
        <v>647</v>
      </c>
      <c r="BA147" t="s">
        <v>169</v>
      </c>
      <c r="BB147" s="26">
        <v>16400</v>
      </c>
      <c r="BC14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48" spans="1:55">
      <c r="A148" s="24" t="s">
        <v>81</v>
      </c>
      <c r="B148" s="17" t="s">
        <v>482</v>
      </c>
      <c r="C148" s="25" t="s">
        <v>483</v>
      </c>
      <c r="D148" s="54">
        <v>30</v>
      </c>
      <c r="E148" s="30">
        <v>35213</v>
      </c>
      <c r="F148" s="17" t="str">
        <f>TabelaClean[[#This Row],[CidadeClean]]</f>
        <v>Jardim de Cima</v>
      </c>
      <c r="G148" s="17" t="str">
        <f>TabelaClean[[#This Row],[RegiaoClean]]</f>
        <v>Campina</v>
      </c>
      <c r="H148" s="17" t="str">
        <f>_xlfn.XLOOKUP(TabelaClean[[#This Row],[cpf]],TabelaDirty[cpfclean],TabelaDirty[cidade])</f>
        <v>Jardim de Cima | Campina</v>
      </c>
      <c r="I148" s="17">
        <f>_xlfn.XLOOKUP(TabelaClean[[#This Row],[cpf]],TabelaDirty[cpfclean],TabelaDirty[regiao])</f>
        <v>0</v>
      </c>
      <c r="J148" s="17" t="s">
        <v>149</v>
      </c>
      <c r="K148" s="17" t="str">
        <f>_xlfn.TEXTBEFORE(TabelaClean[[#This Row],[CidadeCPF]]," | ")</f>
        <v>Jardim de Cima</v>
      </c>
      <c r="L148" s="24" t="str">
        <f>_xlfn.TEXTAFTER(TabelaClean[[#This Row],[CidadeCPF]]," | ")</f>
        <v>Campina</v>
      </c>
      <c r="M148" s="26">
        <v>3900</v>
      </c>
      <c r="N148" s="78">
        <v>45000</v>
      </c>
      <c r="O148" s="1" t="s">
        <v>50</v>
      </c>
      <c r="P14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8" s="84">
        <v>34</v>
      </c>
      <c r="R148" s="1" t="str" cm="1">
        <f t="array" ref="R148">_xlfn.IFS(TabelaClean[[#This Row],[qtde_batalhas]]&lt;=10,"Baixo",TabelaClean[[#This Row],[qtde_batalhas]]&gt;=26,"Alto",TabelaClean[[#This Row],[qtde_batalhas]]&lt;26,"Médio")</f>
        <v>Alto</v>
      </c>
      <c r="S148" s="1" t="str">
        <f>IF(AND(TabelaClean[[#This Row],[nivel_risco]]="Alto",TabelaClean[[#This Row],[flag_inadimplente]]="Sim"),"Arriscado","Ok")</f>
        <v>Ok</v>
      </c>
      <c r="T148" s="26">
        <v>41500</v>
      </c>
      <c r="U14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48" s="1"/>
      <c r="Y148" t="s">
        <v>809</v>
      </c>
      <c r="Z148" t="str">
        <f t="shared" si="2"/>
        <v>Null</v>
      </c>
      <c r="AE148" t="s">
        <v>780</v>
      </c>
      <c r="AF148" t="str">
        <f>TEXT(AE148,"000\.000\.000\-00")</f>
        <v>000.000.107-00</v>
      </c>
      <c r="AH148" s="15" t="s">
        <v>141</v>
      </c>
      <c r="AJ148" s="22">
        <v>12800</v>
      </c>
      <c r="AK148">
        <v>12800</v>
      </c>
      <c r="AM148" s="21">
        <v>76500</v>
      </c>
      <c r="AN148">
        <v>76500</v>
      </c>
      <c r="AO148">
        <v>76500</v>
      </c>
      <c r="AQ148" t="s">
        <v>121</v>
      </c>
      <c r="AZ148" s="38" t="s">
        <v>298</v>
      </c>
      <c r="BA148" t="s">
        <v>121</v>
      </c>
      <c r="BB148" s="26">
        <v>3900</v>
      </c>
      <c r="BC14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49" spans="1:55">
      <c r="A149" s="24" t="s">
        <v>76</v>
      </c>
      <c r="B149" s="17" t="s">
        <v>289</v>
      </c>
      <c r="C149" s="25" t="s">
        <v>290</v>
      </c>
      <c r="D149" s="54">
        <v>37</v>
      </c>
      <c r="E149" s="30">
        <v>32543</v>
      </c>
      <c r="F149" s="24" t="str">
        <f>TabelaClean[[#This Row],[CidadeCPF]]</f>
        <v>Vilavelha</v>
      </c>
      <c r="G149" s="17" t="str">
        <f>TabelaClean[[#This Row],[RegiaoCPF]]</f>
        <v>Campina</v>
      </c>
      <c r="H149" s="17" t="str">
        <f>_xlfn.XLOOKUP(TabelaClean[[#This Row],[cpf]],TabelaDirty[cpfclean],TabelaDirty[cidade])</f>
        <v>Vilavelha</v>
      </c>
      <c r="I149" s="17" t="str">
        <f>_xlfn.XLOOKUP(TabelaClean[[#This Row],[cpf]],TabelaDirty[cpfclean],TabelaDirty[regiao])</f>
        <v>Campina</v>
      </c>
      <c r="J149" s="17" t="str">
        <f>PROPER(TabelaClean[[#This Row],[Coluna1]])</f>
        <v>Campina</v>
      </c>
      <c r="K149" s="17" t="e">
        <f>_xlfn.TEXTBEFORE(TabelaClean[[#This Row],[CidadeCPF]]," | ")</f>
        <v>#N/A</v>
      </c>
      <c r="L149" s="24" t="e">
        <f>_xlfn.TEXTAFTER(TabelaClean[[#This Row],[CidadeCPF]]," | ")</f>
        <v>#N/A</v>
      </c>
      <c r="M149" s="26">
        <v>29200</v>
      </c>
      <c r="N149" s="78">
        <v>45000</v>
      </c>
      <c r="O149" s="1" t="s">
        <v>50</v>
      </c>
      <c r="P14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49" s="84">
        <v>26</v>
      </c>
      <c r="R149" s="1" t="str" cm="1">
        <f t="array" ref="R149">_xlfn.IFS(TabelaClean[[#This Row],[qtde_batalhas]]&lt;=10,"Baixo",TabelaClean[[#This Row],[qtde_batalhas]]&gt;=26,"Alto",TabelaClean[[#This Row],[qtde_batalhas]]&lt;26,"Médio")</f>
        <v>Alto</v>
      </c>
      <c r="S149" s="1" t="str">
        <f>IF(AND(TabelaClean[[#This Row],[nivel_risco]]="Alto",TabelaClean[[#This Row],[flag_inadimplente]]="Sim"),"Arriscado","Ok")</f>
        <v>Ok</v>
      </c>
      <c r="T149" s="26">
        <v>23500</v>
      </c>
      <c r="U149" s="81">
        <f>IF(AND(TabelaClean[[#This Row],[analise_risco]]="Arriscado",TabelaClean[[#This Row],[analise_credito]]="Reprovado"),0,IF(TabelaClean[[#This Row],[status]]="Ativo",TabelaClean[[#This Row],[valor_solicitado]]*1.08,0))</f>
        <v>25380</v>
      </c>
      <c r="W149" s="1"/>
      <c r="Y149" t="s">
        <v>809</v>
      </c>
      <c r="Z149" t="str">
        <f t="shared" si="2"/>
        <v>Null</v>
      </c>
      <c r="AE149" t="s">
        <v>714</v>
      </c>
      <c r="AF149" t="str">
        <f>TEXT(AE149,"000\.000\.000\-00")</f>
        <v>000.000.109-00</v>
      </c>
      <c r="AH149" s="15" t="s">
        <v>223</v>
      </c>
      <c r="AJ149" s="22">
        <v>2600</v>
      </c>
      <c r="AK149">
        <v>2600</v>
      </c>
      <c r="AM149" s="20" t="s">
        <v>92</v>
      </c>
      <c r="AN149" t="s">
        <v>809</v>
      </c>
      <c r="AO149" t="s">
        <v>809</v>
      </c>
      <c r="AQ149" t="s">
        <v>148</v>
      </c>
      <c r="AZ149" s="39" t="s">
        <v>893</v>
      </c>
      <c r="BA149" t="s">
        <v>148</v>
      </c>
      <c r="BB149" s="26">
        <v>29200</v>
      </c>
      <c r="BC149" s="81">
        <f>IF(AND(TabelaClean[[#This Row],[analise_risco]]="Arriscado",TabelaClean[[#This Row],[analise_credito]]="Reprovado"),0,IF(TabelaClean[[#This Row],[status]]="Ativo",TabelaClean[[#This Row],[valor_solicitado]]*1.08,0))</f>
        <v>25380</v>
      </c>
    </row>
    <row r="150" spans="1:55">
      <c r="A150" s="24" t="s">
        <v>76</v>
      </c>
      <c r="B150" s="17" t="s">
        <v>289</v>
      </c>
      <c r="C150" s="25" t="s">
        <v>902</v>
      </c>
      <c r="D150" s="54">
        <f>_xlfn.XLOOKUP(TabelaClean[[#This Row],[nome]],Base_Dirty!B:B,Base_Dirty!E:E)</f>
        <v>37</v>
      </c>
      <c r="E150" s="51">
        <f>_xlfn.XLOOKUP(TabelaClean[[#This Row],[nome]],Base_Dirty!$B:$B,Base_Dirty!F:F)</f>
        <v>32543</v>
      </c>
      <c r="F150" s="17" t="s">
        <v>148</v>
      </c>
      <c r="G150" s="17" t="s">
        <v>149</v>
      </c>
      <c r="H150" s="24" t="s">
        <v>149</v>
      </c>
      <c r="I150" s="24">
        <v>29200</v>
      </c>
      <c r="J150" s="24">
        <v>45000</v>
      </c>
      <c r="K150" s="24" t="s">
        <v>50</v>
      </c>
      <c r="L150" s="24">
        <v>26</v>
      </c>
      <c r="M150" s="23">
        <f>_xlfn.XLOOKUP(TabelaClean[[#This Row],[nome]],Base_Dirty!$B:$B,Base_Dirty!I:I)</f>
        <v>29200</v>
      </c>
      <c r="N150" s="78">
        <f>_xlfn.XLOOKUP(TabelaClean[[#This Row],[nome]],Base_Dirty!$B:$B,Base_Dirty!J:J)</f>
        <v>45000</v>
      </c>
      <c r="O150" s="79" t="s">
        <v>50</v>
      </c>
      <c r="P15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0" s="84">
        <f>_xlfn.XLOOKUP(TabelaClean[[#This Row],[nome]],Base_Dirty!$B:$B,Base_Dirty!L:L)</f>
        <v>26</v>
      </c>
      <c r="R150" s="76" t="str" cm="1">
        <f t="array" ref="R150">_xlfn.IFS(TabelaClean[[#This Row],[qtde_batalhas]]&lt;=10,"Baixo",TabelaClean[[#This Row],[qtde_batalhas]]&gt;=26,"Alto",TabelaClean[[#This Row],[qtde_batalhas]]&lt;26,"Médio")</f>
        <v>Alto</v>
      </c>
      <c r="S150" s="76" t="str">
        <f>IF(AND(TabelaClean[[#This Row],[nivel_risco]]="Alto",TabelaClean[[#This Row],[flag_inadimplente]]="Sim"),"Arriscado","Ok")</f>
        <v>Ok</v>
      </c>
      <c r="T150" s="26">
        <f>_xlfn.XLOOKUP(TabelaClean[[#This Row],[nome]],Base_Dirty!$B:$B,Base_Dirty!O:O)</f>
        <v>23500</v>
      </c>
      <c r="U150" s="81">
        <f>IF(AND(TabelaClean[[#This Row],[analise_risco]]="Arriscado",TabelaClean[[#This Row],[analise_credito]]="Reprovado"),0,IF(TabelaClean[[#This Row],[status]]="Ativo",TabelaClean[[#This Row],[valor_solicitado]]*1.08,0))</f>
        <v>25380</v>
      </c>
      <c r="W150" s="1"/>
      <c r="Y150" t="s">
        <v>142</v>
      </c>
      <c r="Z150" t="str">
        <f t="shared" si="2"/>
        <v>Norte</v>
      </c>
      <c r="AE150" t="s">
        <v>654</v>
      </c>
      <c r="AF150" t="str">
        <f>TEXT(AE150,"000\.000\.000\-00")</f>
        <v>000.000.110-00</v>
      </c>
      <c r="AH150" s="15" t="s">
        <v>112</v>
      </c>
      <c r="AJ150" s="22" t="s">
        <v>340</v>
      </c>
      <c r="AK150">
        <v>28800</v>
      </c>
      <c r="AM150" s="21">
        <v>16000</v>
      </c>
      <c r="AN150">
        <v>16000</v>
      </c>
      <c r="AO150">
        <v>16000</v>
      </c>
      <c r="AQ150" t="s">
        <v>223</v>
      </c>
      <c r="AZ150" s="38" t="s">
        <v>222</v>
      </c>
      <c r="BA150" t="s">
        <v>223</v>
      </c>
      <c r="BB150" s="23">
        <f>_xlfn.XLOOKUP(TabelaClean[[#This Row],[nome]],Base_Dirty!$B:$B,Base_Dirty!AX:AX)</f>
        <v>0</v>
      </c>
      <c r="BC150" s="81">
        <f>IF(AND(TabelaClean[[#This Row],[analise_risco]]="Arriscado",TabelaClean[[#This Row],[analise_credito]]="Reprovado"),0,IF(TabelaClean[[#This Row],[status]]="Ativo",TabelaClean[[#This Row],[valor_solicitado]]*1.08,0))</f>
        <v>25380</v>
      </c>
    </row>
    <row r="151" spans="1:55">
      <c r="A151" s="24" t="s">
        <v>76</v>
      </c>
      <c r="B151" s="17" t="s">
        <v>289</v>
      </c>
      <c r="C151" s="25" t="s">
        <v>903</v>
      </c>
      <c r="D151" s="54">
        <f>_xlfn.XLOOKUP(TabelaClean[[#This Row],[nome]],Base_Dirty!B:B,Base_Dirty!E:E)</f>
        <v>37</v>
      </c>
      <c r="E151" s="51">
        <f>_xlfn.XLOOKUP(TabelaClean[[#This Row],[nome]],Base_Dirty!$B:$B,Base_Dirty!F:F)</f>
        <v>32543</v>
      </c>
      <c r="F151" s="17" t="s">
        <v>148</v>
      </c>
      <c r="G151" s="17" t="s">
        <v>149</v>
      </c>
      <c r="H151" s="24" t="s">
        <v>149</v>
      </c>
      <c r="I151" s="24">
        <v>29200</v>
      </c>
      <c r="J151" s="24">
        <v>45000</v>
      </c>
      <c r="K151" s="24" t="s">
        <v>50</v>
      </c>
      <c r="L151" s="24">
        <v>26</v>
      </c>
      <c r="M151" s="23">
        <f>_xlfn.XLOOKUP(TabelaClean[[#This Row],[nome]],Base_Dirty!$B:$B,Base_Dirty!I:I)</f>
        <v>29200</v>
      </c>
      <c r="N151" s="78">
        <f>_xlfn.XLOOKUP(TabelaClean[[#This Row],[nome]],Base_Dirty!$B:$B,Base_Dirty!J:J)</f>
        <v>45000</v>
      </c>
      <c r="O151" s="79" t="s">
        <v>50</v>
      </c>
      <c r="P15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1" s="84">
        <f>_xlfn.XLOOKUP(TabelaClean[[#This Row],[nome]],Base_Dirty!$B:$B,Base_Dirty!L:L)</f>
        <v>26</v>
      </c>
      <c r="R151" s="76" t="str" cm="1">
        <f t="array" ref="R151">_xlfn.IFS(TabelaClean[[#This Row],[qtde_batalhas]]&lt;=10,"Baixo",TabelaClean[[#This Row],[qtde_batalhas]]&gt;=26,"Alto",TabelaClean[[#This Row],[qtde_batalhas]]&lt;26,"Médio")</f>
        <v>Alto</v>
      </c>
      <c r="S151" s="76" t="str">
        <f>IF(AND(TabelaClean[[#This Row],[nivel_risco]]="Alto",TabelaClean[[#This Row],[flag_inadimplente]]="Sim"),"Arriscado","Ok")</f>
        <v>Ok</v>
      </c>
      <c r="T151" s="26">
        <f>_xlfn.XLOOKUP(TabelaClean[[#This Row],[nome]],Base_Dirty!$B:$B,Base_Dirty!O:O)</f>
        <v>23500</v>
      </c>
      <c r="U151" s="81">
        <f>IF(AND(TabelaClean[[#This Row],[analise_risco]]="Arriscado",TabelaClean[[#This Row],[analise_credito]]="Reprovado"),0,IF(TabelaClean[[#This Row],[status]]="Ativo",TabelaClean[[#This Row],[valor_solicitado]]*1.08,0))</f>
        <v>25380</v>
      </c>
      <c r="W151" s="1"/>
      <c r="Y151" t="s">
        <v>809</v>
      </c>
      <c r="Z151" t="str">
        <f t="shared" si="2"/>
        <v>Null</v>
      </c>
      <c r="AE151" t="s">
        <v>633</v>
      </c>
      <c r="AF151" t="str">
        <f>TEXT(AE151,"000\.000\.000\-00")</f>
        <v>000.000.111-00</v>
      </c>
      <c r="AH151" s="15" t="s">
        <v>112</v>
      </c>
      <c r="AJ151" s="22">
        <v>14600</v>
      </c>
      <c r="AK151">
        <v>14600</v>
      </c>
      <c r="AM151" s="20">
        <v>18500</v>
      </c>
      <c r="AN151">
        <v>18500</v>
      </c>
      <c r="AO151">
        <v>18500</v>
      </c>
      <c r="AQ151" t="s">
        <v>154</v>
      </c>
      <c r="AZ151" s="39" t="s">
        <v>895</v>
      </c>
      <c r="BA151" t="s">
        <v>154</v>
      </c>
      <c r="BB151" s="23">
        <f>_xlfn.XLOOKUP(TabelaClean[[#This Row],[nome]],Base_Dirty!$B:$B,Base_Dirty!AX:AX)</f>
        <v>0</v>
      </c>
      <c r="BC151" s="81">
        <f>IF(AND(TabelaClean[[#This Row],[analise_risco]]="Arriscado",TabelaClean[[#This Row],[analise_credito]]="Reprovado"),0,IF(TabelaClean[[#This Row],[status]]="Ativo",TabelaClean[[#This Row],[valor_solicitado]]*1.08,0))</f>
        <v>25380</v>
      </c>
    </row>
    <row r="152" spans="1:55">
      <c r="A152" s="24" t="s">
        <v>81</v>
      </c>
      <c r="B152" s="17" t="s">
        <v>119</v>
      </c>
      <c r="C152" s="25" t="s">
        <v>120</v>
      </c>
      <c r="D152" s="54">
        <v>61</v>
      </c>
      <c r="E152" s="30">
        <v>23667</v>
      </c>
      <c r="F152" s="24" t="str">
        <f>TabelaClean[[#This Row],[CidadeCPF]]</f>
        <v>Meereen</v>
      </c>
      <c r="G152" s="17" t="str">
        <f>TabelaClean[[#This Row],[RegiaoCPF]]</f>
        <v>Essos</v>
      </c>
      <c r="H152" s="17" t="str">
        <f>_xlfn.XLOOKUP(TabelaClean[[#This Row],[cpf]],TabelaDirty[cpfclean],TabelaDirty[cidade])</f>
        <v>Meereen</v>
      </c>
      <c r="I152" s="17" t="str">
        <f>_xlfn.XLOOKUP(TabelaClean[[#This Row],[cpf]],TabelaDirty[cpfclean],TabelaDirty[regiao])</f>
        <v>Essos</v>
      </c>
      <c r="J152" s="17" t="str">
        <f>PROPER(TabelaClean[[#This Row],[Coluna1]])</f>
        <v>Essos</v>
      </c>
      <c r="K152" s="17" t="e">
        <f>_xlfn.TEXTBEFORE(TabelaClean[[#This Row],[CidadeCPF]]," | ")</f>
        <v>#N/A</v>
      </c>
      <c r="L152" s="24" t="e">
        <f>_xlfn.TEXTAFTER(TabelaClean[[#This Row],[CidadeCPF]]," | ")</f>
        <v>#N/A</v>
      </c>
      <c r="M152" s="26">
        <v>23000</v>
      </c>
      <c r="N152" s="78">
        <v>44500</v>
      </c>
      <c r="O152" s="1" t="s">
        <v>51</v>
      </c>
      <c r="P15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2" s="84">
        <v>32</v>
      </c>
      <c r="R152" s="1" t="str" cm="1">
        <f t="array" ref="R152">_xlfn.IFS(TabelaClean[[#This Row],[qtde_batalhas]]&lt;=10,"Baixo",TabelaClean[[#This Row],[qtde_batalhas]]&gt;=26,"Alto",TabelaClean[[#This Row],[qtde_batalhas]]&lt;26,"Médio")</f>
        <v>Alto</v>
      </c>
      <c r="S152" s="1" t="str">
        <f>IF(AND(TabelaClean[[#This Row],[nivel_risco]]="Alto",TabelaClean[[#This Row],[flag_inadimplente]]="Sim"),"Arriscado","Ok")</f>
        <v>Arriscado</v>
      </c>
      <c r="T152" s="26">
        <v>2000</v>
      </c>
      <c r="U15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52" s="1"/>
      <c r="Y152" t="s">
        <v>149</v>
      </c>
      <c r="Z152" t="str">
        <f t="shared" si="2"/>
        <v>Campina</v>
      </c>
      <c r="AE152" t="s">
        <v>642</v>
      </c>
      <c r="AF152" t="str">
        <f>TEXT(AE152,"000\.000\.000\-00")</f>
        <v>000.000.112-00</v>
      </c>
      <c r="AH152" s="14" t="s">
        <v>237</v>
      </c>
      <c r="AI152" t="e" cm="1" vm="1">
        <f t="array" aca="1" ref="AI152" ca="1">_xlfn.TEXTSPLIT(AH152," | ")</f>
        <v>#VALUE!</v>
      </c>
      <c r="AJ152" s="22">
        <v>8200</v>
      </c>
      <c r="AK152">
        <v>8200</v>
      </c>
      <c r="AM152" s="21">
        <v>66000</v>
      </c>
      <c r="AN152">
        <v>66000</v>
      </c>
      <c r="AO152">
        <v>66000</v>
      </c>
      <c r="AQ152" t="s">
        <v>141</v>
      </c>
      <c r="AZ152" s="38" t="s">
        <v>896</v>
      </c>
      <c r="BA152" t="s">
        <v>141</v>
      </c>
      <c r="BB152" s="26">
        <v>23000</v>
      </c>
      <c r="BC15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53" spans="1:55">
      <c r="A153" s="24" t="s">
        <v>76</v>
      </c>
      <c r="B153" s="17" t="s">
        <v>542</v>
      </c>
      <c r="C153" s="25" t="s">
        <v>904</v>
      </c>
      <c r="D153" s="54">
        <v>49</v>
      </c>
      <c r="E153" s="30">
        <v>28330</v>
      </c>
      <c r="F153" s="24" t="str">
        <f>TabelaClean[[#This Row],[CidadeCPF]]</f>
        <v>Braavos</v>
      </c>
      <c r="G153" s="17" t="str">
        <f>TabelaClean[[#This Row],[RegiaoCPF]]</f>
        <v>Essos</v>
      </c>
      <c r="H153" s="17" t="str">
        <f>_xlfn.XLOOKUP(TabelaClean[[#This Row],[cpf]],TabelaDirty[cpfclean],TabelaDirty[cidade])</f>
        <v>Braavos</v>
      </c>
      <c r="I153" s="17" t="str">
        <f>_xlfn.XLOOKUP(TabelaClean[[#This Row],[cpf]],TabelaDirty[cpfclean],TabelaDirty[regiao])</f>
        <v>Essos</v>
      </c>
      <c r="J153" s="17" t="str">
        <f>PROPER(TabelaClean[[#This Row],[Coluna1]])</f>
        <v>Essos</v>
      </c>
      <c r="K153" s="17" t="e">
        <f>_xlfn.TEXTBEFORE(TabelaClean[[#This Row],[CidadeCPF]]," | ")</f>
        <v>#N/A</v>
      </c>
      <c r="L153" s="24" t="e">
        <f>_xlfn.TEXTAFTER(TabelaClean[[#This Row],[CidadeCPF]]," | ")</f>
        <v>#N/A</v>
      </c>
      <c r="M153" s="26">
        <v>11500</v>
      </c>
      <c r="N153" s="78">
        <v>44500</v>
      </c>
      <c r="O153" s="1" t="s">
        <v>50</v>
      </c>
      <c r="P15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3" s="84">
        <v>45</v>
      </c>
      <c r="R153" s="1" t="str" cm="1">
        <f t="array" ref="R153">_xlfn.IFS(TabelaClean[[#This Row],[qtde_batalhas]]&lt;=10,"Baixo",TabelaClean[[#This Row],[qtde_batalhas]]&gt;=26,"Alto",TabelaClean[[#This Row],[qtde_batalhas]]&lt;26,"Médio")</f>
        <v>Alto</v>
      </c>
      <c r="S153" s="1" t="str">
        <f>IF(AND(TabelaClean[[#This Row],[nivel_risco]]="Alto",TabelaClean[[#This Row],[flag_inadimplente]]="Sim"),"Arriscado","Ok")</f>
        <v>Ok</v>
      </c>
      <c r="T153" s="26">
        <v>3000</v>
      </c>
      <c r="U153" s="81">
        <f>IF(AND(TabelaClean[[#This Row],[analise_risco]]="Arriscado",TabelaClean[[#This Row],[analise_credito]]="Reprovado"),0,IF(TabelaClean[[#This Row],[status]]="Ativo",TabelaClean[[#This Row],[valor_solicitado]]*1.08,0))</f>
        <v>3240</v>
      </c>
      <c r="W153" s="1"/>
      <c r="Y153" t="s">
        <v>456</v>
      </c>
      <c r="Z153" t="str">
        <f t="shared" si="2"/>
        <v>Gargalo</v>
      </c>
      <c r="AE153" t="s">
        <v>761</v>
      </c>
      <c r="AF153" t="str">
        <f>TEXT(AE153,"000\.000\.000\-00")</f>
        <v>000.000.113-00</v>
      </c>
      <c r="AH153" s="15" t="s">
        <v>169</v>
      </c>
      <c r="AJ153" s="22">
        <v>7200</v>
      </c>
      <c r="AK153">
        <v>7200</v>
      </c>
      <c r="AM153" s="20" t="s">
        <v>472</v>
      </c>
      <c r="AN153" t="s">
        <v>809</v>
      </c>
      <c r="AO153" t="s">
        <v>809</v>
      </c>
      <c r="AQ153" t="s">
        <v>79</v>
      </c>
      <c r="AZ153" s="39" t="s">
        <v>448</v>
      </c>
      <c r="BA153" t="s">
        <v>79</v>
      </c>
      <c r="BB153" s="26">
        <v>11500</v>
      </c>
      <c r="BC153" s="81">
        <f>IF(AND(TabelaClean[[#This Row],[analise_risco]]="Arriscado",TabelaClean[[#This Row],[analise_credito]]="Reprovado"),0,IF(TabelaClean[[#This Row],[status]]="Ativo",TabelaClean[[#This Row],[valor_solicitado]]*1.08,0))</f>
        <v>3240</v>
      </c>
    </row>
    <row r="154" spans="1:55">
      <c r="A154" s="24" t="s">
        <v>81</v>
      </c>
      <c r="B154" s="17" t="s">
        <v>534</v>
      </c>
      <c r="C154" s="25" t="s">
        <v>535</v>
      </c>
      <c r="D154" s="54">
        <v>58</v>
      </c>
      <c r="E154" s="30">
        <v>24872</v>
      </c>
      <c r="F154" s="24" t="str">
        <f>TabelaClean[[#This Row],[CidadeCPF]]</f>
        <v>Pyke</v>
      </c>
      <c r="G154" s="17" t="str">
        <f>TabelaClean[[#This Row],[RegiaoCPF]]</f>
        <v>Ilhas De Ferro</v>
      </c>
      <c r="H154" s="17" t="str">
        <f>_xlfn.XLOOKUP(TabelaClean[[#This Row],[cpf]],TabelaDirty[cpfclean],TabelaDirty[cidade])</f>
        <v>Pyke</v>
      </c>
      <c r="I154" s="17" t="str">
        <f>_xlfn.XLOOKUP(TabelaClean[[#This Row],[cpf]],TabelaDirty[cpfclean],TabelaDirty[regiao])</f>
        <v>ILHAS DE FERRO</v>
      </c>
      <c r="J154" s="17" t="str">
        <f>PROPER(TabelaClean[[#This Row],[Coluna1]])</f>
        <v>Ilhas De Ferro</v>
      </c>
      <c r="K154" s="17" t="e">
        <f>_xlfn.TEXTBEFORE(TabelaClean[[#This Row],[CidadeCPF]]," | ")</f>
        <v>#N/A</v>
      </c>
      <c r="L154" s="24" t="e">
        <f>_xlfn.TEXTAFTER(TabelaClean[[#This Row],[CidadeCPF]]," | ")</f>
        <v>#N/A</v>
      </c>
      <c r="M154" s="26">
        <v>12500</v>
      </c>
      <c r="N154" s="78">
        <v>44500</v>
      </c>
      <c r="O154" s="1" t="s">
        <v>50</v>
      </c>
      <c r="P15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4" s="84">
        <v>13</v>
      </c>
      <c r="R154" s="1" t="str" cm="1">
        <f t="array" ref="R154">_xlfn.IFS(TabelaClean[[#This Row],[qtde_batalhas]]&lt;=10,"Baixo",TabelaClean[[#This Row],[qtde_batalhas]]&gt;=26,"Alto",TabelaClean[[#This Row],[qtde_batalhas]]&lt;26,"Médio")</f>
        <v>Médio</v>
      </c>
      <c r="S154" s="1" t="str">
        <f>IF(AND(TabelaClean[[#This Row],[nivel_risco]]="Alto",TabelaClean[[#This Row],[flag_inadimplente]]="Sim"),"Arriscado","Ok")</f>
        <v>Ok</v>
      </c>
      <c r="T154" s="26">
        <v>16000</v>
      </c>
      <c r="U15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54" s="1"/>
      <c r="Y154" t="s">
        <v>809</v>
      </c>
      <c r="Z154" t="str">
        <f t="shared" si="2"/>
        <v>Null</v>
      </c>
      <c r="AE154" t="s">
        <v>567</v>
      </c>
      <c r="AF154" t="str">
        <f>TEXT(AE154,"000\.000\.000\-00")</f>
        <v>000.000.114-00</v>
      </c>
      <c r="AH154" s="15" t="s">
        <v>89</v>
      </c>
      <c r="AJ154" s="22">
        <v>25400</v>
      </c>
      <c r="AK154">
        <v>25400</v>
      </c>
      <c r="AM154" s="21">
        <v>70500</v>
      </c>
      <c r="AN154">
        <v>70500</v>
      </c>
      <c r="AO154">
        <v>70500</v>
      </c>
      <c r="AQ154" t="s">
        <v>103</v>
      </c>
      <c r="AZ154" s="38" t="s">
        <v>645</v>
      </c>
      <c r="BA154" t="s">
        <v>103</v>
      </c>
      <c r="BB154" s="26">
        <v>12500</v>
      </c>
      <c r="BC15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55" spans="1:55">
      <c r="A155" s="24" t="s">
        <v>81</v>
      </c>
      <c r="B155" s="17" t="s">
        <v>534</v>
      </c>
      <c r="C155" t="str">
        <f>_xlfn.XLOOKUP(TabelaClean[[#This Row],[nome]],Base_Dirty!$B:$B,Base_Dirty!D:D)</f>
        <v>000.000.009-00</v>
      </c>
      <c r="D155" s="54">
        <f>_xlfn.XLOOKUP(TabelaClean[[#This Row],[nome]],Base_Dirty!B:B,Base_Dirty!E:E)</f>
        <v>58</v>
      </c>
      <c r="E155" s="51">
        <f>_xlfn.XLOOKUP(TabelaClean[[#This Row],[nome]],Base_Dirty!$B:$B,Base_Dirty!F:F)</f>
        <v>24872</v>
      </c>
      <c r="F155" s="17" t="s">
        <v>112</v>
      </c>
      <c r="G155" s="25" t="s">
        <v>113</v>
      </c>
      <c r="H155" s="24" t="s">
        <v>264</v>
      </c>
      <c r="I155" s="24">
        <v>12500</v>
      </c>
      <c r="J155" s="24">
        <v>44500</v>
      </c>
      <c r="K155" s="24" t="s">
        <v>244</v>
      </c>
      <c r="L155" s="24">
        <v>13</v>
      </c>
      <c r="M155" s="23">
        <f>_xlfn.XLOOKUP(TabelaClean[[#This Row],[nome]],Base_Dirty!$B:$B,Base_Dirty!I:I)</f>
        <v>12500</v>
      </c>
      <c r="N155" s="78">
        <f>_xlfn.XLOOKUP(TabelaClean[[#This Row],[nome]],Base_Dirty!$B:$B,Base_Dirty!J:J)</f>
        <v>44500</v>
      </c>
      <c r="O155" s="79" t="s">
        <v>50</v>
      </c>
      <c r="P155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5" s="84">
        <f>_xlfn.XLOOKUP(TabelaClean[[#This Row],[nome]],Base_Dirty!$B:$B,Base_Dirty!L:L)</f>
        <v>13</v>
      </c>
      <c r="R155" s="76" t="str" cm="1">
        <f t="array" ref="R155">_xlfn.IFS(TabelaClean[[#This Row],[qtde_batalhas]]&lt;=10,"Baixo",TabelaClean[[#This Row],[qtde_batalhas]]&gt;=26,"Alto",TabelaClean[[#This Row],[qtde_batalhas]]&lt;26,"Médio")</f>
        <v>Médio</v>
      </c>
      <c r="S155" s="76" t="str">
        <f>IF(AND(TabelaClean[[#This Row],[nivel_risco]]="Alto",TabelaClean[[#This Row],[flag_inadimplente]]="Sim"),"Arriscado","Ok")</f>
        <v>Ok</v>
      </c>
      <c r="T155" s="26">
        <f>_xlfn.XLOOKUP(TabelaClean[[#This Row],[nome]],Base_Dirty!$B:$B,Base_Dirty!O:O)</f>
        <v>16000</v>
      </c>
      <c r="U15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55" s="1"/>
      <c r="Y155" t="s">
        <v>149</v>
      </c>
      <c r="Z155" t="str">
        <f t="shared" si="2"/>
        <v>Campina</v>
      </c>
      <c r="AE155" t="s">
        <v>435</v>
      </c>
      <c r="AF155" t="str">
        <f>TEXT(AE155,"000\.000\.000\-00")</f>
        <v>000.000.115-00</v>
      </c>
      <c r="AH155" s="15" t="s">
        <v>83</v>
      </c>
      <c r="AJ155" s="22">
        <v>3900</v>
      </c>
      <c r="AK155">
        <v>3900</v>
      </c>
      <c r="AM155" s="20">
        <v>45000</v>
      </c>
      <c r="AN155">
        <v>45000</v>
      </c>
      <c r="AO155">
        <v>45000</v>
      </c>
      <c r="AQ155" t="s">
        <v>242</v>
      </c>
      <c r="AZ155" s="39" t="s">
        <v>333</v>
      </c>
      <c r="BA155" t="s">
        <v>242</v>
      </c>
      <c r="BB155" s="23">
        <f>_xlfn.XLOOKUP(TabelaClean[[#This Row],[nome]],Base_Dirty!$B:$B,Base_Dirty!AX:AX)</f>
        <v>0</v>
      </c>
      <c r="BC15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56" spans="1:55">
      <c r="A156" s="24" t="s">
        <v>81</v>
      </c>
      <c r="B156" s="17" t="s">
        <v>534</v>
      </c>
      <c r="C156" t="str">
        <f>_xlfn.XLOOKUP(TabelaClean[[#This Row],[nome]],Base_Dirty!$B:$B,Base_Dirty!D:D)</f>
        <v>000.000.009-00</v>
      </c>
      <c r="D156" s="54">
        <f>_xlfn.XLOOKUP(TabelaClean[[#This Row],[nome]],Base_Dirty!B:B,Base_Dirty!E:E)</f>
        <v>58</v>
      </c>
      <c r="E156" s="51">
        <f>_xlfn.XLOOKUP(TabelaClean[[#This Row],[nome]],Base_Dirty!$B:$B,Base_Dirty!F:F)</f>
        <v>24872</v>
      </c>
      <c r="F156" s="17" t="s">
        <v>112</v>
      </c>
      <c r="G156" s="25" t="s">
        <v>113</v>
      </c>
      <c r="H156" s="24" t="s">
        <v>264</v>
      </c>
      <c r="I156" s="24">
        <v>12500</v>
      </c>
      <c r="J156" s="24">
        <v>44500</v>
      </c>
      <c r="K156" s="24" t="s">
        <v>244</v>
      </c>
      <c r="L156" s="24">
        <v>13</v>
      </c>
      <c r="M156" s="23">
        <f>_xlfn.XLOOKUP(TabelaClean[[#This Row],[nome]],Base_Dirty!$B:$B,Base_Dirty!I:I)</f>
        <v>12500</v>
      </c>
      <c r="N156" s="78">
        <f>_xlfn.XLOOKUP(TabelaClean[[#This Row],[nome]],Base_Dirty!$B:$B,Base_Dirty!J:J)</f>
        <v>44500</v>
      </c>
      <c r="O156" s="79" t="s">
        <v>50</v>
      </c>
      <c r="P15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6" s="84">
        <f>_xlfn.XLOOKUP(TabelaClean[[#This Row],[nome]],Base_Dirty!$B:$B,Base_Dirty!L:L)</f>
        <v>13</v>
      </c>
      <c r="R156" s="76" t="str" cm="1">
        <f t="array" ref="R156">_xlfn.IFS(TabelaClean[[#This Row],[qtde_batalhas]]&lt;=10,"Baixo",TabelaClean[[#This Row],[qtde_batalhas]]&gt;=26,"Alto",TabelaClean[[#This Row],[qtde_batalhas]]&lt;26,"Médio")</f>
        <v>Médio</v>
      </c>
      <c r="S156" s="76" t="str">
        <f>IF(AND(TabelaClean[[#This Row],[nivel_risco]]="Alto",TabelaClean[[#This Row],[flag_inadimplente]]="Sim"),"Arriscado","Ok")</f>
        <v>Ok</v>
      </c>
      <c r="T156" s="26">
        <f>_xlfn.XLOOKUP(TabelaClean[[#This Row],[nome]],Base_Dirty!$B:$B,Base_Dirty!O:O)</f>
        <v>16000</v>
      </c>
      <c r="U15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56" s="1"/>
      <c r="Y156" t="s">
        <v>142</v>
      </c>
      <c r="Z156" t="str">
        <f t="shared" si="2"/>
        <v>Norte</v>
      </c>
      <c r="AE156" t="s">
        <v>730</v>
      </c>
      <c r="AF156" t="str">
        <f>TEXT(AE156,"000\.000\.000\-00")</f>
        <v>000.000.118-00</v>
      </c>
      <c r="AH156" s="15" t="s">
        <v>242</v>
      </c>
      <c r="AJ156" s="22">
        <v>29000</v>
      </c>
      <c r="AK156">
        <v>29000</v>
      </c>
      <c r="AM156" s="21">
        <v>67500</v>
      </c>
      <c r="AN156">
        <v>67500</v>
      </c>
      <c r="AO156">
        <v>67500</v>
      </c>
      <c r="AQ156" t="s">
        <v>148</v>
      </c>
      <c r="AZ156" s="38" t="s">
        <v>290</v>
      </c>
      <c r="BA156" t="s">
        <v>148</v>
      </c>
      <c r="BB156" s="23">
        <f>_xlfn.XLOOKUP(TabelaClean[[#This Row],[nome]],Base_Dirty!$B:$B,Base_Dirty!AX:AX)</f>
        <v>0</v>
      </c>
      <c r="BC15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57" spans="1:55">
      <c r="A157" s="24" t="s">
        <v>81</v>
      </c>
      <c r="B157" s="17" t="s">
        <v>253</v>
      </c>
      <c r="C157" s="25" t="s">
        <v>905</v>
      </c>
      <c r="D157" s="54">
        <v>35</v>
      </c>
      <c r="E157" s="30">
        <v>33204</v>
      </c>
      <c r="F157" s="24" t="str">
        <f>TabelaClean[[#This Row],[CidadeCPF]]</f>
        <v>Winterfell</v>
      </c>
      <c r="G157" s="17" t="str">
        <f>TabelaClean[[#This Row],[RegiaoCPF]]</f>
        <v>Norte</v>
      </c>
      <c r="H157" s="17" t="str">
        <f>_xlfn.XLOOKUP(TabelaClean[[#This Row],[cpf]],TabelaDirty[cpfclean],TabelaDirty[cidade])</f>
        <v>Winterfell</v>
      </c>
      <c r="I157" s="17" t="str">
        <f>_xlfn.XLOOKUP(TabelaClean[[#This Row],[cpf]],TabelaDirty[cpfclean],TabelaDirty[regiao])</f>
        <v>norte</v>
      </c>
      <c r="J157" s="17" t="str">
        <f>PROPER(TabelaClean[[#This Row],[Coluna1]])</f>
        <v>Norte</v>
      </c>
      <c r="K157" s="17" t="e">
        <f>_xlfn.TEXTBEFORE(TabelaClean[[#This Row],[CidadeCPF]]," | ")</f>
        <v>#N/A</v>
      </c>
      <c r="L157" s="24" t="e">
        <f>_xlfn.TEXTAFTER(TabelaClean[[#This Row],[CidadeCPF]]," | ")</f>
        <v>#N/A</v>
      </c>
      <c r="M157" s="26">
        <v>17600</v>
      </c>
      <c r="N157" s="78">
        <v>44000</v>
      </c>
      <c r="O157" s="1" t="s">
        <v>50</v>
      </c>
      <c r="P15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7" s="84">
        <v>22</v>
      </c>
      <c r="R157" s="1" t="str" cm="1">
        <f t="array" ref="R157">_xlfn.IFS(TabelaClean[[#This Row],[qtde_batalhas]]&lt;=10,"Baixo",TabelaClean[[#This Row],[qtde_batalhas]]&gt;=26,"Alto",TabelaClean[[#This Row],[qtde_batalhas]]&lt;26,"Médio")</f>
        <v>Médio</v>
      </c>
      <c r="S157" s="1" t="str">
        <f>IF(AND(TabelaClean[[#This Row],[nivel_risco]]="Alto",TabelaClean[[#This Row],[flag_inadimplente]]="Sim"),"Arriscado","Ok")</f>
        <v>Ok</v>
      </c>
      <c r="T157" s="26">
        <v>56500</v>
      </c>
      <c r="U15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57" s="1"/>
      <c r="Y157" t="s">
        <v>809</v>
      </c>
      <c r="Z157" t="str">
        <f t="shared" si="2"/>
        <v>Null</v>
      </c>
      <c r="AE157" t="s">
        <v>159</v>
      </c>
      <c r="AF157" t="str">
        <f>TEXT(AE157,"000\.000\.000\-00")</f>
        <v>000.000.119-00</v>
      </c>
      <c r="AH157" s="15" t="s">
        <v>103</v>
      </c>
      <c r="AJ157" s="22">
        <v>29800</v>
      </c>
      <c r="AK157">
        <v>29800</v>
      </c>
      <c r="AM157" s="20">
        <v>54500</v>
      </c>
      <c r="AN157">
        <v>54500</v>
      </c>
      <c r="AO157">
        <v>54500</v>
      </c>
      <c r="AQ157" t="s">
        <v>127</v>
      </c>
      <c r="AZ157" s="39" t="s">
        <v>904</v>
      </c>
      <c r="BA157" t="s">
        <v>127</v>
      </c>
      <c r="BB157" s="26">
        <v>17600</v>
      </c>
      <c r="BC15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58" spans="1:55">
      <c r="A158" s="24" t="s">
        <v>76</v>
      </c>
      <c r="B158" s="17" t="s">
        <v>530</v>
      </c>
      <c r="C158" s="25" t="s">
        <v>531</v>
      </c>
      <c r="D158" s="54">
        <v>55</v>
      </c>
      <c r="E158" s="30">
        <v>26103</v>
      </c>
      <c r="F158" s="24" t="str">
        <f>TabelaClean[[#This Row],[CidadeCPF]]</f>
        <v>Ponta Tempestade</v>
      </c>
      <c r="G158" s="17" t="str">
        <f>TabelaClean[[#This Row],[RegiaoCPF]]</f>
        <v>Terras Da Tempestade</v>
      </c>
      <c r="H158" s="17" t="str">
        <f>_xlfn.XLOOKUP(TabelaClean[[#This Row],[cpf]],TabelaDirty[cpfclean],TabelaDirty[cidade])</f>
        <v>Ponta Tempestade</v>
      </c>
      <c r="I158" s="17" t="str">
        <f>_xlfn.XLOOKUP(TabelaClean[[#This Row],[cpf]],TabelaDirty[cpfclean],TabelaDirty[regiao])</f>
        <v>Terras da Tempestade</v>
      </c>
      <c r="J158" s="17" t="str">
        <f>PROPER(TabelaClean[[#This Row],[Coluna1]])</f>
        <v>Terras Da Tempestade</v>
      </c>
      <c r="K158" s="17" t="e">
        <f>_xlfn.TEXTBEFORE(TabelaClean[[#This Row],[CidadeCPF]]," | ")</f>
        <v>#N/A</v>
      </c>
      <c r="L158" s="24" t="e">
        <f>_xlfn.TEXTAFTER(TabelaClean[[#This Row],[CidadeCPF]]," | ")</f>
        <v>#N/A</v>
      </c>
      <c r="M158" s="26">
        <v>9600</v>
      </c>
      <c r="N158" s="78">
        <v>43000</v>
      </c>
      <c r="O158" s="1" t="s">
        <v>50</v>
      </c>
      <c r="P15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8" s="84">
        <v>36</v>
      </c>
      <c r="R158" s="1" t="str" cm="1">
        <f t="array" ref="R158">_xlfn.IFS(TabelaClean[[#This Row],[qtde_batalhas]]&lt;=10,"Baixo",TabelaClean[[#This Row],[qtde_batalhas]]&gt;=26,"Alto",TabelaClean[[#This Row],[qtde_batalhas]]&lt;26,"Médio")</f>
        <v>Alto</v>
      </c>
      <c r="S158" s="1" t="str">
        <f>IF(AND(TabelaClean[[#This Row],[nivel_risco]]="Alto",TabelaClean[[#This Row],[flag_inadimplente]]="Sim"),"Arriscado","Ok")</f>
        <v>Ok</v>
      </c>
      <c r="T158" s="26">
        <v>67500</v>
      </c>
      <c r="U158" s="81">
        <f>IF(AND(TabelaClean[[#This Row],[analise_risco]]="Arriscado",TabelaClean[[#This Row],[analise_credito]]="Reprovado"),0,IF(TabelaClean[[#This Row],[status]]="Ativo",TabelaClean[[#This Row],[valor_solicitado]]*1.08,0))</f>
        <v>72900</v>
      </c>
      <c r="W158" s="1"/>
      <c r="Y158" t="s">
        <v>809</v>
      </c>
      <c r="Z158" t="str">
        <f t="shared" si="2"/>
        <v>Null</v>
      </c>
      <c r="AE158" t="s">
        <v>758</v>
      </c>
      <c r="AF158" t="str">
        <f>TEXT(AE158,"000\.000\.000\-00")</f>
        <v>000.000.120-00</v>
      </c>
      <c r="AH158" s="15" t="s">
        <v>223</v>
      </c>
      <c r="AJ158" s="22">
        <v>2000</v>
      </c>
      <c r="AK158">
        <v>2000</v>
      </c>
      <c r="AM158" s="21">
        <v>60000</v>
      </c>
      <c r="AN158">
        <v>60000</v>
      </c>
      <c r="AO158">
        <v>60000</v>
      </c>
      <c r="AQ158" t="s">
        <v>112</v>
      </c>
      <c r="AZ158" s="38" t="s">
        <v>535</v>
      </c>
      <c r="BA158" t="s">
        <v>112</v>
      </c>
      <c r="BB158" s="26">
        <v>9600</v>
      </c>
      <c r="BC158" s="81">
        <f>IF(AND(TabelaClean[[#This Row],[analise_risco]]="Arriscado",TabelaClean[[#This Row],[analise_credito]]="Reprovado"),0,IF(TabelaClean[[#This Row],[status]]="Ativo",TabelaClean[[#This Row],[valor_solicitado]]*1.08,0))</f>
        <v>72900</v>
      </c>
    </row>
    <row r="159" spans="1:55">
      <c r="A159" s="24" t="s">
        <v>76</v>
      </c>
      <c r="B159" s="17" t="s">
        <v>494</v>
      </c>
      <c r="C159" s="25" t="s">
        <v>495</v>
      </c>
      <c r="D159" s="54">
        <v>26</v>
      </c>
      <c r="E159" s="30">
        <v>36619</v>
      </c>
      <c r="F159" s="24" t="str">
        <f>TabelaClean[[#This Row],[CidadeCPF]]</f>
        <v>Harrenhal</v>
      </c>
      <c r="G159" s="17" t="str">
        <f>TabelaClean[[#This Row],[RegiaoCPF]]</f>
        <v>Terras Fluviais</v>
      </c>
      <c r="H159" s="17" t="str">
        <f>_xlfn.XLOOKUP(TabelaClean[[#This Row],[cpf]],TabelaDirty[cpfclean],TabelaDirty[cidade])</f>
        <v>Harrenhal</v>
      </c>
      <c r="I159" s="17" t="str">
        <f>_xlfn.XLOOKUP(TabelaClean[[#This Row],[cpf]],TabelaDirty[cpfclean],TabelaDirty[regiao])</f>
        <v>Terras Fluviais</v>
      </c>
      <c r="J159" s="17" t="str">
        <f>PROPER(TabelaClean[[#This Row],[Coluna1]])</f>
        <v>Terras Fluviais</v>
      </c>
      <c r="K159" s="17" t="e">
        <f>_xlfn.TEXTBEFORE(TabelaClean[[#This Row],[CidadeCPF]]," | ")</f>
        <v>#N/A</v>
      </c>
      <c r="L159" s="24" t="e">
        <f>_xlfn.TEXTAFTER(TabelaClean[[#This Row],[CidadeCPF]]," | ")</f>
        <v>#N/A</v>
      </c>
      <c r="M159" s="26">
        <v>26800</v>
      </c>
      <c r="N159" s="78">
        <v>42500</v>
      </c>
      <c r="O159" s="1" t="s">
        <v>51</v>
      </c>
      <c r="P15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59" s="84">
        <v>29</v>
      </c>
      <c r="R159" s="1" t="str" cm="1">
        <f t="array" ref="R159">_xlfn.IFS(TabelaClean[[#This Row],[qtde_batalhas]]&lt;=10,"Baixo",TabelaClean[[#This Row],[qtde_batalhas]]&gt;=26,"Alto",TabelaClean[[#This Row],[qtde_batalhas]]&lt;26,"Médio")</f>
        <v>Alto</v>
      </c>
      <c r="S159" s="1" t="str">
        <f>IF(AND(TabelaClean[[#This Row],[nivel_risco]]="Alto",TabelaClean[[#This Row],[flag_inadimplente]]="Sim"),"Arriscado","Ok")</f>
        <v>Arriscado</v>
      </c>
      <c r="T159" s="26">
        <v>66000</v>
      </c>
      <c r="U159" s="81">
        <f>IF(AND(TabelaClean[[#This Row],[analise_risco]]="Arriscado",TabelaClean[[#This Row],[analise_credito]]="Reprovado"),0,IF(TabelaClean[[#This Row],[status]]="Ativo",TabelaClean[[#This Row],[valor_solicitado]]*1.08,0))</f>
        <v>71280</v>
      </c>
      <c r="W159" s="1"/>
      <c r="Y159" t="s">
        <v>809</v>
      </c>
      <c r="Z159" t="str">
        <f t="shared" si="2"/>
        <v>Null</v>
      </c>
      <c r="AE159" t="s">
        <v>514</v>
      </c>
      <c r="AF159" t="str">
        <f>TEXT(AE159,"000\.000\.000\-00")</f>
        <v>000.000.122-00</v>
      </c>
      <c r="AH159" s="15" t="s">
        <v>112</v>
      </c>
      <c r="AJ159" s="22">
        <v>26500</v>
      </c>
      <c r="AK159">
        <v>26500</v>
      </c>
      <c r="AM159" s="20">
        <v>14500</v>
      </c>
      <c r="AN159">
        <v>14500</v>
      </c>
      <c r="AO159">
        <v>14500</v>
      </c>
      <c r="AQ159" t="s">
        <v>210</v>
      </c>
      <c r="AZ159" s="39" t="s">
        <v>905</v>
      </c>
      <c r="BA159" t="s">
        <v>210</v>
      </c>
      <c r="BB159" s="26">
        <v>26800</v>
      </c>
      <c r="BC159" s="81">
        <f>IF(AND(TabelaClean[[#This Row],[analise_risco]]="Arriscado",TabelaClean[[#This Row],[analise_credito]]="Reprovado"),0,IF(TabelaClean[[#This Row],[status]]="Ativo",TabelaClean[[#This Row],[valor_solicitado]]*1.08,0))</f>
        <v>71280</v>
      </c>
    </row>
    <row r="160" spans="1:55">
      <c r="A160" s="24" t="s">
        <v>76</v>
      </c>
      <c r="B160" s="17" t="s">
        <v>454</v>
      </c>
      <c r="C160" s="25" t="s">
        <v>455</v>
      </c>
      <c r="D160" s="54">
        <v>53</v>
      </c>
      <c r="E160" s="30">
        <v>26631</v>
      </c>
      <c r="F160" s="24" t="str">
        <f>TabelaClean[[#This Row],[CidadeCPF]]</f>
        <v>Atalaia da Água Cinzenta</v>
      </c>
      <c r="G160" s="17" t="str">
        <f>TabelaClean[[#This Row],[RegiaoCPF]]</f>
        <v>Gargalo</v>
      </c>
      <c r="H160" s="17" t="str">
        <f>_xlfn.XLOOKUP(TabelaClean[[#This Row],[cpf]],TabelaDirty[cpfclean],TabelaDirty[cidade])</f>
        <v>Atalaia da Água Cinzenta</v>
      </c>
      <c r="I160" s="17" t="str">
        <f>_xlfn.XLOOKUP(TabelaClean[[#This Row],[cpf]],TabelaDirty[cpfclean],TabelaDirty[regiao])</f>
        <v>Gargalo</v>
      </c>
      <c r="J160" s="17" t="str">
        <f>PROPER(TabelaClean[[#This Row],[Coluna1]])</f>
        <v>Gargalo</v>
      </c>
      <c r="K160" s="17" t="e">
        <f>_xlfn.TEXTBEFORE(TabelaClean[[#This Row],[CidadeCPF]]," | ")</f>
        <v>#N/A</v>
      </c>
      <c r="L160" s="24" t="e">
        <f>_xlfn.TEXTAFTER(TabelaClean[[#This Row],[CidadeCPF]]," | ")</f>
        <v>#N/A</v>
      </c>
      <c r="M160" s="26">
        <v>22700</v>
      </c>
      <c r="N160" s="78">
        <v>42500</v>
      </c>
      <c r="O160" s="1" t="s">
        <v>51</v>
      </c>
      <c r="P16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0" s="84">
        <v>25</v>
      </c>
      <c r="R160" s="1" t="str" cm="1">
        <f t="array" ref="R160">_xlfn.IFS(TabelaClean[[#This Row],[qtde_batalhas]]&lt;=10,"Baixo",TabelaClean[[#This Row],[qtde_batalhas]]&gt;=26,"Alto",TabelaClean[[#This Row],[qtde_batalhas]]&lt;26,"Médio")</f>
        <v>Médio</v>
      </c>
      <c r="S160" s="1" t="str">
        <f>IF(AND(TabelaClean[[#This Row],[nivel_risco]]="Alto",TabelaClean[[#This Row],[flag_inadimplente]]="Sim"),"Arriscado","Ok")</f>
        <v>Ok</v>
      </c>
      <c r="T160" s="26">
        <v>86000</v>
      </c>
      <c r="U160" s="81">
        <f>IF(AND(TabelaClean[[#This Row],[analise_risco]]="Arriscado",TabelaClean[[#This Row],[analise_credito]]="Reprovado"),0,IF(TabelaClean[[#This Row],[status]]="Ativo",TabelaClean[[#This Row],[valor_solicitado]]*1.08,0))</f>
        <v>92880</v>
      </c>
      <c r="W160" s="1"/>
      <c r="Y160" t="s">
        <v>90</v>
      </c>
      <c r="Z160" t="str">
        <f t="shared" si="2"/>
        <v>Terras Da Coroa</v>
      </c>
      <c r="AE160" t="s">
        <v>771</v>
      </c>
      <c r="AF160" t="str">
        <f>TEXT(AE160,"000\.000\.000\-00")</f>
        <v>000.000.123-00</v>
      </c>
      <c r="AH160" s="15" t="s">
        <v>360</v>
      </c>
      <c r="AJ160" s="22">
        <v>19900</v>
      </c>
      <c r="AK160">
        <v>19900</v>
      </c>
      <c r="AM160" s="21">
        <v>35000</v>
      </c>
      <c r="AN160">
        <v>35000</v>
      </c>
      <c r="AO160">
        <v>35000</v>
      </c>
      <c r="AQ160" t="s">
        <v>83</v>
      </c>
      <c r="AZ160" s="38" t="s">
        <v>531</v>
      </c>
      <c r="BA160" t="s">
        <v>83</v>
      </c>
      <c r="BB160" s="26">
        <v>22700</v>
      </c>
      <c r="BC160" s="81">
        <f>IF(AND(TabelaClean[[#This Row],[analise_risco]]="Arriscado",TabelaClean[[#This Row],[analise_credito]]="Reprovado"),0,IF(TabelaClean[[#This Row],[status]]="Ativo",TabelaClean[[#This Row],[valor_solicitado]]*1.08,0))</f>
        <v>92880</v>
      </c>
    </row>
    <row r="161" spans="1:55">
      <c r="A161" s="24" t="s">
        <v>76</v>
      </c>
      <c r="B161" s="17" t="s">
        <v>648</v>
      </c>
      <c r="C161" s="25" t="s">
        <v>816</v>
      </c>
      <c r="D161" s="54">
        <v>24</v>
      </c>
      <c r="E161" s="30">
        <v>37470</v>
      </c>
      <c r="F161" s="24" t="str">
        <f>TabelaClean[[#This Row],[CidadeCPF]]</f>
        <v>Solar do Entardecer</v>
      </c>
      <c r="G161" s="17" t="str">
        <f>TabelaClean[[#This Row],[RegiaoCPF]]</f>
        <v>Terras Da Tempestade</v>
      </c>
      <c r="H161" s="17" t="str">
        <f>_xlfn.XLOOKUP(TabelaClean[[#This Row],[cpf]],TabelaDirty[cpfclean],TabelaDirty[cidade])</f>
        <v>Solar do Entardecer</v>
      </c>
      <c r="I161" s="17" t="str">
        <f>_xlfn.XLOOKUP(TabelaClean[[#This Row],[cpf]],TabelaDirty[cpfclean],TabelaDirty[regiao])</f>
        <v>terras da tempestade</v>
      </c>
      <c r="J161" s="17" t="str">
        <f>PROPER(TabelaClean[[#This Row],[Coluna1]])</f>
        <v>Terras Da Tempestade</v>
      </c>
      <c r="K161" s="17" t="e">
        <f>_xlfn.TEXTBEFORE(TabelaClean[[#This Row],[CidadeCPF]]," | ")</f>
        <v>#N/A</v>
      </c>
      <c r="L161" s="24" t="e">
        <f>_xlfn.TEXTAFTER(TabelaClean[[#This Row],[CidadeCPF]]," | ")</f>
        <v>#N/A</v>
      </c>
      <c r="M161" s="26">
        <v>16900</v>
      </c>
      <c r="N161" s="78">
        <v>42500</v>
      </c>
      <c r="O161" s="1" t="s">
        <v>51</v>
      </c>
      <c r="P16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1" s="84">
        <v>26</v>
      </c>
      <c r="R161" s="1" t="str" cm="1">
        <f t="array" ref="R161">_xlfn.IFS(TabelaClean[[#This Row],[qtde_batalhas]]&lt;=10,"Baixo",TabelaClean[[#This Row],[qtde_batalhas]]&gt;=26,"Alto",TabelaClean[[#This Row],[qtde_batalhas]]&lt;26,"Médio")</f>
        <v>Alto</v>
      </c>
      <c r="S161" s="1" t="str">
        <f>IF(AND(TabelaClean[[#This Row],[nivel_risco]]="Alto",TabelaClean[[#This Row],[flag_inadimplente]]="Sim"),"Arriscado","Ok")</f>
        <v>Arriscado</v>
      </c>
      <c r="T161" s="26">
        <v>12500</v>
      </c>
      <c r="U161" s="81">
        <f>IF(AND(TabelaClean[[#This Row],[analise_risco]]="Arriscado",TabelaClean[[#This Row],[analise_credito]]="Reprovado"),0,IF(TabelaClean[[#This Row],[status]]="Ativo",TabelaClean[[#This Row],[valor_solicitado]]*1.08,0))</f>
        <v>13500</v>
      </c>
      <c r="W161" s="1"/>
      <c r="Y161" t="s">
        <v>809</v>
      </c>
      <c r="Z161" t="str">
        <f t="shared" si="2"/>
        <v>Null</v>
      </c>
      <c r="AE161" t="s">
        <v>171</v>
      </c>
      <c r="AF161" t="str">
        <f>TEXT(AE161,"000\.000\.000\-00")</f>
        <v>000.000.124-00</v>
      </c>
      <c r="AH161" s="15" t="s">
        <v>121</v>
      </c>
      <c r="AJ161" s="22">
        <v>5300</v>
      </c>
      <c r="AK161">
        <v>5300</v>
      </c>
      <c r="AM161" s="20" t="s">
        <v>293</v>
      </c>
      <c r="AN161" t="s">
        <v>809</v>
      </c>
      <c r="AO161" t="s">
        <v>809</v>
      </c>
      <c r="AQ161" t="s">
        <v>154</v>
      </c>
      <c r="AZ161" s="39" t="s">
        <v>619</v>
      </c>
      <c r="BA161" t="s">
        <v>154</v>
      </c>
      <c r="BB161" s="26">
        <v>16900</v>
      </c>
      <c r="BC161" s="81">
        <f>IF(AND(TabelaClean[[#This Row],[analise_risco]]="Arriscado",TabelaClean[[#This Row],[analise_credito]]="Reprovado"),0,IF(TabelaClean[[#This Row],[status]]="Ativo",TabelaClean[[#This Row],[valor_solicitado]]*1.08,0))</f>
        <v>13500</v>
      </c>
    </row>
    <row r="162" spans="1:55">
      <c r="A162" s="24" t="s">
        <v>76</v>
      </c>
      <c r="B162" s="17" t="s">
        <v>906</v>
      </c>
      <c r="C162" s="25" t="s">
        <v>907</v>
      </c>
      <c r="D162" s="54">
        <v>67</v>
      </c>
      <c r="E162" s="30">
        <v>21671</v>
      </c>
      <c r="F162" s="25" t="s">
        <v>83</v>
      </c>
      <c r="G162" s="25" t="s">
        <v>303</v>
      </c>
      <c r="H162" s="24">
        <v>6500</v>
      </c>
      <c r="I162" s="24">
        <v>42500</v>
      </c>
      <c r="J162" s="24" t="s">
        <v>51</v>
      </c>
      <c r="K162" s="24">
        <v>3</v>
      </c>
      <c r="L162" s="24"/>
      <c r="M162" s="26">
        <v>8000</v>
      </c>
      <c r="N162" s="78">
        <v>42500</v>
      </c>
      <c r="O162" s="1" t="s">
        <v>51</v>
      </c>
      <c r="P162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2" s="84">
        <v>3</v>
      </c>
      <c r="R162" s="76" t="str" cm="1">
        <f t="array" ref="R162">_xlfn.IFS(TabelaClean[[#This Row],[qtde_batalhas]]&lt;=10,"Baixo",TabelaClean[[#This Row],[qtde_batalhas]]&gt;=26,"Alto",TabelaClean[[#This Row],[qtde_batalhas]]&lt;26,"Médio")</f>
        <v>Baixo</v>
      </c>
      <c r="S162" s="76" t="str">
        <f>IF(AND(TabelaClean[[#This Row],[nivel_risco]]="Alto",TabelaClean[[#This Row],[flag_inadimplente]]="Sim"),"Arriscado","Ok")</f>
        <v>Ok</v>
      </c>
      <c r="T162" s="26">
        <v>8000</v>
      </c>
      <c r="U162" s="81">
        <f>IF(AND(TabelaClean[[#This Row],[analise_risco]]="Arriscado",TabelaClean[[#This Row],[analise_credito]]="Reprovado"),0,IF(TabelaClean[[#This Row],[status]]="Ativo",TabelaClean[[#This Row],[valor_solicitado]]*1.08,0))</f>
        <v>8640</v>
      </c>
      <c r="W162" s="1"/>
      <c r="Y162" t="s">
        <v>122</v>
      </c>
      <c r="Z162" t="str">
        <f t="shared" si="2"/>
        <v>Essos</v>
      </c>
      <c r="AE162" t="s">
        <v>151</v>
      </c>
      <c r="AF162" t="str">
        <f>TEXT(AE162,"000\.000\.000\-00")</f>
        <v>000.000.125-00</v>
      </c>
      <c r="AH162" s="15" t="s">
        <v>138</v>
      </c>
      <c r="AJ162" s="22">
        <v>4500</v>
      </c>
      <c r="AK162">
        <v>4500</v>
      </c>
      <c r="AM162" s="21">
        <v>0</v>
      </c>
      <c r="AN162">
        <v>0</v>
      </c>
      <c r="AO162">
        <v>0</v>
      </c>
      <c r="AQ162" t="s">
        <v>154</v>
      </c>
      <c r="AZ162" s="38" t="s">
        <v>428</v>
      </c>
      <c r="BA162" t="s">
        <v>154</v>
      </c>
      <c r="BB162" s="26">
        <v>8000</v>
      </c>
      <c r="BC162" s="81">
        <f>IF(AND(TabelaClean[[#This Row],[analise_risco]]="Arriscado",TabelaClean[[#This Row],[analise_credito]]="Reprovado"),0,IF(TabelaClean[[#This Row],[status]]="Ativo",TabelaClean[[#This Row],[valor_solicitado]]*1.08,0))</f>
        <v>8640</v>
      </c>
    </row>
    <row r="163" spans="1:55">
      <c r="A163" s="24" t="s">
        <v>76</v>
      </c>
      <c r="B163" s="17" t="s">
        <v>618</v>
      </c>
      <c r="C163" s="25" t="s">
        <v>619</v>
      </c>
      <c r="D163" s="54">
        <v>30</v>
      </c>
      <c r="E163" s="30">
        <v>35180</v>
      </c>
      <c r="F163" s="24" t="str">
        <f>TabelaClean[[#This Row],[CidadeCPF]]</f>
        <v>Ilha dos Ursos</v>
      </c>
      <c r="G163" s="17" t="str">
        <f>TabelaClean[[#This Row],[RegiaoCPF]]</f>
        <v>Norte</v>
      </c>
      <c r="H163" s="17" t="str">
        <f>_xlfn.XLOOKUP(TabelaClean[[#This Row],[cpf]],TabelaDirty[cpfclean],TabelaDirty[cidade])</f>
        <v>Ilha dos Ursos</v>
      </c>
      <c r="I163" s="17" t="str">
        <f>_xlfn.XLOOKUP(TabelaClean[[#This Row],[cpf]],TabelaDirty[cpfclean],TabelaDirty[regiao])</f>
        <v>Norte</v>
      </c>
      <c r="J163" s="17" t="str">
        <f>PROPER(TabelaClean[[#This Row],[Coluna1]])</f>
        <v>Norte</v>
      </c>
      <c r="K163" s="17" t="e">
        <f>_xlfn.TEXTBEFORE(TabelaClean[[#This Row],[CidadeCPF]]," | ")</f>
        <v>#N/A</v>
      </c>
      <c r="L163" s="24" t="e">
        <f>_xlfn.TEXTAFTER(TabelaClean[[#This Row],[CidadeCPF]]," | ")</f>
        <v>#N/A</v>
      </c>
      <c r="M163" s="26">
        <v>13800</v>
      </c>
      <c r="N163" s="78">
        <v>42000</v>
      </c>
      <c r="O163" s="1" t="s">
        <v>50</v>
      </c>
      <c r="P16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3" s="84">
        <v>29</v>
      </c>
      <c r="R163" s="1" t="str" cm="1">
        <f t="array" ref="R163">_xlfn.IFS(TabelaClean[[#This Row],[qtde_batalhas]]&lt;=10,"Baixo",TabelaClean[[#This Row],[qtde_batalhas]]&gt;=26,"Alto",TabelaClean[[#This Row],[qtde_batalhas]]&lt;26,"Médio")</f>
        <v>Alto</v>
      </c>
      <c r="S163" s="1" t="str">
        <f>IF(AND(TabelaClean[[#This Row],[nivel_risco]]="Alto",TabelaClean[[#This Row],[flag_inadimplente]]="Sim"),"Arriscado","Ok")</f>
        <v>Ok</v>
      </c>
      <c r="T163" s="26">
        <v>7000</v>
      </c>
      <c r="U163" s="81">
        <f>IF(AND(TabelaClean[[#This Row],[analise_risco]]="Arriscado",TabelaClean[[#This Row],[analise_credito]]="Reprovado"),0,IF(TabelaClean[[#This Row],[status]]="Ativo",TabelaClean[[#This Row],[valor_solicitado]]*1.08,0))</f>
        <v>7560.0000000000009</v>
      </c>
      <c r="W163" s="1"/>
      <c r="Y163" t="s">
        <v>809</v>
      </c>
      <c r="Z163" t="str">
        <f t="shared" si="2"/>
        <v>Null</v>
      </c>
      <c r="AE163" t="s">
        <v>603</v>
      </c>
      <c r="AF163" t="str">
        <f>TEXT(AE163,"000\.000\.000\-00")</f>
        <v>000.000.126-00</v>
      </c>
      <c r="AH163" s="15" t="s">
        <v>183</v>
      </c>
      <c r="AJ163" s="22">
        <v>24400</v>
      </c>
      <c r="AK163">
        <v>24400</v>
      </c>
      <c r="AM163" s="20">
        <v>7500</v>
      </c>
      <c r="AN163">
        <v>7500</v>
      </c>
      <c r="AO163">
        <v>7500</v>
      </c>
      <c r="AQ163" t="s">
        <v>112</v>
      </c>
      <c r="AZ163" s="39" t="s">
        <v>284</v>
      </c>
      <c r="BA163" t="s">
        <v>112</v>
      </c>
      <c r="BB163" s="26">
        <v>13800</v>
      </c>
      <c r="BC163" s="81">
        <f>IF(AND(TabelaClean[[#This Row],[analise_risco]]="Arriscado",TabelaClean[[#This Row],[analise_credito]]="Reprovado"),0,IF(TabelaClean[[#This Row],[status]]="Ativo",TabelaClean[[#This Row],[valor_solicitado]]*1.08,0))</f>
        <v>7560.0000000000009</v>
      </c>
    </row>
    <row r="164" spans="1:55">
      <c r="A164" s="24" t="s">
        <v>81</v>
      </c>
      <c r="B164" s="17" t="s">
        <v>463</v>
      </c>
      <c r="C164" s="25" t="s">
        <v>877</v>
      </c>
      <c r="D164" s="54">
        <v>66</v>
      </c>
      <c r="E164" s="30">
        <v>21873</v>
      </c>
      <c r="F164" s="24" t="str">
        <f>TabelaClean[[#This Row],[CidadeCPF]]</f>
        <v>Fosso Cailin</v>
      </c>
      <c r="G164" s="17" t="str">
        <f>TabelaClean[[#This Row],[RegiaoCPF]]</f>
        <v>Norte</v>
      </c>
      <c r="H164" s="17" t="str">
        <f>_xlfn.XLOOKUP(TabelaClean[[#This Row],[cpf]],TabelaDirty[cpfclean],TabelaDirty[cidade])</f>
        <v>Fosso Cailin</v>
      </c>
      <c r="I164" s="17" t="str">
        <f>_xlfn.XLOOKUP(TabelaClean[[#This Row],[cpf]],TabelaDirty[cpfclean],TabelaDirty[regiao])</f>
        <v>Norte</v>
      </c>
      <c r="J164" s="17" t="str">
        <f>PROPER(TabelaClean[[#This Row],[Coluna1]])</f>
        <v>Norte</v>
      </c>
      <c r="K164" s="17" t="e">
        <f>_xlfn.TEXTBEFORE(TabelaClean[[#This Row],[CidadeCPF]]," | ")</f>
        <v>#N/A</v>
      </c>
      <c r="L164" s="24" t="e">
        <f>_xlfn.TEXTAFTER(TabelaClean[[#This Row],[CidadeCPF]]," | ")</f>
        <v>#N/A</v>
      </c>
      <c r="M164" s="26">
        <v>9900</v>
      </c>
      <c r="N164" s="78">
        <v>42000</v>
      </c>
      <c r="O164" s="1" t="s">
        <v>50</v>
      </c>
      <c r="P16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4" s="84">
        <v>13</v>
      </c>
      <c r="R164" s="1" t="str" cm="1">
        <f t="array" ref="R164">_xlfn.IFS(TabelaClean[[#This Row],[qtde_batalhas]]&lt;=10,"Baixo",TabelaClean[[#This Row],[qtde_batalhas]]&gt;=26,"Alto",TabelaClean[[#This Row],[qtde_batalhas]]&lt;26,"Médio")</f>
        <v>Médio</v>
      </c>
      <c r="S164" s="1" t="str">
        <f>IF(AND(TabelaClean[[#This Row],[nivel_risco]]="Alto",TabelaClean[[#This Row],[flag_inadimplente]]="Sim"),"Arriscado","Ok")</f>
        <v>Ok</v>
      </c>
      <c r="T164" s="26">
        <v>37000</v>
      </c>
      <c r="U16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64" s="1"/>
      <c r="Y164" t="s">
        <v>809</v>
      </c>
      <c r="Z164" t="str">
        <f t="shared" si="2"/>
        <v>Null</v>
      </c>
      <c r="AE164" t="s">
        <v>626</v>
      </c>
      <c r="AF164" t="str">
        <f>TEXT(AE164,"000\.000\.000\-00")</f>
        <v>000.000.128-00</v>
      </c>
      <c r="AH164" s="15" t="s">
        <v>242</v>
      </c>
      <c r="AJ164" s="22">
        <v>19900</v>
      </c>
      <c r="AK164">
        <v>19900</v>
      </c>
      <c r="AM164" s="21">
        <v>49500</v>
      </c>
      <c r="AN164">
        <v>49500</v>
      </c>
      <c r="AO164">
        <v>49500</v>
      </c>
      <c r="AQ164" t="s">
        <v>172</v>
      </c>
      <c r="AZ164" s="38" t="s">
        <v>908</v>
      </c>
      <c r="BA164" t="s">
        <v>172</v>
      </c>
      <c r="BB164" s="26">
        <v>9900</v>
      </c>
      <c r="BC16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65" spans="1:55">
      <c r="A165" s="24" t="s">
        <v>81</v>
      </c>
      <c r="B165" s="17" t="s">
        <v>427</v>
      </c>
      <c r="C165" s="25" t="s">
        <v>428</v>
      </c>
      <c r="D165" s="54">
        <v>29</v>
      </c>
      <c r="E165" s="30">
        <v>35607</v>
      </c>
      <c r="F165" s="24" t="str">
        <f>TabelaClean[[#This Row],[CidadeCPF]]</f>
        <v>Ilha dos Ursos</v>
      </c>
      <c r="G165" s="17" t="str">
        <f>TabelaClean[[#This Row],[RegiaoCPF]]</f>
        <v>Norte</v>
      </c>
      <c r="H165" s="17" t="str">
        <f>_xlfn.XLOOKUP(TabelaClean[[#This Row],[cpf]],TabelaDirty[cpfclean],TabelaDirty[cidade])</f>
        <v>Ilha dos Ursos</v>
      </c>
      <c r="I165" s="17" t="str">
        <f>_xlfn.XLOOKUP(TabelaClean[[#This Row],[cpf]],TabelaDirty[cpfclean],TabelaDirty[regiao])</f>
        <v>Norte</v>
      </c>
      <c r="J165" s="17" t="str">
        <f>PROPER(TabelaClean[[#This Row],[Coluna1]])</f>
        <v>Norte</v>
      </c>
      <c r="K165" s="17" t="e">
        <f>_xlfn.TEXTBEFORE(TabelaClean[[#This Row],[CidadeCPF]]," | ")</f>
        <v>#N/A</v>
      </c>
      <c r="L165" s="24" t="e">
        <f>_xlfn.TEXTAFTER(TabelaClean[[#This Row],[CidadeCPF]]," | ")</f>
        <v>#N/A</v>
      </c>
      <c r="M165" s="26">
        <v>13800</v>
      </c>
      <c r="N165" s="78">
        <v>41500</v>
      </c>
      <c r="O165" s="1" t="s">
        <v>50</v>
      </c>
      <c r="P16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5" s="84">
        <v>34</v>
      </c>
      <c r="R165" s="1" t="str" cm="1">
        <f t="array" ref="R165">_xlfn.IFS(TabelaClean[[#This Row],[qtde_batalhas]]&lt;=10,"Baixo",TabelaClean[[#This Row],[qtde_batalhas]]&gt;=26,"Alto",TabelaClean[[#This Row],[qtde_batalhas]]&lt;26,"Médio")</f>
        <v>Alto</v>
      </c>
      <c r="S165" s="1" t="str">
        <f>IF(AND(TabelaClean[[#This Row],[nivel_risco]]="Alto",TabelaClean[[#This Row],[flag_inadimplente]]="Sim"),"Arriscado","Ok")</f>
        <v>Ok</v>
      </c>
      <c r="T165" s="26">
        <v>66000</v>
      </c>
      <c r="U16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65" s="1"/>
      <c r="Y165" t="s">
        <v>809</v>
      </c>
      <c r="Z165" t="str">
        <f t="shared" si="2"/>
        <v>Null</v>
      </c>
      <c r="AE165" t="s">
        <v>348</v>
      </c>
      <c r="AF165" t="str">
        <f>TEXT(AE165,"000\.000\.000\-00")</f>
        <v>000.000.129-00</v>
      </c>
      <c r="AH165" s="15" t="s">
        <v>127</v>
      </c>
      <c r="AJ165" s="22">
        <v>14500</v>
      </c>
      <c r="AK165">
        <v>14500</v>
      </c>
      <c r="AM165" s="20">
        <v>39500</v>
      </c>
      <c r="AN165">
        <v>39500</v>
      </c>
      <c r="AO165">
        <v>39500</v>
      </c>
      <c r="AQ165" t="s">
        <v>141</v>
      </c>
      <c r="AZ165" s="39" t="s">
        <v>529</v>
      </c>
      <c r="BA165" t="s">
        <v>141</v>
      </c>
      <c r="BB165" s="26">
        <v>13800</v>
      </c>
      <c r="BC16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66" spans="1:55">
      <c r="A166" s="24" t="s">
        <v>76</v>
      </c>
      <c r="B166" s="17" t="s">
        <v>909</v>
      </c>
      <c r="C166" s="25" t="s">
        <v>284</v>
      </c>
      <c r="D166" s="54">
        <v>55</v>
      </c>
      <c r="E166" s="30">
        <v>26104</v>
      </c>
      <c r="F166" s="24" t="str">
        <f>TabelaClean[[#This Row],[CidadeCPF]]</f>
        <v>Pyke</v>
      </c>
      <c r="G166" s="17" t="str">
        <f>TabelaClean[[#This Row],[RegiaoCPF]]</f>
        <v>Ilhas De Ferro</v>
      </c>
      <c r="H166" s="17" t="str">
        <f>_xlfn.XLOOKUP(TabelaClean[[#This Row],[cpf]],TabelaDirty[cpfclean],TabelaDirty[cidade])</f>
        <v>Pyke</v>
      </c>
      <c r="I166" s="17" t="str">
        <f>_xlfn.XLOOKUP(TabelaClean[[#This Row],[cpf]],TabelaDirty[cpfclean],TabelaDirty[regiao])</f>
        <v>Ilhas De Ferro</v>
      </c>
      <c r="J166" s="17" t="str">
        <f>PROPER(TabelaClean[[#This Row],[Coluna1]])</f>
        <v>Ilhas De Ferro</v>
      </c>
      <c r="K166" s="17" t="e">
        <f>_xlfn.TEXTBEFORE(TabelaClean[[#This Row],[CidadeCPF]]," | ")</f>
        <v>#N/A</v>
      </c>
      <c r="L166" s="24" t="e">
        <f>_xlfn.TEXTAFTER(TabelaClean[[#This Row],[CidadeCPF]]," | ")</f>
        <v>#N/A</v>
      </c>
      <c r="M166" s="26">
        <v>22100</v>
      </c>
      <c r="N166" s="78">
        <v>41500</v>
      </c>
      <c r="O166" s="1" t="s">
        <v>50</v>
      </c>
      <c r="P16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6" s="84">
        <v>18</v>
      </c>
      <c r="R166" s="1" t="str" cm="1">
        <f t="array" ref="R166">_xlfn.IFS(TabelaClean[[#This Row],[qtde_batalhas]]&lt;=10,"Baixo",TabelaClean[[#This Row],[qtde_batalhas]]&gt;=26,"Alto",TabelaClean[[#This Row],[qtde_batalhas]]&lt;26,"Médio")</f>
        <v>Médio</v>
      </c>
      <c r="S166" s="1" t="str">
        <f>IF(AND(TabelaClean[[#This Row],[nivel_risco]]="Alto",TabelaClean[[#This Row],[flag_inadimplente]]="Sim"),"Arriscado","Ok")</f>
        <v>Ok</v>
      </c>
      <c r="T166" s="26">
        <v>65000</v>
      </c>
      <c r="U166" s="81">
        <f>IF(AND(TabelaClean[[#This Row],[analise_risco]]="Arriscado",TabelaClean[[#This Row],[analise_credito]]="Reprovado"),0,IF(TabelaClean[[#This Row],[status]]="Ativo",TabelaClean[[#This Row],[valor_solicitado]]*1.08,0))</f>
        <v>70200</v>
      </c>
      <c r="W166" s="1"/>
      <c r="Y166" t="s">
        <v>142</v>
      </c>
      <c r="Z166" t="str">
        <f t="shared" si="2"/>
        <v>Norte</v>
      </c>
      <c r="AE166" t="s">
        <v>645</v>
      </c>
      <c r="AF166" t="str">
        <f>TEXT(AE166,"000\.000\.000\-00")</f>
        <v>000.000.130-00</v>
      </c>
      <c r="AH166" s="15" t="s">
        <v>121</v>
      </c>
      <c r="AJ166" s="22" t="s">
        <v>743</v>
      </c>
      <c r="AK166">
        <v>19900</v>
      </c>
      <c r="AM166" s="21">
        <v>47000</v>
      </c>
      <c r="AN166">
        <v>47000</v>
      </c>
      <c r="AO166">
        <v>47000</v>
      </c>
      <c r="AQ166" t="s">
        <v>121</v>
      </c>
      <c r="AZ166" s="38" t="s">
        <v>504</v>
      </c>
      <c r="BA166" t="s">
        <v>121</v>
      </c>
      <c r="BB166" s="26">
        <v>22100</v>
      </c>
      <c r="BC166" s="81">
        <f>IF(AND(TabelaClean[[#This Row],[analise_risco]]="Arriscado",TabelaClean[[#This Row],[analise_credito]]="Reprovado"),0,IF(TabelaClean[[#This Row],[status]]="Ativo",TabelaClean[[#This Row],[valor_solicitado]]*1.08,0))</f>
        <v>70200</v>
      </c>
    </row>
    <row r="167" spans="1:55">
      <c r="A167" s="24" t="s">
        <v>76</v>
      </c>
      <c r="B167" s="17" t="s">
        <v>733</v>
      </c>
      <c r="C167" s="25" t="s">
        <v>734</v>
      </c>
      <c r="D167" s="54" t="s">
        <v>910</v>
      </c>
      <c r="E167" s="30">
        <v>27378</v>
      </c>
      <c r="F167" s="24" t="str">
        <f>TabelaClean[[#This Row],[CidadeCPF]]</f>
        <v>Dorne</v>
      </c>
      <c r="G167" s="17" t="str">
        <f>TabelaClean[[#This Row],[RegiaoCPF]]</f>
        <v>Dorne</v>
      </c>
      <c r="H167" s="17" t="str">
        <f>_xlfn.XLOOKUP(TabelaClean[[#This Row],[cpf]],TabelaDirty[cpfclean],TabelaDirty[cidade])</f>
        <v>Dorne</v>
      </c>
      <c r="I167" s="17" t="str">
        <f>_xlfn.XLOOKUP(TabelaClean[[#This Row],[cpf]],TabelaDirty[cpfclean],TabelaDirty[regiao])</f>
        <v>Dorne</v>
      </c>
      <c r="J167" s="17" t="str">
        <f>PROPER(TabelaClean[[#This Row],[Coluna1]])</f>
        <v>Dorne</v>
      </c>
      <c r="K167" s="17" t="e">
        <f>_xlfn.TEXTBEFORE(TabelaClean[[#This Row],[CidadeCPF]]," | ")</f>
        <v>#N/A</v>
      </c>
      <c r="L167" s="24" t="e">
        <f>_xlfn.TEXTAFTER(TabelaClean[[#This Row],[CidadeCPF]]," | ")</f>
        <v>#N/A</v>
      </c>
      <c r="M167" s="26">
        <v>11600</v>
      </c>
      <c r="N167" s="78">
        <v>41000</v>
      </c>
      <c r="O167" s="1" t="s">
        <v>50</v>
      </c>
      <c r="P16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7" s="84">
        <v>7</v>
      </c>
      <c r="R167" s="1" t="str" cm="1">
        <f t="array" ref="R167">_xlfn.IFS(TabelaClean[[#This Row],[qtde_batalhas]]&lt;=10,"Baixo",TabelaClean[[#This Row],[qtde_batalhas]]&gt;=26,"Alto",TabelaClean[[#This Row],[qtde_batalhas]]&lt;26,"Médio")</f>
        <v>Baixo</v>
      </c>
      <c r="S167" s="1" t="str">
        <f>IF(AND(TabelaClean[[#This Row],[nivel_risco]]="Alto",TabelaClean[[#This Row],[flag_inadimplente]]="Sim"),"Arriscado","Ok")</f>
        <v>Ok</v>
      </c>
      <c r="T167" s="26">
        <v>67000</v>
      </c>
      <c r="U167" s="81">
        <f>IF(AND(TabelaClean[[#This Row],[analise_risco]]="Arriscado",TabelaClean[[#This Row],[analise_credito]]="Reprovado"),0,IF(TabelaClean[[#This Row],[status]]="Ativo",TabelaClean[[#This Row],[valor_solicitado]]*1.08,0))</f>
        <v>72360</v>
      </c>
      <c r="W167" s="1"/>
      <c r="Y167" t="s">
        <v>809</v>
      </c>
      <c r="Z167" t="str">
        <f t="shared" si="2"/>
        <v>Null</v>
      </c>
      <c r="AE167" t="s">
        <v>200</v>
      </c>
      <c r="AF167" t="str">
        <f>TEXT(AE167,"000\.000\.000\-00")</f>
        <v>000.000.131-00</v>
      </c>
      <c r="AH167" s="15" t="s">
        <v>302</v>
      </c>
      <c r="AJ167" s="22">
        <v>6700</v>
      </c>
      <c r="AK167">
        <v>6700</v>
      </c>
      <c r="AM167" s="20">
        <v>16500</v>
      </c>
      <c r="AN167">
        <v>16500</v>
      </c>
      <c r="AO167">
        <v>16500</v>
      </c>
      <c r="AQ167" t="s">
        <v>83</v>
      </c>
      <c r="AZ167" s="39" t="s">
        <v>642</v>
      </c>
      <c r="BA167" t="s">
        <v>83</v>
      </c>
      <c r="BB167" s="26">
        <v>11600</v>
      </c>
      <c r="BC167" s="81">
        <f>IF(AND(TabelaClean[[#This Row],[analise_risco]]="Arriscado",TabelaClean[[#This Row],[analise_credito]]="Reprovado"),0,IF(TabelaClean[[#This Row],[status]]="Ativo",TabelaClean[[#This Row],[valor_solicitado]]*1.08,0))</f>
        <v>72360</v>
      </c>
    </row>
    <row r="168" spans="1:55">
      <c r="A168" s="24" t="s">
        <v>76</v>
      </c>
      <c r="B168" s="17" t="s">
        <v>415</v>
      </c>
      <c r="C168" s="25" t="s">
        <v>908</v>
      </c>
      <c r="D168" s="54">
        <v>24</v>
      </c>
      <c r="E168" s="30">
        <v>37290</v>
      </c>
      <c r="F168" s="24" t="str">
        <f>TabelaClean[[#This Row],[CidadeCPF]]</f>
        <v>Jardim de Cima</v>
      </c>
      <c r="G168" s="17" t="str">
        <f>TabelaClean[[#This Row],[RegiaoCPF]]</f>
        <v>Campina</v>
      </c>
      <c r="H168" s="17" t="str">
        <f>_xlfn.XLOOKUP(TabelaClean[[#This Row],[cpf]],TabelaDirty[cpfclean],TabelaDirty[cidade])</f>
        <v>Jardim de Cima</v>
      </c>
      <c r="I168" s="17" t="str">
        <f>_xlfn.XLOOKUP(TabelaClean[[#This Row],[cpf]],TabelaDirty[cpfclean],TabelaDirty[regiao])</f>
        <v>campina</v>
      </c>
      <c r="J168" s="17" t="str">
        <f>PROPER(TabelaClean[[#This Row],[Coluna1]])</f>
        <v>Campina</v>
      </c>
      <c r="K168" s="17" t="e">
        <f>_xlfn.TEXTBEFORE(TabelaClean[[#This Row],[CidadeCPF]]," | ")</f>
        <v>#N/A</v>
      </c>
      <c r="L168" s="24" t="e">
        <f>_xlfn.TEXTAFTER(TabelaClean[[#This Row],[CidadeCPF]]," | ")</f>
        <v>#N/A</v>
      </c>
      <c r="M168" s="26">
        <v>6400</v>
      </c>
      <c r="N168" s="78">
        <v>41000</v>
      </c>
      <c r="O168" s="1" t="s">
        <v>50</v>
      </c>
      <c r="P16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8" s="84">
        <v>22</v>
      </c>
      <c r="R168" s="1" t="str" cm="1">
        <f t="array" ref="R168">_xlfn.IFS(TabelaClean[[#This Row],[qtde_batalhas]]&lt;=10,"Baixo",TabelaClean[[#This Row],[qtde_batalhas]]&gt;=26,"Alto",TabelaClean[[#This Row],[qtde_batalhas]]&lt;26,"Médio")</f>
        <v>Médio</v>
      </c>
      <c r="S168" s="1" t="str">
        <f>IF(AND(TabelaClean[[#This Row],[nivel_risco]]="Alto",TabelaClean[[#This Row],[flag_inadimplente]]="Sim"),"Arriscado","Ok")</f>
        <v>Ok</v>
      </c>
      <c r="T168" s="26">
        <v>74500</v>
      </c>
      <c r="U168" s="81">
        <f>IF(AND(TabelaClean[[#This Row],[analise_risco]]="Arriscado",TabelaClean[[#This Row],[analise_credito]]="Reprovado"),0,IF(TabelaClean[[#This Row],[status]]="Ativo",TabelaClean[[#This Row],[valor_solicitado]]*1.08,0))</f>
        <v>80460</v>
      </c>
      <c r="W168" s="1"/>
      <c r="Y168" t="s">
        <v>809</v>
      </c>
      <c r="Z168" t="str">
        <f t="shared" si="2"/>
        <v>Null</v>
      </c>
      <c r="AE168" t="s">
        <v>266</v>
      </c>
      <c r="AF168" t="str">
        <f>TEXT(AE168,"000\.000\.000\-00")</f>
        <v>000.000.133-00</v>
      </c>
      <c r="AH168" s="15" t="s">
        <v>83</v>
      </c>
      <c r="AJ168" s="22">
        <v>2500</v>
      </c>
      <c r="AK168">
        <v>2500</v>
      </c>
      <c r="AM168" s="21">
        <v>72500</v>
      </c>
      <c r="AN168">
        <v>72500</v>
      </c>
      <c r="AO168">
        <v>72500</v>
      </c>
      <c r="AQ168" t="s">
        <v>127</v>
      </c>
      <c r="AZ168" s="38" t="s">
        <v>682</v>
      </c>
      <c r="BA168" t="s">
        <v>127</v>
      </c>
      <c r="BB168" s="26">
        <v>6400</v>
      </c>
      <c r="BC168" s="81">
        <f>IF(AND(TabelaClean[[#This Row],[analise_risco]]="Arriscado",TabelaClean[[#This Row],[analise_credito]]="Reprovado"),0,IF(TabelaClean[[#This Row],[status]]="Ativo",TabelaClean[[#This Row],[valor_solicitado]]*1.08,0))</f>
        <v>80460</v>
      </c>
    </row>
    <row r="169" spans="1:55">
      <c r="A169" s="24" t="s">
        <v>76</v>
      </c>
      <c r="B169" s="17" t="s">
        <v>763</v>
      </c>
      <c r="C169" s="25" t="s">
        <v>764</v>
      </c>
      <c r="D169" s="54" t="s">
        <v>809</v>
      </c>
      <c r="E169" s="30">
        <v>35600</v>
      </c>
      <c r="F169" s="24" t="str">
        <f>TabelaClean[[#This Row],[CidadeCPF]]</f>
        <v>Harrenhal</v>
      </c>
      <c r="G169" s="17" t="str">
        <f>TabelaClean[[#This Row],[RegiaoCPF]]</f>
        <v>Terras Fluviais</v>
      </c>
      <c r="H169" s="17" t="str">
        <f>_xlfn.XLOOKUP(TabelaClean[[#This Row],[cpf]],TabelaDirty[cpfclean],TabelaDirty[cidade])</f>
        <v>Harrenhal</v>
      </c>
      <c r="I169" s="17" t="str">
        <f>_xlfn.XLOOKUP(TabelaClean[[#This Row],[cpf]],TabelaDirty[cpfclean],TabelaDirty[regiao])</f>
        <v>Terras Fluviais</v>
      </c>
      <c r="J169" s="17" t="str">
        <f>PROPER(TabelaClean[[#This Row],[Coluna1]])</f>
        <v>Terras Fluviais</v>
      </c>
      <c r="K169" s="17" t="e">
        <f>_xlfn.TEXTBEFORE(TabelaClean[[#This Row],[CidadeCPF]]," | ")</f>
        <v>#N/A</v>
      </c>
      <c r="L169" s="24" t="e">
        <f>_xlfn.TEXTAFTER(TabelaClean[[#This Row],[CidadeCPF]]," | ")</f>
        <v>#N/A</v>
      </c>
      <c r="M169" s="26">
        <v>9600</v>
      </c>
      <c r="N169" s="78">
        <v>41000</v>
      </c>
      <c r="O169" s="1" t="s">
        <v>50</v>
      </c>
      <c r="P16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69" s="84">
        <v>27</v>
      </c>
      <c r="R169" s="1" t="str" cm="1">
        <f t="array" ref="R169">_xlfn.IFS(TabelaClean[[#This Row],[qtde_batalhas]]&lt;=10,"Baixo",TabelaClean[[#This Row],[qtde_batalhas]]&gt;=26,"Alto",TabelaClean[[#This Row],[qtde_batalhas]]&lt;26,"Médio")</f>
        <v>Alto</v>
      </c>
      <c r="S169" s="1" t="str">
        <f>IF(AND(TabelaClean[[#This Row],[nivel_risco]]="Alto",TabelaClean[[#This Row],[flag_inadimplente]]="Sim"),"Arriscado","Ok")</f>
        <v>Ok</v>
      </c>
      <c r="T169" s="26">
        <v>25000</v>
      </c>
      <c r="U169" s="81">
        <f>IF(AND(TabelaClean[[#This Row],[analise_risco]]="Arriscado",TabelaClean[[#This Row],[analise_credito]]="Reprovado"),0,IF(TabelaClean[[#This Row],[status]]="Ativo",TabelaClean[[#This Row],[valor_solicitado]]*1.08,0))</f>
        <v>27000</v>
      </c>
      <c r="W169" s="1"/>
      <c r="Y169" t="s">
        <v>809</v>
      </c>
      <c r="Z169" t="str">
        <f t="shared" si="2"/>
        <v>Null</v>
      </c>
      <c r="AE169" t="s">
        <v>774</v>
      </c>
      <c r="AF169" t="str">
        <f>TEXT(AE169,"000\.000\.000\-00")</f>
        <v>000.000.134-00</v>
      </c>
      <c r="AH169" s="15" t="s">
        <v>103</v>
      </c>
      <c r="AJ169" s="22">
        <v>22600</v>
      </c>
      <c r="AK169">
        <v>22600</v>
      </c>
      <c r="AM169" s="20">
        <v>58000</v>
      </c>
      <c r="AN169">
        <v>58000</v>
      </c>
      <c r="AO169">
        <v>58000</v>
      </c>
      <c r="AQ169" t="s">
        <v>141</v>
      </c>
      <c r="AZ169" s="39" t="s">
        <v>175</v>
      </c>
      <c r="BA169" t="s">
        <v>141</v>
      </c>
      <c r="BB169" s="26">
        <v>9600</v>
      </c>
      <c r="BC169" s="81">
        <f>IF(AND(TabelaClean[[#This Row],[analise_risco]]="Arriscado",TabelaClean[[#This Row],[analise_credito]]="Reprovado"),0,IF(TabelaClean[[#This Row],[status]]="Ativo",TabelaClean[[#This Row],[valor_solicitado]]*1.08,0))</f>
        <v>27000</v>
      </c>
    </row>
    <row r="170" spans="1:55">
      <c r="A170" s="24" t="s">
        <v>76</v>
      </c>
      <c r="B170" s="17" t="s">
        <v>911</v>
      </c>
      <c r="C170" s="25" t="s">
        <v>529</v>
      </c>
      <c r="D170" s="54">
        <v>25</v>
      </c>
      <c r="E170" s="30">
        <v>36824</v>
      </c>
      <c r="F170" s="24" t="str">
        <f>TabelaClean[[#This Row],[CidadeCPF]]</f>
        <v>Castelo Negro</v>
      </c>
      <c r="G170" s="17" t="str">
        <f>TabelaClean[[#This Row],[RegiaoCPF]]</f>
        <v>Norte</v>
      </c>
      <c r="H170" s="17" t="str">
        <f>_xlfn.XLOOKUP(TabelaClean[[#This Row],[cpf]],TabelaDirty[cpfclean],TabelaDirty[cidade])</f>
        <v>Castelo Negro</v>
      </c>
      <c r="I170" s="17" t="str">
        <f>_xlfn.XLOOKUP(TabelaClean[[#This Row],[cpf]],TabelaDirty[cpfclean],TabelaDirty[regiao])</f>
        <v>Norte</v>
      </c>
      <c r="J170" s="17" t="str">
        <f>PROPER(TabelaClean[[#This Row],[Coluna1]])</f>
        <v>Norte</v>
      </c>
      <c r="K170" s="17" t="e">
        <f>_xlfn.TEXTBEFORE(TabelaClean[[#This Row],[CidadeCPF]]," | ")</f>
        <v>#N/A</v>
      </c>
      <c r="L170" s="24" t="e">
        <f>_xlfn.TEXTAFTER(TabelaClean[[#This Row],[CidadeCPF]]," | ")</f>
        <v>#N/A</v>
      </c>
      <c r="M170" s="26">
        <v>18300</v>
      </c>
      <c r="N170" s="78">
        <v>41000</v>
      </c>
      <c r="O170" s="1" t="s">
        <v>50</v>
      </c>
      <c r="P17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0" s="84">
        <v>9</v>
      </c>
      <c r="R170" s="1" t="str" cm="1">
        <f t="array" ref="R170">_xlfn.IFS(TabelaClean[[#This Row],[qtde_batalhas]]&lt;=10,"Baixo",TabelaClean[[#This Row],[qtde_batalhas]]&gt;=26,"Alto",TabelaClean[[#This Row],[qtde_batalhas]]&lt;26,"Médio")</f>
        <v>Baixo</v>
      </c>
      <c r="S170" s="1" t="str">
        <f>IF(AND(TabelaClean[[#This Row],[nivel_risco]]="Alto",TabelaClean[[#This Row],[flag_inadimplente]]="Sim"),"Arriscado","Ok")</f>
        <v>Ok</v>
      </c>
      <c r="T170" s="26">
        <v>32500</v>
      </c>
      <c r="U170" s="81">
        <f>IF(AND(TabelaClean[[#This Row],[analise_risco]]="Arriscado",TabelaClean[[#This Row],[analise_credito]]="Reprovado"),0,IF(TabelaClean[[#This Row],[status]]="Ativo",TabelaClean[[#This Row],[valor_solicitado]]*1.08,0))</f>
        <v>35100</v>
      </c>
      <c r="W170" s="1"/>
      <c r="Y170" t="s">
        <v>809</v>
      </c>
      <c r="Z170" t="str">
        <f t="shared" si="2"/>
        <v>Null</v>
      </c>
      <c r="AE170" t="s">
        <v>278</v>
      </c>
      <c r="AF170" t="str">
        <f>TEXT(AE170,"000\.000\.000\-00")</f>
        <v>000.000.135-00</v>
      </c>
      <c r="AH170" s="15" t="s">
        <v>89</v>
      </c>
      <c r="AJ170" s="22">
        <v>23900</v>
      </c>
      <c r="AK170">
        <v>23900</v>
      </c>
      <c r="AM170" s="21">
        <v>58000</v>
      </c>
      <c r="AN170">
        <v>58000</v>
      </c>
      <c r="AO170">
        <v>58000</v>
      </c>
      <c r="AQ170" t="s">
        <v>223</v>
      </c>
      <c r="AZ170" s="38" t="s">
        <v>716</v>
      </c>
      <c r="BA170" t="s">
        <v>223</v>
      </c>
      <c r="BB170" s="26">
        <v>18300</v>
      </c>
      <c r="BC170" s="81">
        <f>IF(AND(TabelaClean[[#This Row],[analise_risco]]="Arriscado",TabelaClean[[#This Row],[analise_credito]]="Reprovado"),0,IF(TabelaClean[[#This Row],[status]]="Ativo",TabelaClean[[#This Row],[valor_solicitado]]*1.08,0))</f>
        <v>35100</v>
      </c>
    </row>
    <row r="171" spans="1:55">
      <c r="A171" s="24" t="s">
        <v>76</v>
      </c>
      <c r="B171" s="17" t="s">
        <v>912</v>
      </c>
      <c r="C171" t="str">
        <f>_xlfn.XLOOKUP(TabelaClean[[#This Row],[nome]],Base_Dirty!$B:$B,Base_Dirty!D:D)</f>
        <v>000.000.000-00</v>
      </c>
      <c r="D171" s="54">
        <f>_xlfn.XLOOKUP(TabelaClean[[#This Row],[nome]],Base_Dirty!B:B,Base_Dirty!E:E)</f>
        <v>24</v>
      </c>
      <c r="E171" s="51">
        <f>_xlfn.XLOOKUP(TabelaClean[[#This Row],[nome]],Base_Dirty!$B:$B,Base_Dirty!F:F)</f>
        <v>0</v>
      </c>
      <c r="F171" s="17" t="s">
        <v>89</v>
      </c>
      <c r="G171" s="17" t="s">
        <v>90</v>
      </c>
      <c r="H171" s="24" t="s">
        <v>413</v>
      </c>
      <c r="I171" s="24">
        <v>17000</v>
      </c>
      <c r="J171" s="24">
        <v>41000</v>
      </c>
      <c r="K171" s="24" t="s">
        <v>50</v>
      </c>
      <c r="L171" s="24">
        <v>37</v>
      </c>
      <c r="M171" s="23">
        <f>_xlfn.XLOOKUP(TabelaClean[[#This Row],[nome]],Base_Dirty!$B:$B,Base_Dirty!I:I)</f>
        <v>17000</v>
      </c>
      <c r="N171" s="78">
        <f>_xlfn.XLOOKUP(TabelaClean[[#This Row],[nome]],Base_Dirty!$B:$B,Base_Dirty!J:J)</f>
        <v>41000</v>
      </c>
      <c r="O171" s="79" t="s">
        <v>50</v>
      </c>
      <c r="P17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1" s="84">
        <f>_xlfn.XLOOKUP(TabelaClean[[#This Row],[nome]],Base_Dirty!$B:$B,Base_Dirty!L:L)</f>
        <v>37</v>
      </c>
      <c r="R171" s="76" t="str" cm="1">
        <f t="array" ref="R171">_xlfn.IFS(TabelaClean[[#This Row],[qtde_batalhas]]&lt;=10,"Baixo",TabelaClean[[#This Row],[qtde_batalhas]]&gt;=26,"Alto",TabelaClean[[#This Row],[qtde_batalhas]]&lt;26,"Médio")</f>
        <v>Alto</v>
      </c>
      <c r="S171" s="76" t="str">
        <f>IF(AND(TabelaClean[[#This Row],[nivel_risco]]="Alto",TabelaClean[[#This Row],[flag_inadimplente]]="Sim"),"Arriscado","Ok")</f>
        <v>Ok</v>
      </c>
      <c r="T171" s="26">
        <f>_xlfn.XLOOKUP(TabelaClean[[#This Row],[nome]],Base_Dirty!$B:$B,Base_Dirty!O:O)</f>
        <v>33000</v>
      </c>
      <c r="U171" s="81">
        <f>IF(AND(TabelaClean[[#This Row],[analise_risco]]="Arriscado",TabelaClean[[#This Row],[analise_credito]]="Reprovado"),0,IF(TabelaClean[[#This Row],[status]]="Ativo",TabelaClean[[#This Row],[valor_solicitado]]*1.08,0))</f>
        <v>35640</v>
      </c>
      <c r="W171" s="1"/>
      <c r="Y171" t="s">
        <v>139</v>
      </c>
      <c r="Z171" t="str">
        <f t="shared" si="2"/>
        <v>Terras Fluviais</v>
      </c>
      <c r="AE171" t="s">
        <v>275</v>
      </c>
      <c r="AF171" t="str">
        <f>TEXT(AE171,"000\.000\.000\-00")</f>
        <v>000.000.136-00</v>
      </c>
      <c r="AH171" s="15" t="s">
        <v>223</v>
      </c>
      <c r="AJ171" s="22">
        <v>16200</v>
      </c>
      <c r="AK171">
        <v>16200</v>
      </c>
      <c r="AM171" s="20">
        <v>25000</v>
      </c>
      <c r="AN171">
        <v>25000</v>
      </c>
      <c r="AO171">
        <v>25000</v>
      </c>
      <c r="AQ171" t="s">
        <v>83</v>
      </c>
      <c r="AZ171" s="39" t="s">
        <v>419</v>
      </c>
      <c r="BA171" t="s">
        <v>83</v>
      </c>
      <c r="BB171" s="23">
        <f>_xlfn.XLOOKUP(TabelaClean[[#This Row],[nome]],Base_Dirty!$B:$B,Base_Dirty!AX:AX)</f>
        <v>0</v>
      </c>
      <c r="BC171" s="81">
        <f>IF(AND(TabelaClean[[#This Row],[analise_risco]]="Arriscado",TabelaClean[[#This Row],[analise_credito]]="Reprovado"),0,IF(TabelaClean[[#This Row],[status]]="Ativo",TabelaClean[[#This Row],[valor_solicitado]]*1.08,0))</f>
        <v>35640</v>
      </c>
    </row>
    <row r="172" spans="1:55">
      <c r="A172" s="24" t="s">
        <v>76</v>
      </c>
      <c r="B172" s="17" t="s">
        <v>392</v>
      </c>
      <c r="C172" s="25" t="s">
        <v>393</v>
      </c>
      <c r="D172" s="54">
        <v>69</v>
      </c>
      <c r="E172" s="30">
        <v>21051</v>
      </c>
      <c r="F172" s="24" t="str">
        <f>TabelaClean[[#This Row],[CidadeCPF]]</f>
        <v>Ponta Tempestade</v>
      </c>
      <c r="G172" s="17" t="str">
        <f>TabelaClean[[#This Row],[RegiaoCPF]]</f>
        <v>Terras Da Tempestade</v>
      </c>
      <c r="H172" s="17" t="str">
        <f>_xlfn.XLOOKUP(TabelaClean[[#This Row],[cpf]],TabelaDirty[cpfclean],TabelaDirty[cidade])</f>
        <v>Ponta Tempestade</v>
      </c>
      <c r="I172" s="17" t="str">
        <f>_xlfn.XLOOKUP(TabelaClean[[#This Row],[cpf]],TabelaDirty[cpfclean],TabelaDirty[regiao])</f>
        <v>Terras da Tempestade</v>
      </c>
      <c r="J172" s="17" t="str">
        <f>PROPER(TabelaClean[[#This Row],[Coluna1]])</f>
        <v>Terras Da Tempestade</v>
      </c>
      <c r="K172" s="17" t="e">
        <f>_xlfn.TEXTBEFORE(TabelaClean[[#This Row],[CidadeCPF]]," | ")</f>
        <v>#N/A</v>
      </c>
      <c r="L172" s="24" t="e">
        <f>_xlfn.TEXTAFTER(TabelaClean[[#This Row],[CidadeCPF]]," | ")</f>
        <v>#N/A</v>
      </c>
      <c r="M172" s="26">
        <v>25100</v>
      </c>
      <c r="N172" s="78">
        <v>40500</v>
      </c>
      <c r="O172" s="1" t="s">
        <v>50</v>
      </c>
      <c r="P17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2" s="84">
        <v>43</v>
      </c>
      <c r="R172" s="1" t="str" cm="1">
        <f t="array" ref="R172">_xlfn.IFS(TabelaClean[[#This Row],[qtde_batalhas]]&lt;=10,"Baixo",TabelaClean[[#This Row],[qtde_batalhas]]&gt;=26,"Alto",TabelaClean[[#This Row],[qtde_batalhas]]&lt;26,"Médio")</f>
        <v>Alto</v>
      </c>
      <c r="S172" s="1" t="str">
        <f>IF(AND(TabelaClean[[#This Row],[nivel_risco]]="Alto",TabelaClean[[#This Row],[flag_inadimplente]]="Sim"),"Arriscado","Ok")</f>
        <v>Ok</v>
      </c>
      <c r="T172" s="26">
        <v>24500</v>
      </c>
      <c r="U172" s="81">
        <f>IF(AND(TabelaClean[[#This Row],[analise_risco]]="Arriscado",TabelaClean[[#This Row],[analise_credito]]="Reprovado"),0,IF(TabelaClean[[#This Row],[status]]="Ativo",TabelaClean[[#This Row],[valor_solicitado]]*1.08,0))</f>
        <v>26460</v>
      </c>
      <c r="W172" s="1"/>
      <c r="Y172" t="s">
        <v>809</v>
      </c>
      <c r="Z172" t="str">
        <f t="shared" si="2"/>
        <v>Null</v>
      </c>
      <c r="AE172" t="s">
        <v>286</v>
      </c>
      <c r="AF172" t="str">
        <f>TEXT(AE172,"000\.000\.000\-00")</f>
        <v>000.000.138-00</v>
      </c>
      <c r="AH172" s="15" t="s">
        <v>127</v>
      </c>
      <c r="AJ172" s="22">
        <v>16800</v>
      </c>
      <c r="AK172">
        <v>16800</v>
      </c>
      <c r="AM172" s="21">
        <v>0</v>
      </c>
      <c r="AN172">
        <v>0</v>
      </c>
      <c r="AO172">
        <v>0</v>
      </c>
      <c r="AQ172" t="s">
        <v>83</v>
      </c>
      <c r="AZ172" s="38" t="s">
        <v>130</v>
      </c>
      <c r="BA172" t="s">
        <v>83</v>
      </c>
      <c r="BB172" s="26">
        <v>25100</v>
      </c>
      <c r="BC172" s="81">
        <f>IF(AND(TabelaClean[[#This Row],[analise_risco]]="Arriscado",TabelaClean[[#This Row],[analise_credito]]="Reprovado"),0,IF(TabelaClean[[#This Row],[status]]="Ativo",TabelaClean[[#This Row],[valor_solicitado]]*1.08,0))</f>
        <v>26460</v>
      </c>
    </row>
    <row r="173" spans="1:55">
      <c r="A173" s="24" t="s">
        <v>76</v>
      </c>
      <c r="B173" s="17" t="s">
        <v>227</v>
      </c>
      <c r="C173" s="25" t="s">
        <v>913</v>
      </c>
      <c r="D173" s="54">
        <v>73</v>
      </c>
      <c r="E173" s="30">
        <v>19588</v>
      </c>
      <c r="F173" s="24" t="str">
        <f>TabelaClean[[#This Row],[CidadeCPF]]</f>
        <v>Fosso Cailin</v>
      </c>
      <c r="G173" s="17" t="str">
        <f>TabelaClean[[#This Row],[RegiaoCPF]]</f>
        <v>Norte</v>
      </c>
      <c r="H173" s="17" t="str">
        <f>_xlfn.XLOOKUP(TabelaClean[[#This Row],[cpf]],TabelaDirty[cpfclean],TabelaDirty[cidade])</f>
        <v>Fosso Cailin</v>
      </c>
      <c r="I173" s="17" t="str">
        <f>_xlfn.XLOOKUP(TabelaClean[[#This Row],[cpf]],TabelaDirty[cpfclean],TabelaDirty[regiao])</f>
        <v>Norte</v>
      </c>
      <c r="J173" s="17" t="str">
        <f>PROPER(TabelaClean[[#This Row],[Coluna1]])</f>
        <v>Norte</v>
      </c>
      <c r="K173" s="17" t="e">
        <f>_xlfn.TEXTBEFORE(TabelaClean[[#This Row],[CidadeCPF]]," | ")</f>
        <v>#N/A</v>
      </c>
      <c r="L173" s="24" t="e">
        <f>_xlfn.TEXTAFTER(TabelaClean[[#This Row],[CidadeCPF]]," | ")</f>
        <v>#N/A</v>
      </c>
      <c r="M173" s="26">
        <v>28600</v>
      </c>
      <c r="N173" s="78">
        <v>40500</v>
      </c>
      <c r="O173" s="1" t="s">
        <v>50</v>
      </c>
      <c r="P17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3" s="84">
        <v>20</v>
      </c>
      <c r="R173" s="1" t="str" cm="1">
        <f t="array" ref="R173">_xlfn.IFS(TabelaClean[[#This Row],[qtde_batalhas]]&lt;=10,"Baixo",TabelaClean[[#This Row],[qtde_batalhas]]&gt;=26,"Alto",TabelaClean[[#This Row],[qtde_batalhas]]&lt;26,"Médio")</f>
        <v>Médio</v>
      </c>
      <c r="S173" s="1" t="str">
        <f>IF(AND(TabelaClean[[#This Row],[nivel_risco]]="Alto",TabelaClean[[#This Row],[flag_inadimplente]]="Sim"),"Arriscado","Ok")</f>
        <v>Ok</v>
      </c>
      <c r="T173" s="26">
        <v>2500</v>
      </c>
      <c r="U173" s="81">
        <f>IF(AND(TabelaClean[[#This Row],[analise_risco]]="Arriscado",TabelaClean[[#This Row],[analise_credito]]="Reprovado"),0,IF(TabelaClean[[#This Row],[status]]="Ativo",TabelaClean[[#This Row],[valor_solicitado]]*1.08,0))</f>
        <v>2700</v>
      </c>
      <c r="W173" s="1"/>
      <c r="Y173" t="s">
        <v>84</v>
      </c>
      <c r="Z173" t="str">
        <f t="shared" si="2"/>
        <v>Terras Da Tempestade</v>
      </c>
      <c r="AE173" t="s">
        <v>307</v>
      </c>
      <c r="AF173" t="str">
        <f>TEXT(AE173,"000\.000\.000\-00")</f>
        <v>000.000.139-00</v>
      </c>
      <c r="AH173" s="15" t="s">
        <v>148</v>
      </c>
      <c r="AJ173" s="22">
        <v>9200</v>
      </c>
      <c r="AK173">
        <v>9200</v>
      </c>
      <c r="AM173" s="20">
        <v>5000</v>
      </c>
      <c r="AN173">
        <v>5000</v>
      </c>
      <c r="AO173">
        <v>5000</v>
      </c>
      <c r="AQ173" t="s">
        <v>242</v>
      </c>
      <c r="AZ173" s="39" t="s">
        <v>628</v>
      </c>
      <c r="BA173" t="s">
        <v>242</v>
      </c>
      <c r="BB173" s="26">
        <v>28600</v>
      </c>
      <c r="BC173" s="81">
        <f>IF(AND(TabelaClean[[#This Row],[analise_risco]]="Arriscado",TabelaClean[[#This Row],[analise_credito]]="Reprovado"),0,IF(TabelaClean[[#This Row],[status]]="Ativo",TabelaClean[[#This Row],[valor_solicitado]]*1.08,0))</f>
        <v>2700</v>
      </c>
    </row>
    <row r="174" spans="1:55">
      <c r="A174" s="24" t="s">
        <v>76</v>
      </c>
      <c r="B174" s="17" t="s">
        <v>587</v>
      </c>
      <c r="C174" s="25" t="s">
        <v>588</v>
      </c>
      <c r="D174" s="54">
        <v>70</v>
      </c>
      <c r="E174" s="30">
        <v>20533</v>
      </c>
      <c r="F174" s="24" t="str">
        <f>TabelaClean[[#This Row],[CidadeCPF]]</f>
        <v>Atalaia da Água Cinzenta</v>
      </c>
      <c r="G174" s="17" t="str">
        <f>TabelaClean[[#This Row],[RegiaoCPF]]</f>
        <v>Gargalo</v>
      </c>
      <c r="H174" s="17" t="str">
        <f>_xlfn.XLOOKUP(TabelaClean[[#This Row],[cpf]],TabelaDirty[cpfclean],TabelaDirty[cidade])</f>
        <v>Atalaia da Água Cinzenta</v>
      </c>
      <c r="I174" s="17" t="str">
        <f>_xlfn.XLOOKUP(TabelaClean[[#This Row],[cpf]],TabelaDirty[cpfclean],TabelaDirty[regiao])</f>
        <v>Gargalo</v>
      </c>
      <c r="J174" s="17" t="str">
        <f>PROPER(TabelaClean[[#This Row],[Coluna1]])</f>
        <v>Gargalo</v>
      </c>
      <c r="K174" s="17" t="e">
        <f>_xlfn.TEXTBEFORE(TabelaClean[[#This Row],[CidadeCPF]]," | ")</f>
        <v>#N/A</v>
      </c>
      <c r="L174" s="24" t="e">
        <f>_xlfn.TEXTAFTER(TabelaClean[[#This Row],[CidadeCPF]]," | ")</f>
        <v>#N/A</v>
      </c>
      <c r="M174" s="26">
        <v>9100</v>
      </c>
      <c r="N174" s="78">
        <v>40500</v>
      </c>
      <c r="O174" s="1" t="s">
        <v>50</v>
      </c>
      <c r="P17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4" s="84">
        <v>35</v>
      </c>
      <c r="R174" s="1" t="str" cm="1">
        <f t="array" ref="R174">_xlfn.IFS(TabelaClean[[#This Row],[qtde_batalhas]]&lt;=10,"Baixo",TabelaClean[[#This Row],[qtde_batalhas]]&gt;=26,"Alto",TabelaClean[[#This Row],[qtde_batalhas]]&lt;26,"Médio")</f>
        <v>Alto</v>
      </c>
      <c r="S174" s="1" t="str">
        <f>IF(AND(TabelaClean[[#This Row],[nivel_risco]]="Alto",TabelaClean[[#This Row],[flag_inadimplente]]="Sim"),"Arriscado","Ok")</f>
        <v>Ok</v>
      </c>
      <c r="T174" s="26">
        <v>53000</v>
      </c>
      <c r="U174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  <c r="W174" s="1"/>
      <c r="Y174" t="s">
        <v>809</v>
      </c>
      <c r="Z174" t="str">
        <f t="shared" si="2"/>
        <v>Null</v>
      </c>
      <c r="AE174" t="s">
        <v>387</v>
      </c>
      <c r="AF174" t="str">
        <f>TEXT(AE174,"000\.000\.000\-00")</f>
        <v>000.000.141-00</v>
      </c>
      <c r="AH174" s="15" t="s">
        <v>103</v>
      </c>
      <c r="AJ174" s="22">
        <v>8000</v>
      </c>
      <c r="AK174">
        <v>8000</v>
      </c>
      <c r="AM174" s="21">
        <v>14500</v>
      </c>
      <c r="AN174">
        <v>14500</v>
      </c>
      <c r="AO174">
        <v>14500</v>
      </c>
      <c r="AQ174" t="s">
        <v>183</v>
      </c>
      <c r="AZ174" s="38" t="s">
        <v>617</v>
      </c>
      <c r="BA174" t="s">
        <v>183</v>
      </c>
      <c r="BB174" s="26">
        <v>9100</v>
      </c>
      <c r="BC174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</row>
    <row r="175" spans="1:55">
      <c r="A175" s="29" t="s">
        <v>809</v>
      </c>
      <c r="B175" s="17" t="s">
        <v>452</v>
      </c>
      <c r="C175" s="25" t="s">
        <v>453</v>
      </c>
      <c r="D175" s="54">
        <v>61</v>
      </c>
      <c r="E175" s="30">
        <v>23813</v>
      </c>
      <c r="F175" s="24" t="str">
        <f>TabelaClean[[#This Row],[CidadeCPF]]</f>
        <v>Braavos</v>
      </c>
      <c r="G175" s="17" t="str">
        <f>TabelaClean[[#This Row],[RegiaoCPF]]</f>
        <v>Essos</v>
      </c>
      <c r="H175" s="17" t="str">
        <f>_xlfn.XLOOKUP(TabelaClean[[#This Row],[cpf]],TabelaDirty[cpfclean],TabelaDirty[cidade])</f>
        <v>Braavos</v>
      </c>
      <c r="I175" s="17" t="str">
        <f>_xlfn.XLOOKUP(TabelaClean[[#This Row],[cpf]],TabelaDirty[cpfclean],TabelaDirty[regiao])</f>
        <v>Essos</v>
      </c>
      <c r="J175" s="17" t="str">
        <f>PROPER(TabelaClean[[#This Row],[Coluna1]])</f>
        <v>Essos</v>
      </c>
      <c r="K175" s="17" t="e">
        <f>_xlfn.TEXTBEFORE(TabelaClean[[#This Row],[CidadeCPF]]," | ")</f>
        <v>#N/A</v>
      </c>
      <c r="L175" s="24" t="e">
        <f>_xlfn.TEXTAFTER(TabelaClean[[#This Row],[CidadeCPF]]," | ")</f>
        <v>#N/A</v>
      </c>
      <c r="M175" s="26">
        <v>26300</v>
      </c>
      <c r="N175" s="78">
        <v>40000</v>
      </c>
      <c r="O175" s="1" t="s">
        <v>51</v>
      </c>
      <c r="P17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5" s="84">
        <v>10</v>
      </c>
      <c r="R175" s="1" t="str" cm="1">
        <f t="array" ref="R175">_xlfn.IFS(TabelaClean[[#This Row],[qtde_batalhas]]&lt;=10,"Baixo",TabelaClean[[#This Row],[qtde_batalhas]]&gt;=26,"Alto",TabelaClean[[#This Row],[qtde_batalhas]]&lt;26,"Médio")</f>
        <v>Baixo</v>
      </c>
      <c r="S175" s="1" t="str">
        <f>IF(AND(TabelaClean[[#This Row],[nivel_risco]]="Alto",TabelaClean[[#This Row],[flag_inadimplente]]="Sim"),"Arriscado","Ok")</f>
        <v>Ok</v>
      </c>
      <c r="T175" s="26">
        <v>16500</v>
      </c>
      <c r="U17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75" s="1"/>
      <c r="Y175" t="s">
        <v>809</v>
      </c>
      <c r="Z175" t="str">
        <f t="shared" si="2"/>
        <v>Null</v>
      </c>
      <c r="AE175" t="s">
        <v>495</v>
      </c>
      <c r="AF175" t="str">
        <f>TEXT(AE175,"000\.000\.000\-00")</f>
        <v>000.000.143-00</v>
      </c>
      <c r="AH175" s="15" t="s">
        <v>103</v>
      </c>
      <c r="AJ175" s="22">
        <v>29500</v>
      </c>
      <c r="AK175">
        <v>29500</v>
      </c>
      <c r="AM175" s="20">
        <v>5000</v>
      </c>
      <c r="AN175">
        <v>5000</v>
      </c>
      <c r="AO175">
        <v>5000</v>
      </c>
      <c r="AQ175" t="s">
        <v>154</v>
      </c>
      <c r="AZ175" s="39" t="s">
        <v>595</v>
      </c>
      <c r="BA175" t="s">
        <v>154</v>
      </c>
      <c r="BB175" s="26">
        <v>26300</v>
      </c>
      <c r="BC17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76" spans="1:55">
      <c r="A176" s="24" t="s">
        <v>81</v>
      </c>
      <c r="B176" s="17" t="s">
        <v>503</v>
      </c>
      <c r="C176" s="25" t="s">
        <v>504</v>
      </c>
      <c r="D176" s="54">
        <v>58</v>
      </c>
      <c r="E176" s="30">
        <v>24726</v>
      </c>
      <c r="F176" s="24" t="str">
        <f>TabelaClean[[#This Row],[CidadeCPF]]</f>
        <v>Meereen</v>
      </c>
      <c r="G176" s="17" t="str">
        <f>TabelaClean[[#This Row],[RegiaoCPF]]</f>
        <v>Essos</v>
      </c>
      <c r="H176" s="17" t="str">
        <f>_xlfn.XLOOKUP(TabelaClean[[#This Row],[cpf]],TabelaDirty[cpfclean],TabelaDirty[cidade])</f>
        <v>Meereen</v>
      </c>
      <c r="I176" s="17" t="str">
        <f>_xlfn.XLOOKUP(TabelaClean[[#This Row],[cpf]],TabelaDirty[cpfclean],TabelaDirty[regiao])</f>
        <v>Essos</v>
      </c>
      <c r="J176" s="17" t="str">
        <f>PROPER(TabelaClean[[#This Row],[Coluna1]])</f>
        <v>Essos</v>
      </c>
      <c r="K176" s="17" t="e">
        <f>_xlfn.TEXTBEFORE(TabelaClean[[#This Row],[CidadeCPF]]," | ")</f>
        <v>#N/A</v>
      </c>
      <c r="L176" s="24" t="e">
        <f>_xlfn.TEXTAFTER(TabelaClean[[#This Row],[CidadeCPF]]," | ")</f>
        <v>#N/A</v>
      </c>
      <c r="M176" s="26">
        <v>20100</v>
      </c>
      <c r="N176" s="78">
        <v>40000</v>
      </c>
      <c r="O176" s="1" t="s">
        <v>50</v>
      </c>
      <c r="P17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6" s="84">
        <v>16</v>
      </c>
      <c r="R176" s="1" t="str" cm="1">
        <f t="array" ref="R176">_xlfn.IFS(TabelaClean[[#This Row],[qtde_batalhas]]&lt;=10,"Baixo",TabelaClean[[#This Row],[qtde_batalhas]]&gt;=26,"Alto",TabelaClean[[#This Row],[qtde_batalhas]]&lt;26,"Médio")</f>
        <v>Médio</v>
      </c>
      <c r="S176" s="1" t="str">
        <f>IF(AND(TabelaClean[[#This Row],[nivel_risco]]="Alto",TabelaClean[[#This Row],[flag_inadimplente]]="Sim"),"Arriscado","Ok")</f>
        <v>Ok</v>
      </c>
      <c r="T176" s="26">
        <v>98500</v>
      </c>
      <c r="U17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76" s="1"/>
      <c r="Y176" t="s">
        <v>809</v>
      </c>
      <c r="Z176" t="str">
        <f t="shared" si="2"/>
        <v>Null</v>
      </c>
      <c r="AE176" t="s">
        <v>601</v>
      </c>
      <c r="AF176" t="str">
        <f>TEXT(AE176,"000\.000\.000\-00")</f>
        <v>000.000.144-00</v>
      </c>
      <c r="AH176" s="15" t="s">
        <v>183</v>
      </c>
      <c r="AJ176" s="22">
        <v>14700</v>
      </c>
      <c r="AK176">
        <v>14700</v>
      </c>
      <c r="AM176" s="21">
        <v>0</v>
      </c>
      <c r="AN176">
        <v>0</v>
      </c>
      <c r="AO176">
        <v>0</v>
      </c>
      <c r="AQ176" t="s">
        <v>127</v>
      </c>
      <c r="AZ176" s="38" t="s">
        <v>450</v>
      </c>
      <c r="BA176" t="s">
        <v>127</v>
      </c>
      <c r="BB176" s="26">
        <v>20100</v>
      </c>
      <c r="BC17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77" spans="1:55">
      <c r="A177" s="24" t="s">
        <v>76</v>
      </c>
      <c r="B177" s="17" t="s">
        <v>641</v>
      </c>
      <c r="C177" s="25" t="s">
        <v>642</v>
      </c>
      <c r="D177" s="54">
        <v>65</v>
      </c>
      <c r="E177" s="30">
        <v>22314</v>
      </c>
      <c r="F177" s="24" t="str">
        <f>TabelaClean[[#This Row],[CidadeCPF]]</f>
        <v>Ponta Tempestade</v>
      </c>
      <c r="G177" s="17" t="str">
        <f>TabelaClean[[#This Row],[RegiaoCPF]]</f>
        <v>Terras Da Tempestade</v>
      </c>
      <c r="H177" s="17" t="str">
        <f>_xlfn.XLOOKUP(TabelaClean[[#This Row],[cpf]],TabelaDirty[cpfclean],TabelaDirty[cidade])</f>
        <v>Ponta Tempestade</v>
      </c>
      <c r="I177" s="17" t="str">
        <f>_xlfn.XLOOKUP(TabelaClean[[#This Row],[cpf]],TabelaDirty[cpfclean],TabelaDirty[regiao])</f>
        <v>Terras Da Tempestade</v>
      </c>
      <c r="J177" s="17" t="str">
        <f>PROPER(TabelaClean[[#This Row],[Coluna1]])</f>
        <v>Terras Da Tempestade</v>
      </c>
      <c r="K177" s="17" t="e">
        <f>_xlfn.TEXTBEFORE(TabelaClean[[#This Row],[CidadeCPF]]," | ")</f>
        <v>#N/A</v>
      </c>
      <c r="L177" s="24" t="e">
        <f>_xlfn.TEXTAFTER(TabelaClean[[#This Row],[CidadeCPF]]," | ")</f>
        <v>#N/A</v>
      </c>
      <c r="M177" s="26">
        <v>6100</v>
      </c>
      <c r="N177" s="78">
        <v>40000</v>
      </c>
      <c r="O177" s="1" t="s">
        <v>50</v>
      </c>
      <c r="P17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7" s="84">
        <v>13</v>
      </c>
      <c r="R177" s="1" t="str" cm="1">
        <f t="array" ref="R177">_xlfn.IFS(TabelaClean[[#This Row],[qtde_batalhas]]&lt;=10,"Baixo",TabelaClean[[#This Row],[qtde_batalhas]]&gt;=26,"Alto",TabelaClean[[#This Row],[qtde_batalhas]]&lt;26,"Médio")</f>
        <v>Médio</v>
      </c>
      <c r="S177" s="1" t="str">
        <f>IF(AND(TabelaClean[[#This Row],[nivel_risco]]="Alto",TabelaClean[[#This Row],[flag_inadimplente]]="Sim"),"Arriscado","Ok")</f>
        <v>Ok</v>
      </c>
      <c r="T177" s="26">
        <v>22500</v>
      </c>
      <c r="U177" s="81">
        <f>IF(AND(TabelaClean[[#This Row],[analise_risco]]="Arriscado",TabelaClean[[#This Row],[analise_credito]]="Reprovado"),0,IF(TabelaClean[[#This Row],[status]]="Ativo",TabelaClean[[#This Row],[valor_solicitado]]*1.08,0))</f>
        <v>24300</v>
      </c>
      <c r="W177" s="1"/>
      <c r="Y177" t="s">
        <v>809</v>
      </c>
      <c r="Z177" t="str">
        <f t="shared" si="2"/>
        <v>Null</v>
      </c>
      <c r="AE177" t="s">
        <v>562</v>
      </c>
      <c r="AF177" t="str">
        <f>TEXT(AE177,"000\.000\.000\-00")</f>
        <v>000.000.146-00</v>
      </c>
      <c r="AH177" s="15" t="s">
        <v>154</v>
      </c>
      <c r="AJ177" s="22">
        <v>12200</v>
      </c>
      <c r="AK177">
        <v>12200</v>
      </c>
      <c r="AM177" s="20">
        <v>79500</v>
      </c>
      <c r="AN177">
        <v>79500</v>
      </c>
      <c r="AO177">
        <v>79500</v>
      </c>
      <c r="AQ177" t="s">
        <v>210</v>
      </c>
      <c r="AZ177" s="39" t="s">
        <v>280</v>
      </c>
      <c r="BA177" t="s">
        <v>210</v>
      </c>
      <c r="BB177" s="26">
        <v>6100</v>
      </c>
      <c r="BC177" s="81">
        <f>IF(AND(TabelaClean[[#This Row],[analise_risco]]="Arriscado",TabelaClean[[#This Row],[analise_credito]]="Reprovado"),0,IF(TabelaClean[[#This Row],[status]]="Ativo",TabelaClean[[#This Row],[valor_solicitado]]*1.08,0))</f>
        <v>24300</v>
      </c>
    </row>
    <row r="178" spans="1:55">
      <c r="A178" s="24" t="s">
        <v>76</v>
      </c>
      <c r="B178" s="17" t="s">
        <v>395</v>
      </c>
      <c r="C178" s="25" t="s">
        <v>396</v>
      </c>
      <c r="D178" s="54">
        <v>67</v>
      </c>
      <c r="E178" s="30">
        <v>21624</v>
      </c>
      <c r="F178" s="24" t="str">
        <f>TabelaClean[[#This Row],[CidadeCPF]]</f>
        <v>Winterfell</v>
      </c>
      <c r="G178" s="17" t="str">
        <f>TabelaClean[[#This Row],[RegiaoCPF]]</f>
        <v>Norte</v>
      </c>
      <c r="H178" s="17" t="str">
        <f>_xlfn.XLOOKUP(TabelaClean[[#This Row],[cpf]],TabelaDirty[cpfclean],TabelaDirty[cidade])</f>
        <v>Winterfell</v>
      </c>
      <c r="I178" s="17" t="str">
        <f>_xlfn.XLOOKUP(TabelaClean[[#This Row],[cpf]],TabelaDirty[cpfclean],TabelaDirty[regiao])</f>
        <v>NORTE</v>
      </c>
      <c r="J178" s="17" t="str">
        <f>PROPER(TabelaClean[[#This Row],[Coluna1]])</f>
        <v>Norte</v>
      </c>
      <c r="K178" s="17" t="e">
        <f>_xlfn.TEXTBEFORE(TabelaClean[[#This Row],[CidadeCPF]]," | ")</f>
        <v>#N/A</v>
      </c>
      <c r="L178" s="24" t="e">
        <f>_xlfn.TEXTAFTER(TabelaClean[[#This Row],[CidadeCPF]]," | ")</f>
        <v>#N/A</v>
      </c>
      <c r="M178" s="26">
        <v>8500</v>
      </c>
      <c r="N178" s="78">
        <v>39500</v>
      </c>
      <c r="O178" s="1" t="s">
        <v>51</v>
      </c>
      <c r="P17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8" s="84" t="s">
        <v>809</v>
      </c>
      <c r="R178" s="1" t="str" cm="1">
        <f t="array" ref="R178">_xlfn.IFS(TabelaClean[[#This Row],[qtde_batalhas]]&lt;=10,"Baixo",TabelaClean[[#This Row],[qtde_batalhas]]&gt;=26,"Alto",TabelaClean[[#This Row],[qtde_batalhas]]&lt;26,"Médio")</f>
        <v>Alto</v>
      </c>
      <c r="S178" s="1" t="str">
        <f>IF(AND(TabelaClean[[#This Row],[nivel_risco]]="Alto",TabelaClean[[#This Row],[flag_inadimplente]]="Sim"),"Arriscado","Ok")</f>
        <v>Arriscado</v>
      </c>
      <c r="T178" s="26">
        <v>42000</v>
      </c>
      <c r="U178" s="81">
        <f>IF(AND(TabelaClean[[#This Row],[analise_risco]]="Arriscado",TabelaClean[[#This Row],[analise_credito]]="Reprovado"),0,IF(TabelaClean[[#This Row],[status]]="Ativo",TabelaClean[[#This Row],[valor_solicitado]]*1.08,0))</f>
        <v>45360</v>
      </c>
      <c r="W178" s="1"/>
      <c r="Y178" t="s">
        <v>132</v>
      </c>
      <c r="Z178" t="str">
        <f t="shared" si="2"/>
        <v>Ilhas De Ferro</v>
      </c>
      <c r="AE178" t="s">
        <v>684</v>
      </c>
      <c r="AF178" t="str">
        <f>TEXT(AE178,"000\.000\.000\-00")</f>
        <v>000.000.147-00</v>
      </c>
      <c r="AH178" s="15" t="s">
        <v>141</v>
      </c>
      <c r="AJ178" s="22">
        <v>25000</v>
      </c>
      <c r="AK178">
        <v>25000</v>
      </c>
      <c r="AM178" s="21">
        <v>0</v>
      </c>
      <c r="AN178">
        <v>0</v>
      </c>
      <c r="AO178">
        <v>0</v>
      </c>
      <c r="AQ178" t="s">
        <v>242</v>
      </c>
      <c r="AZ178" s="38" t="s">
        <v>914</v>
      </c>
      <c r="BA178" t="s">
        <v>242</v>
      </c>
      <c r="BB178" s="26">
        <v>8500</v>
      </c>
      <c r="BC178" s="81">
        <f>IF(AND(TabelaClean[[#This Row],[analise_risco]]="Arriscado",TabelaClean[[#This Row],[analise_credito]]="Reprovado"),0,IF(TabelaClean[[#This Row],[status]]="Ativo",TabelaClean[[#This Row],[valor_solicitado]]*1.08,0))</f>
        <v>45360</v>
      </c>
    </row>
    <row r="179" spans="1:55">
      <c r="A179" s="24" t="s">
        <v>76</v>
      </c>
      <c r="B179" s="17" t="s">
        <v>681</v>
      </c>
      <c r="C179" s="25" t="s">
        <v>682</v>
      </c>
      <c r="D179" s="54">
        <v>28</v>
      </c>
      <c r="E179" s="30" t="s">
        <v>809</v>
      </c>
      <c r="F179" s="24" t="str">
        <f>TabelaClean[[#This Row],[CidadeCPF]]</f>
        <v>Braavos</v>
      </c>
      <c r="G179" s="17" t="str">
        <f>TabelaClean[[#This Row],[RegiaoCPF]]</f>
        <v>Essos</v>
      </c>
      <c r="H179" s="17" t="str">
        <f>_xlfn.XLOOKUP(TabelaClean[[#This Row],[cpf]],TabelaDirty[cpfclean],TabelaDirty[cidade])</f>
        <v>Braavos</v>
      </c>
      <c r="I179" s="17" t="str">
        <f>_xlfn.XLOOKUP(TabelaClean[[#This Row],[cpf]],TabelaDirty[cpfclean],TabelaDirty[regiao])</f>
        <v>Essos</v>
      </c>
      <c r="J179" s="17" t="str">
        <f>PROPER(TabelaClean[[#This Row],[Coluna1]])</f>
        <v>Essos</v>
      </c>
      <c r="K179" s="17" t="e">
        <f>_xlfn.TEXTBEFORE(TabelaClean[[#This Row],[CidadeCPF]]," | ")</f>
        <v>#N/A</v>
      </c>
      <c r="L179" s="24" t="e">
        <f>_xlfn.TEXTAFTER(TabelaClean[[#This Row],[CidadeCPF]]," | ")</f>
        <v>#N/A</v>
      </c>
      <c r="M179" s="26">
        <v>14500</v>
      </c>
      <c r="N179" s="78">
        <v>39500</v>
      </c>
      <c r="O179" s="1" t="s">
        <v>50</v>
      </c>
      <c r="P17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79" s="84">
        <v>18</v>
      </c>
      <c r="R179" s="1" t="str" cm="1">
        <f t="array" ref="R179">_xlfn.IFS(TabelaClean[[#This Row],[qtde_batalhas]]&lt;=10,"Baixo",TabelaClean[[#This Row],[qtde_batalhas]]&gt;=26,"Alto",TabelaClean[[#This Row],[qtde_batalhas]]&lt;26,"Médio")</f>
        <v>Médio</v>
      </c>
      <c r="S179" s="1" t="str">
        <f>IF(AND(TabelaClean[[#This Row],[nivel_risco]]="Alto",TabelaClean[[#This Row],[flag_inadimplente]]="Sim"),"Arriscado","Ok")</f>
        <v>Ok</v>
      </c>
      <c r="T179" s="26">
        <v>32000</v>
      </c>
      <c r="U179" s="81">
        <f>IF(AND(TabelaClean[[#This Row],[analise_risco]]="Arriscado",TabelaClean[[#This Row],[analise_credito]]="Reprovado"),0,IF(TabelaClean[[#This Row],[status]]="Ativo",TabelaClean[[#This Row],[valor_solicitado]]*1.08,0))</f>
        <v>34560</v>
      </c>
      <c r="W179" s="1"/>
      <c r="Y179" t="s">
        <v>84</v>
      </c>
      <c r="Z179" t="str">
        <f t="shared" si="2"/>
        <v>Terras Da Tempestade</v>
      </c>
      <c r="AE179" t="s">
        <v>458</v>
      </c>
      <c r="AF179" t="str">
        <f>TEXT(AE179,"000\.000\.000\-00")</f>
        <v>000.000.148-00</v>
      </c>
      <c r="AH179" s="15" t="s">
        <v>242</v>
      </c>
      <c r="AJ179" s="22" t="s">
        <v>394</v>
      </c>
      <c r="AK179">
        <v>25100</v>
      </c>
      <c r="AM179" s="20">
        <v>40500</v>
      </c>
      <c r="AN179">
        <v>40500</v>
      </c>
      <c r="AO179">
        <v>40500</v>
      </c>
      <c r="AQ179" t="s">
        <v>210</v>
      </c>
      <c r="AZ179" s="39" t="s">
        <v>462</v>
      </c>
      <c r="BA179" t="s">
        <v>210</v>
      </c>
      <c r="BB179" s="26">
        <v>14500</v>
      </c>
      <c r="BC179" s="81">
        <f>IF(AND(TabelaClean[[#This Row],[analise_risco]]="Arriscado",TabelaClean[[#This Row],[analise_credito]]="Reprovado"),0,IF(TabelaClean[[#This Row],[status]]="Ativo",TabelaClean[[#This Row],[valor_solicitado]]*1.08,0))</f>
        <v>34560</v>
      </c>
    </row>
    <row r="180" spans="1:55">
      <c r="A180" s="24" t="s">
        <v>76</v>
      </c>
      <c r="B180" s="17" t="s">
        <v>174</v>
      </c>
      <c r="C180" s="25" t="s">
        <v>175</v>
      </c>
      <c r="D180" s="54">
        <v>38</v>
      </c>
      <c r="E180" s="30">
        <v>32166</v>
      </c>
      <c r="F180" s="24" t="str">
        <f>TabelaClean[[#This Row],[CidadeCPF]]</f>
        <v>Castelo Negro</v>
      </c>
      <c r="G180" s="17" t="str">
        <f>TabelaClean[[#This Row],[RegiaoCPF]]</f>
        <v>Norte</v>
      </c>
      <c r="H180" s="17" t="str">
        <f>_xlfn.XLOOKUP(TabelaClean[[#This Row],[cpf]],TabelaDirty[cpfclean],TabelaDirty[cidade])</f>
        <v>Castelo Negro</v>
      </c>
      <c r="I180" s="17" t="str">
        <f>_xlfn.XLOOKUP(TabelaClean[[#This Row],[cpf]],TabelaDirty[cpfclean],TabelaDirty[regiao])</f>
        <v>norte</v>
      </c>
      <c r="J180" s="17" t="str">
        <f>PROPER(TabelaClean[[#This Row],[Coluna1]])</f>
        <v>Norte</v>
      </c>
      <c r="K180" s="17" t="e">
        <f>_xlfn.TEXTBEFORE(TabelaClean[[#This Row],[CidadeCPF]]," | ")</f>
        <v>#N/A</v>
      </c>
      <c r="L180" s="24" t="e">
        <f>_xlfn.TEXTAFTER(TabelaClean[[#This Row],[CidadeCPF]]," | ")</f>
        <v>#N/A</v>
      </c>
      <c r="M180" s="26">
        <v>19500</v>
      </c>
      <c r="N180" s="78">
        <v>39000</v>
      </c>
      <c r="O180" s="1" t="s">
        <v>50</v>
      </c>
      <c r="P18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0" s="84">
        <v>25</v>
      </c>
      <c r="R180" s="1" t="str" cm="1">
        <f t="array" ref="R180">_xlfn.IFS(TabelaClean[[#This Row],[qtde_batalhas]]&lt;=10,"Baixo",TabelaClean[[#This Row],[qtde_batalhas]]&gt;=26,"Alto",TabelaClean[[#This Row],[qtde_batalhas]]&lt;26,"Médio")</f>
        <v>Médio</v>
      </c>
      <c r="S180" s="1" t="str">
        <f>IF(AND(TabelaClean[[#This Row],[nivel_risco]]="Alto",TabelaClean[[#This Row],[flag_inadimplente]]="Sim"),"Arriscado","Ok")</f>
        <v>Ok</v>
      </c>
      <c r="T180" s="26">
        <v>88500</v>
      </c>
      <c r="U180" s="81">
        <f>IF(AND(TabelaClean[[#This Row],[analise_risco]]="Arriscado",TabelaClean[[#This Row],[analise_credito]]="Reprovado"),0,IF(TabelaClean[[#This Row],[status]]="Ativo",TabelaClean[[#This Row],[valor_solicitado]]*1.08,0))</f>
        <v>95580</v>
      </c>
      <c r="W180" s="1"/>
      <c r="Y180" t="s">
        <v>122</v>
      </c>
      <c r="Z180" t="str">
        <f t="shared" si="2"/>
        <v>Essos</v>
      </c>
      <c r="AE180" t="s">
        <v>748</v>
      </c>
      <c r="AF180" t="str">
        <f>TEXT(AE180,"000\.000\.000\-00")</f>
        <v>000.000.149-00</v>
      </c>
      <c r="AH180" s="15" t="s">
        <v>223</v>
      </c>
      <c r="AJ180" s="22">
        <v>14400</v>
      </c>
      <c r="AK180">
        <v>14400</v>
      </c>
      <c r="AM180" s="21">
        <v>0</v>
      </c>
      <c r="AN180">
        <v>0</v>
      </c>
      <c r="AO180">
        <v>0</v>
      </c>
      <c r="AQ180" t="s">
        <v>148</v>
      </c>
      <c r="AZ180" s="38" t="s">
        <v>212</v>
      </c>
      <c r="BA180" t="s">
        <v>148</v>
      </c>
      <c r="BB180" s="26">
        <v>19500</v>
      </c>
      <c r="BC180" s="81">
        <f>IF(AND(TabelaClean[[#This Row],[analise_risco]]="Arriscado",TabelaClean[[#This Row],[analise_credito]]="Reprovado"),0,IF(TabelaClean[[#This Row],[status]]="Ativo",TabelaClean[[#This Row],[valor_solicitado]]*1.08,0))</f>
        <v>95580</v>
      </c>
    </row>
    <row r="181" spans="1:55">
      <c r="A181" s="24" t="s">
        <v>76</v>
      </c>
      <c r="B181" s="17" t="s">
        <v>544</v>
      </c>
      <c r="C181" s="25" t="s">
        <v>545</v>
      </c>
      <c r="D181" s="54">
        <v>18</v>
      </c>
      <c r="E181" s="30">
        <v>39338</v>
      </c>
      <c r="F181" s="24" t="str">
        <f>TabelaClean[[#This Row],[CidadeCPF]]</f>
        <v>Fosso Cailin</v>
      </c>
      <c r="G181" s="17" t="str">
        <f>TabelaClean[[#This Row],[RegiaoCPF]]</f>
        <v>Norte</v>
      </c>
      <c r="H181" s="17" t="str">
        <f>_xlfn.XLOOKUP(TabelaClean[[#This Row],[cpf]],TabelaDirty[cpfclean],TabelaDirty[cidade])</f>
        <v>Fosso Cailin</v>
      </c>
      <c r="I181" s="17" t="str">
        <f>_xlfn.XLOOKUP(TabelaClean[[#This Row],[cpf]],TabelaDirty[cpfclean],TabelaDirty[regiao])</f>
        <v>NORTE</v>
      </c>
      <c r="J181" s="17" t="str">
        <f>PROPER(TabelaClean[[#This Row],[Coluna1]])</f>
        <v>Norte</v>
      </c>
      <c r="K181" s="17" t="e">
        <f>_xlfn.TEXTBEFORE(TabelaClean[[#This Row],[CidadeCPF]]," | ")</f>
        <v>#N/A</v>
      </c>
      <c r="L181" s="24" t="e">
        <f>_xlfn.TEXTAFTER(TabelaClean[[#This Row],[CidadeCPF]]," | ")</f>
        <v>#N/A</v>
      </c>
      <c r="M181" s="26">
        <v>14100</v>
      </c>
      <c r="N181" s="78">
        <v>38500</v>
      </c>
      <c r="O181" s="1" t="s">
        <v>809</v>
      </c>
      <c r="P18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1" s="84">
        <v>7</v>
      </c>
      <c r="R181" s="1" t="str" cm="1">
        <f t="array" ref="R181">_xlfn.IFS(TabelaClean[[#This Row],[qtde_batalhas]]&lt;=10,"Baixo",TabelaClean[[#This Row],[qtde_batalhas]]&gt;=26,"Alto",TabelaClean[[#This Row],[qtde_batalhas]]&lt;26,"Médio")</f>
        <v>Baixo</v>
      </c>
      <c r="S181" s="1" t="str">
        <f>IF(AND(TabelaClean[[#This Row],[nivel_risco]]="Alto",TabelaClean[[#This Row],[flag_inadimplente]]="Sim"),"Arriscado","Ok")</f>
        <v>Ok</v>
      </c>
      <c r="T181" s="26">
        <v>11000</v>
      </c>
      <c r="U181" s="81">
        <f>IF(AND(TabelaClean[[#This Row],[analise_risco]]="Arriscado",TabelaClean[[#This Row],[analise_credito]]="Reprovado"),0,IF(TabelaClean[[#This Row],[status]]="Ativo",TabelaClean[[#This Row],[valor_solicitado]]*1.08,0))</f>
        <v>11880</v>
      </c>
      <c r="W181" s="1"/>
      <c r="Y181" t="s">
        <v>809</v>
      </c>
      <c r="Z181" t="str">
        <f t="shared" si="2"/>
        <v>Null</v>
      </c>
      <c r="AE181" t="s">
        <v>393</v>
      </c>
      <c r="AF181" t="str">
        <f>TEXT(AE181,"000\.000\.000\-00")</f>
        <v>000.000.152-00</v>
      </c>
      <c r="AH181" s="15" t="s">
        <v>183</v>
      </c>
      <c r="AJ181" s="22">
        <v>18700</v>
      </c>
      <c r="AK181">
        <v>18700</v>
      </c>
      <c r="AM181" s="20">
        <v>15000</v>
      </c>
      <c r="AN181">
        <v>15000</v>
      </c>
      <c r="AO181">
        <v>15000</v>
      </c>
      <c r="AQ181" t="s">
        <v>154</v>
      </c>
      <c r="AZ181" s="39" t="s">
        <v>915</v>
      </c>
      <c r="BA181" t="s">
        <v>154</v>
      </c>
      <c r="BB181" s="26">
        <v>14100</v>
      </c>
      <c r="BC181" s="81">
        <f>IF(AND(TabelaClean[[#This Row],[analise_risco]]="Arriscado",TabelaClean[[#This Row],[analise_credito]]="Reprovado"),0,IF(TabelaClean[[#This Row],[status]]="Ativo",TabelaClean[[#This Row],[valor_solicitado]]*1.08,0))</f>
        <v>11880</v>
      </c>
    </row>
    <row r="182" spans="1:55">
      <c r="A182" s="24" t="s">
        <v>76</v>
      </c>
      <c r="B182" s="17" t="s">
        <v>715</v>
      </c>
      <c r="C182" s="25" t="s">
        <v>716</v>
      </c>
      <c r="D182" s="54">
        <v>49</v>
      </c>
      <c r="E182" s="30">
        <v>28147</v>
      </c>
      <c r="F182" s="24" t="str">
        <f>TabelaClean[[#This Row],[CidadeCPF]]</f>
        <v>Porto Real</v>
      </c>
      <c r="G182" s="17" t="str">
        <f>TabelaClean[[#This Row],[RegiaoCPF]]</f>
        <v>Terras Da Coroa</v>
      </c>
      <c r="H182" s="17" t="str">
        <f>_xlfn.XLOOKUP(TabelaClean[[#This Row],[cpf]],TabelaDirty[cpfclean],TabelaDirty[cidade])</f>
        <v>Porto Real</v>
      </c>
      <c r="I182" s="17" t="str">
        <f>_xlfn.XLOOKUP(TabelaClean[[#This Row],[cpf]],TabelaDirty[cpfclean],TabelaDirty[regiao])</f>
        <v>Terras Da Coroa</v>
      </c>
      <c r="J182" s="17" t="str">
        <f>PROPER(TabelaClean[[#This Row],[Coluna1]])</f>
        <v>Terras Da Coroa</v>
      </c>
      <c r="K182" s="17" t="e">
        <f>_xlfn.TEXTBEFORE(TabelaClean[[#This Row],[CidadeCPF]]," | ")</f>
        <v>#N/A</v>
      </c>
      <c r="L182" s="24" t="e">
        <f>_xlfn.TEXTAFTER(TabelaClean[[#This Row],[CidadeCPF]]," | ")</f>
        <v>#N/A</v>
      </c>
      <c r="M182" s="26">
        <v>28400</v>
      </c>
      <c r="N182" s="78">
        <v>38500</v>
      </c>
      <c r="O182" s="1" t="s">
        <v>50</v>
      </c>
      <c r="P18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2" s="84">
        <v>26</v>
      </c>
      <c r="R182" s="1" t="str" cm="1">
        <f t="array" ref="R182">_xlfn.IFS(TabelaClean[[#This Row],[qtde_batalhas]]&lt;=10,"Baixo",TabelaClean[[#This Row],[qtde_batalhas]]&gt;=26,"Alto",TabelaClean[[#This Row],[qtde_batalhas]]&lt;26,"Médio")</f>
        <v>Alto</v>
      </c>
      <c r="S182" s="1" t="str">
        <f>IF(AND(TabelaClean[[#This Row],[nivel_risco]]="Alto",TabelaClean[[#This Row],[flag_inadimplente]]="Sim"),"Arriscado","Ok")</f>
        <v>Ok</v>
      </c>
      <c r="T182" s="26">
        <v>51000</v>
      </c>
      <c r="U182" s="81">
        <f>IF(AND(TabelaClean[[#This Row],[analise_risco]]="Arriscado",TabelaClean[[#This Row],[analise_credito]]="Reprovado"),0,IF(TabelaClean[[#This Row],[status]]="Ativo",TabelaClean[[#This Row],[valor_solicitado]]*1.08,0))</f>
        <v>55080</v>
      </c>
      <c r="W182" s="1"/>
      <c r="Y182" t="s">
        <v>809</v>
      </c>
      <c r="Z182" t="str">
        <f t="shared" si="2"/>
        <v>Null</v>
      </c>
      <c r="AE182" t="s">
        <v>656</v>
      </c>
      <c r="AF182" t="str">
        <f>TEXT(AE182,"000\.000\.000\-00")</f>
        <v>000.000.153-00</v>
      </c>
      <c r="AH182" s="15" t="s">
        <v>154</v>
      </c>
      <c r="AJ182" s="22" t="s">
        <v>759</v>
      </c>
      <c r="AK182">
        <v>6400</v>
      </c>
      <c r="AM182" s="21">
        <v>19500</v>
      </c>
      <c r="AN182">
        <v>19500</v>
      </c>
      <c r="AO182">
        <v>19500</v>
      </c>
      <c r="AQ182" t="s">
        <v>112</v>
      </c>
      <c r="AZ182" s="38" t="s">
        <v>111</v>
      </c>
      <c r="BA182" t="s">
        <v>112</v>
      </c>
      <c r="BB182" s="26">
        <v>28400</v>
      </c>
      <c r="BC182" s="81">
        <f>IF(AND(TabelaClean[[#This Row],[analise_risco]]="Arriscado",TabelaClean[[#This Row],[analise_credito]]="Reprovado"),0,IF(TabelaClean[[#This Row],[status]]="Ativo",TabelaClean[[#This Row],[valor_solicitado]]*1.08,0))</f>
        <v>55080</v>
      </c>
    </row>
    <row r="183" spans="1:55">
      <c r="A183" s="24" t="s">
        <v>76</v>
      </c>
      <c r="B183" s="17" t="s">
        <v>477</v>
      </c>
      <c r="C183" s="25" t="s">
        <v>916</v>
      </c>
      <c r="D183" s="54">
        <v>33</v>
      </c>
      <c r="E183" s="30">
        <v>34084</v>
      </c>
      <c r="F183" s="25" t="s">
        <v>154</v>
      </c>
      <c r="G183" s="25" t="s">
        <v>142</v>
      </c>
      <c r="H183" s="24">
        <v>29700</v>
      </c>
      <c r="I183" s="24">
        <v>38000</v>
      </c>
      <c r="J183" s="24" t="s">
        <v>51</v>
      </c>
      <c r="K183" s="24">
        <v>41</v>
      </c>
      <c r="L183" s="24"/>
      <c r="M183" s="26">
        <v>83500</v>
      </c>
      <c r="N183" s="78">
        <v>38000</v>
      </c>
      <c r="O183" s="1" t="s">
        <v>51</v>
      </c>
      <c r="P18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3" s="84">
        <v>41</v>
      </c>
      <c r="R183" s="76" t="str" cm="1">
        <f t="array" ref="R183">_xlfn.IFS(TabelaClean[[#This Row],[qtde_batalhas]]&lt;=10,"Baixo",TabelaClean[[#This Row],[qtde_batalhas]]&gt;=26,"Alto",TabelaClean[[#This Row],[qtde_batalhas]]&lt;26,"Médio")</f>
        <v>Alto</v>
      </c>
      <c r="S183" s="76" t="str">
        <f>IF(AND(TabelaClean[[#This Row],[nivel_risco]]="Alto",TabelaClean[[#This Row],[flag_inadimplente]]="Sim"),"Arriscado","Ok")</f>
        <v>Arriscado</v>
      </c>
      <c r="T183" s="26">
        <v>83500</v>
      </c>
      <c r="U183" s="81">
        <f>IF(AND(TabelaClean[[#This Row],[analise_risco]]="Arriscado",TabelaClean[[#This Row],[analise_credito]]="Reprovado"),0,IF(TabelaClean[[#This Row],[status]]="Ativo",TabelaClean[[#This Row],[valor_solicitado]]*1.08,0))</f>
        <v>90180</v>
      </c>
      <c r="W183" s="1"/>
      <c r="Y183" t="s">
        <v>809</v>
      </c>
      <c r="Z183" t="str">
        <f t="shared" si="2"/>
        <v>Null</v>
      </c>
      <c r="AE183" t="s">
        <v>611</v>
      </c>
      <c r="AF183" t="str">
        <f>TEXT(AE183,"000\.000\.000\-00")</f>
        <v>000.000.155-00</v>
      </c>
      <c r="AH183" s="15" t="s">
        <v>89</v>
      </c>
      <c r="AJ183" s="22">
        <v>16500</v>
      </c>
      <c r="AK183">
        <v>16500</v>
      </c>
      <c r="AM183" s="20">
        <v>4000</v>
      </c>
      <c r="AN183">
        <v>4000</v>
      </c>
      <c r="AO183">
        <v>4000</v>
      </c>
      <c r="AQ183" t="s">
        <v>79</v>
      </c>
      <c r="AZ183" s="39" t="s">
        <v>709</v>
      </c>
      <c r="BA183" t="s">
        <v>79</v>
      </c>
      <c r="BB183" s="26">
        <v>83500</v>
      </c>
      <c r="BC183" s="81">
        <f>IF(AND(TabelaClean[[#This Row],[analise_risco]]="Arriscado",TabelaClean[[#This Row],[analise_credito]]="Reprovado"),0,IF(TabelaClean[[#This Row],[status]]="Ativo",TabelaClean[[#This Row],[valor_solicitado]]*1.08,0))</f>
        <v>90180</v>
      </c>
    </row>
    <row r="184" spans="1:55">
      <c r="A184" s="24" t="s">
        <v>81</v>
      </c>
      <c r="B184" s="17" t="s">
        <v>917</v>
      </c>
      <c r="C184" s="25" t="s">
        <v>419</v>
      </c>
      <c r="D184" s="54">
        <v>52</v>
      </c>
      <c r="E184" s="30">
        <v>27186</v>
      </c>
      <c r="F184" s="24" t="str">
        <f>TabelaClean[[#This Row],[CidadeCPF]]</f>
        <v>Ponta Tempestade</v>
      </c>
      <c r="G184" s="17" t="str">
        <f>TabelaClean[[#This Row],[RegiaoCPF]]</f>
        <v>Terras Da Tempestade</v>
      </c>
      <c r="H184" s="17" t="str">
        <f>_xlfn.XLOOKUP(TabelaClean[[#This Row],[cpf]],TabelaDirty[cpfclean],TabelaDirty[cidade])</f>
        <v>Ponta Tempestade</v>
      </c>
      <c r="I184" s="17" t="str">
        <f>_xlfn.XLOOKUP(TabelaClean[[#This Row],[cpf]],TabelaDirty[cpfclean],TabelaDirty[regiao])</f>
        <v>terras da tempestade</v>
      </c>
      <c r="J184" s="17" t="str">
        <f>PROPER(TabelaClean[[#This Row],[Coluna1]])</f>
        <v>Terras Da Tempestade</v>
      </c>
      <c r="K184" s="17" t="e">
        <f>_xlfn.TEXTBEFORE(TabelaClean[[#This Row],[CidadeCPF]]," | ")</f>
        <v>#N/A</v>
      </c>
      <c r="L184" s="24" t="e">
        <f>_xlfn.TEXTAFTER(TabelaClean[[#This Row],[CidadeCPF]]," | ")</f>
        <v>#N/A</v>
      </c>
      <c r="M184" s="26">
        <v>6400</v>
      </c>
      <c r="N184" s="78">
        <v>37000</v>
      </c>
      <c r="O184" s="1" t="s">
        <v>50</v>
      </c>
      <c r="P18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4" s="84">
        <v>1</v>
      </c>
      <c r="R184" s="1" t="str" cm="1">
        <f t="array" ref="R184">_xlfn.IFS(TabelaClean[[#This Row],[qtde_batalhas]]&lt;=10,"Baixo",TabelaClean[[#This Row],[qtde_batalhas]]&gt;=26,"Alto",TabelaClean[[#This Row],[qtde_batalhas]]&lt;26,"Médio")</f>
        <v>Baixo</v>
      </c>
      <c r="S184" s="1" t="str">
        <f>IF(AND(TabelaClean[[#This Row],[nivel_risco]]="Alto",TabelaClean[[#This Row],[flag_inadimplente]]="Sim"),"Arriscado","Ok")</f>
        <v>Ok</v>
      </c>
      <c r="T184" s="26">
        <v>87000</v>
      </c>
      <c r="U18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84" s="1"/>
      <c r="Y184" t="s">
        <v>809</v>
      </c>
      <c r="Z184" t="str">
        <f t="shared" si="2"/>
        <v>Null</v>
      </c>
      <c r="AE184" t="s">
        <v>430</v>
      </c>
      <c r="AF184" t="str">
        <f>TEXT(AE184,"000\.000\.000\-00")</f>
        <v>000.000.157-00</v>
      </c>
      <c r="AH184" s="15" t="s">
        <v>112</v>
      </c>
      <c r="AJ184" s="22">
        <v>16400</v>
      </c>
      <c r="AK184">
        <v>16400</v>
      </c>
      <c r="AM184" s="21" t="s">
        <v>581</v>
      </c>
      <c r="AN184" t="s">
        <v>809</v>
      </c>
      <c r="AO184" t="s">
        <v>809</v>
      </c>
      <c r="AQ184" t="s">
        <v>112</v>
      </c>
      <c r="AZ184" s="38" t="s">
        <v>380</v>
      </c>
      <c r="BA184" t="s">
        <v>112</v>
      </c>
      <c r="BB184" s="26">
        <v>6400</v>
      </c>
      <c r="BC18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85" spans="1:55">
      <c r="A185" s="24" t="s">
        <v>76</v>
      </c>
      <c r="B185" s="17" t="s">
        <v>129</v>
      </c>
      <c r="C185" s="25" t="s">
        <v>130</v>
      </c>
      <c r="D185" s="54">
        <v>54</v>
      </c>
      <c r="E185" s="30">
        <v>26382</v>
      </c>
      <c r="F185" s="24" t="str">
        <f>TabelaClean[[#This Row],[CidadeCPF]]</f>
        <v>Ponta Tempestade</v>
      </c>
      <c r="G185" s="17" t="str">
        <f>TabelaClean[[#This Row],[RegiaoCPF]]</f>
        <v>Terras Da Tempestade</v>
      </c>
      <c r="H185" s="17" t="str">
        <f>_xlfn.XLOOKUP(TabelaClean[[#This Row],[cpf]],TabelaDirty[cpfclean],TabelaDirty[cidade])</f>
        <v>Ponta Tempestade</v>
      </c>
      <c r="I185" s="17" t="str">
        <f>_xlfn.XLOOKUP(TabelaClean[[#This Row],[cpf]],TabelaDirty[cpfclean],TabelaDirty[regiao])</f>
        <v>Terras da Tempestade</v>
      </c>
      <c r="J185" s="17" t="str">
        <f>PROPER(TabelaClean[[#This Row],[Coluna1]])</f>
        <v>Terras Da Tempestade</v>
      </c>
      <c r="K185" s="17" t="e">
        <f>_xlfn.TEXTBEFORE(TabelaClean[[#This Row],[CidadeCPF]]," | ")</f>
        <v>#N/A</v>
      </c>
      <c r="L185" s="24" t="e">
        <f>_xlfn.TEXTAFTER(TabelaClean[[#This Row],[CidadeCPF]]," | ")</f>
        <v>#N/A</v>
      </c>
      <c r="M185" s="26">
        <v>22100</v>
      </c>
      <c r="N185" s="78">
        <v>37000</v>
      </c>
      <c r="O185" s="1" t="s">
        <v>50</v>
      </c>
      <c r="P18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5" s="84">
        <v>34</v>
      </c>
      <c r="R185" s="1" t="str" cm="1">
        <f t="array" ref="R185">_xlfn.IFS(TabelaClean[[#This Row],[qtde_batalhas]]&lt;=10,"Baixo",TabelaClean[[#This Row],[qtde_batalhas]]&gt;=26,"Alto",TabelaClean[[#This Row],[qtde_batalhas]]&lt;26,"Médio")</f>
        <v>Alto</v>
      </c>
      <c r="S185" s="1" t="str">
        <f>IF(AND(TabelaClean[[#This Row],[nivel_risco]]="Alto",TabelaClean[[#This Row],[flag_inadimplente]]="Sim"),"Arriscado","Ok")</f>
        <v>Ok</v>
      </c>
      <c r="T185" s="26">
        <v>87000</v>
      </c>
      <c r="U185" s="81">
        <f>IF(AND(TabelaClean[[#This Row],[analise_risco]]="Arriscado",TabelaClean[[#This Row],[analise_credito]]="Reprovado"),0,IF(TabelaClean[[#This Row],[status]]="Ativo",TabelaClean[[#This Row],[valor_solicitado]]*1.08,0))</f>
        <v>93960</v>
      </c>
      <c r="W185" s="1"/>
      <c r="Y185" t="s">
        <v>80</v>
      </c>
      <c r="Z185" t="str">
        <f t="shared" si="2"/>
        <v>Vale</v>
      </c>
      <c r="AE185" t="s">
        <v>590</v>
      </c>
      <c r="AF185" t="str">
        <f>TEXT(AE185,"000\.000\.000\-00")</f>
        <v>000.000.158-00</v>
      </c>
      <c r="AH185" s="15" t="s">
        <v>112</v>
      </c>
      <c r="AJ185" s="22">
        <v>10500</v>
      </c>
      <c r="AK185">
        <v>10500</v>
      </c>
      <c r="AM185" s="20">
        <v>50500</v>
      </c>
      <c r="AN185">
        <v>50500</v>
      </c>
      <c r="AO185">
        <v>50500</v>
      </c>
      <c r="AQ185" t="s">
        <v>112</v>
      </c>
      <c r="AZ185" s="39" t="s">
        <v>197</v>
      </c>
      <c r="BA185" t="s">
        <v>112</v>
      </c>
      <c r="BB185" s="26">
        <v>22100</v>
      </c>
      <c r="BC185" s="81">
        <f>IF(AND(TabelaClean[[#This Row],[analise_risco]]="Arriscado",TabelaClean[[#This Row],[analise_credito]]="Reprovado"),0,IF(TabelaClean[[#This Row],[status]]="Ativo",TabelaClean[[#This Row],[valor_solicitado]]*1.08,0))</f>
        <v>93960</v>
      </c>
    </row>
    <row r="186" spans="1:55">
      <c r="A186" s="24" t="s">
        <v>81</v>
      </c>
      <c r="B186" s="17" t="s">
        <v>918</v>
      </c>
      <c r="C186" s="25" t="s">
        <v>628</v>
      </c>
      <c r="D186" s="54">
        <v>36</v>
      </c>
      <c r="E186" s="30">
        <v>32914</v>
      </c>
      <c r="F186" s="24" t="str">
        <f>TabelaClean[[#This Row],[CidadeCPF]]</f>
        <v>Atalaia da Água Cinzenta</v>
      </c>
      <c r="G186" s="17" t="str">
        <f>TabelaClean[[#This Row],[RegiaoCPF]]</f>
        <v>Gargalo</v>
      </c>
      <c r="H186" s="17" t="str">
        <f>_xlfn.XLOOKUP(TabelaClean[[#This Row],[cpf]],TabelaDirty[cpfclean],TabelaDirty[cidade])</f>
        <v>Atalaia da Água Cinzenta</v>
      </c>
      <c r="I186" s="17" t="str">
        <f>_xlfn.XLOOKUP(TabelaClean[[#This Row],[cpf]],TabelaDirty[cpfclean],TabelaDirty[regiao])</f>
        <v>Gargalo</v>
      </c>
      <c r="J186" s="17" t="str">
        <f>PROPER(TabelaClean[[#This Row],[Coluna1]])</f>
        <v>Gargalo</v>
      </c>
      <c r="K186" s="17" t="e">
        <f>_xlfn.TEXTBEFORE(TabelaClean[[#This Row],[CidadeCPF]]," | ")</f>
        <v>#N/A</v>
      </c>
      <c r="L186" s="24" t="e">
        <f>_xlfn.TEXTAFTER(TabelaClean[[#This Row],[CidadeCPF]]," | ")</f>
        <v>#N/A</v>
      </c>
      <c r="M186" s="26">
        <v>27600</v>
      </c>
      <c r="N186" s="78">
        <v>37000</v>
      </c>
      <c r="O186" s="1" t="s">
        <v>50</v>
      </c>
      <c r="P18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6" s="84">
        <v>15</v>
      </c>
      <c r="R186" s="1" t="str" cm="1">
        <f t="array" ref="R186">_xlfn.IFS(TabelaClean[[#This Row],[qtde_batalhas]]&lt;=10,"Baixo",TabelaClean[[#This Row],[qtde_batalhas]]&gt;=26,"Alto",TabelaClean[[#This Row],[qtde_batalhas]]&lt;26,"Médio")</f>
        <v>Médio</v>
      </c>
      <c r="S186" s="1" t="str">
        <f>IF(AND(TabelaClean[[#This Row],[nivel_risco]]="Alto",TabelaClean[[#This Row],[flag_inadimplente]]="Sim"),"Arriscado","Ok")</f>
        <v>Ok</v>
      </c>
      <c r="T186" s="26">
        <v>41500</v>
      </c>
      <c r="U18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86" s="1"/>
      <c r="Y186" t="s">
        <v>142</v>
      </c>
      <c r="Z186" t="str">
        <f t="shared" si="2"/>
        <v>Norte</v>
      </c>
      <c r="AE186" t="s">
        <v>137</v>
      </c>
      <c r="AF186" t="str">
        <f>TEXT(AE186,"000\.000\.000\-00")</f>
        <v>000.000.162-00</v>
      </c>
      <c r="AH186" s="15" t="s">
        <v>141</v>
      </c>
      <c r="AJ186" s="22">
        <v>20500</v>
      </c>
      <c r="AK186">
        <v>20500</v>
      </c>
      <c r="AM186" s="21">
        <v>47500</v>
      </c>
      <c r="AN186">
        <v>47500</v>
      </c>
      <c r="AO186">
        <v>47500</v>
      </c>
      <c r="AQ186" t="s">
        <v>242</v>
      </c>
      <c r="AZ186" s="38" t="s">
        <v>458</v>
      </c>
      <c r="BA186" t="s">
        <v>242</v>
      </c>
      <c r="BB186" s="26">
        <v>27600</v>
      </c>
      <c r="BC18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87" spans="1:55">
      <c r="A187" s="24" t="s">
        <v>76</v>
      </c>
      <c r="B187" s="17" t="s">
        <v>616</v>
      </c>
      <c r="C187" s="25" t="s">
        <v>617</v>
      </c>
      <c r="D187" s="54">
        <v>34</v>
      </c>
      <c r="E187" s="30">
        <v>33746</v>
      </c>
      <c r="F187" s="24" t="str">
        <f>TabelaClean[[#This Row],[CidadeCPF]]</f>
        <v>Dorne</v>
      </c>
      <c r="G187" s="17" t="str">
        <f>TabelaClean[[#This Row],[RegiaoCPF]]</f>
        <v>Dorne</v>
      </c>
      <c r="H187" s="17" t="str">
        <f>_xlfn.XLOOKUP(TabelaClean[[#This Row],[cpf]],TabelaDirty[cpfclean],TabelaDirty[cidade])</f>
        <v>Dorne</v>
      </c>
      <c r="I187" s="17" t="str">
        <f>_xlfn.XLOOKUP(TabelaClean[[#This Row],[cpf]],TabelaDirty[cpfclean],TabelaDirty[regiao])</f>
        <v>Dorne</v>
      </c>
      <c r="J187" s="17" t="str">
        <f>PROPER(TabelaClean[[#This Row],[Coluna1]])</f>
        <v>Dorne</v>
      </c>
      <c r="K187" s="17" t="e">
        <f>_xlfn.TEXTBEFORE(TabelaClean[[#This Row],[CidadeCPF]]," | ")</f>
        <v>#N/A</v>
      </c>
      <c r="L187" s="24" t="e">
        <f>_xlfn.TEXTAFTER(TabelaClean[[#This Row],[CidadeCPF]]," | ")</f>
        <v>#N/A</v>
      </c>
      <c r="M187" s="26">
        <v>28900</v>
      </c>
      <c r="N187" s="78">
        <v>37000</v>
      </c>
      <c r="O187" s="1" t="s">
        <v>50</v>
      </c>
      <c r="P18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7" s="84">
        <v>21</v>
      </c>
      <c r="R187" s="1" t="str" cm="1">
        <f t="array" ref="R187">_xlfn.IFS(TabelaClean[[#This Row],[qtde_batalhas]]&lt;=10,"Baixo",TabelaClean[[#This Row],[qtde_batalhas]]&gt;=26,"Alto",TabelaClean[[#This Row],[qtde_batalhas]]&lt;26,"Médio")</f>
        <v>Médio</v>
      </c>
      <c r="S187" s="1" t="str">
        <f>IF(AND(TabelaClean[[#This Row],[nivel_risco]]="Alto",TabelaClean[[#This Row],[flag_inadimplente]]="Sim"),"Arriscado","Ok")</f>
        <v>Ok</v>
      </c>
      <c r="T187" s="26">
        <v>97500</v>
      </c>
      <c r="U187" s="81">
        <f>IF(AND(TabelaClean[[#This Row],[analise_risco]]="Arriscado",TabelaClean[[#This Row],[analise_credito]]="Reprovado"),0,IF(TabelaClean[[#This Row],[status]]="Ativo",TabelaClean[[#This Row],[valor_solicitado]]*1.08,0))</f>
        <v>105300</v>
      </c>
      <c r="W187" s="1"/>
      <c r="Y187" t="s">
        <v>809</v>
      </c>
      <c r="Z187" t="str">
        <f t="shared" si="2"/>
        <v>Null</v>
      </c>
      <c r="AE187" t="s">
        <v>753</v>
      </c>
      <c r="AF187" t="str">
        <f>TEXT(AE187,"000\.000\.000\-00")</f>
        <v>000.000.164-00</v>
      </c>
      <c r="AH187" s="15" t="s">
        <v>103</v>
      </c>
      <c r="AJ187" s="22">
        <v>12400</v>
      </c>
      <c r="AK187">
        <v>12400</v>
      </c>
      <c r="AM187" s="20">
        <v>21500</v>
      </c>
      <c r="AN187">
        <v>21500</v>
      </c>
      <c r="AO187">
        <v>21500</v>
      </c>
      <c r="AQ187" t="s">
        <v>148</v>
      </c>
      <c r="AZ187" s="39" t="s">
        <v>919</v>
      </c>
      <c r="BA187" t="s">
        <v>148</v>
      </c>
      <c r="BB187" s="26">
        <v>28900</v>
      </c>
      <c r="BC187" s="81">
        <f>IF(AND(TabelaClean[[#This Row],[analise_risco]]="Arriscado",TabelaClean[[#This Row],[analise_credito]]="Reprovado"),0,IF(TabelaClean[[#This Row],[status]]="Ativo",TabelaClean[[#This Row],[valor_solicitado]]*1.08,0))</f>
        <v>105300</v>
      </c>
    </row>
    <row r="188" spans="1:55">
      <c r="A188" s="24" t="s">
        <v>81</v>
      </c>
      <c r="B188" s="17" t="s">
        <v>765</v>
      </c>
      <c r="C188" s="25" t="s">
        <v>920</v>
      </c>
      <c r="D188" s="54" t="s">
        <v>809</v>
      </c>
      <c r="E188" s="30">
        <v>32890</v>
      </c>
      <c r="F188" s="24" t="str">
        <f>TabelaClean[[#This Row],[CidadeCPF]]</f>
        <v>Correrrio</v>
      </c>
      <c r="G188" s="17" t="str">
        <f>TabelaClean[[#This Row],[RegiaoCPF]]</f>
        <v>Terras Fluviais</v>
      </c>
      <c r="H188" s="17" t="str">
        <f>_xlfn.XLOOKUP(TabelaClean[[#This Row],[cpf]],TabelaDirty[cpfclean],TabelaDirty[cidade])</f>
        <v>Correrrio</v>
      </c>
      <c r="I188" s="17" t="str">
        <f>_xlfn.XLOOKUP(TabelaClean[[#This Row],[cpf]],TabelaDirty[cpfclean],TabelaDirty[regiao])</f>
        <v>terras fluviais</v>
      </c>
      <c r="J188" s="17" t="str">
        <f>PROPER(TabelaClean[[#This Row],[Coluna1]])</f>
        <v>Terras Fluviais</v>
      </c>
      <c r="K188" s="17" t="e">
        <f>_xlfn.TEXTBEFORE(TabelaClean[[#This Row],[CidadeCPF]]," | ")</f>
        <v>#N/A</v>
      </c>
      <c r="L188" s="24" t="e">
        <f>_xlfn.TEXTAFTER(TabelaClean[[#This Row],[CidadeCPF]]," | ")</f>
        <v>#N/A</v>
      </c>
      <c r="M188" s="26">
        <v>28100</v>
      </c>
      <c r="N188" s="78">
        <v>36500</v>
      </c>
      <c r="O188" s="1" t="s">
        <v>50</v>
      </c>
      <c r="P18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8" s="84">
        <v>13</v>
      </c>
      <c r="R188" s="1" t="str" cm="1">
        <f t="array" ref="R188">_xlfn.IFS(TabelaClean[[#This Row],[qtde_batalhas]]&lt;=10,"Baixo",TabelaClean[[#This Row],[qtde_batalhas]]&gt;=26,"Alto",TabelaClean[[#This Row],[qtde_batalhas]]&lt;26,"Médio")</f>
        <v>Médio</v>
      </c>
      <c r="S188" s="1" t="str">
        <f>IF(AND(TabelaClean[[#This Row],[nivel_risco]]="Alto",TabelaClean[[#This Row],[flag_inadimplente]]="Sim"),"Arriscado","Ok")</f>
        <v>Ok</v>
      </c>
      <c r="T188" s="26">
        <v>5000</v>
      </c>
      <c r="U18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88" s="1"/>
      <c r="Y188" t="s">
        <v>809</v>
      </c>
      <c r="Z188" t="str">
        <f t="shared" si="2"/>
        <v>Null</v>
      </c>
      <c r="AE188" t="s">
        <v>377</v>
      </c>
      <c r="AF188" t="str">
        <f>TEXT(AE188,"000\.000\.000\-00")</f>
        <v>000.000.167-00</v>
      </c>
      <c r="AH188" s="15" t="s">
        <v>103</v>
      </c>
      <c r="AJ188" s="22">
        <v>28300</v>
      </c>
      <c r="AK188">
        <v>28300</v>
      </c>
      <c r="AM188" s="21">
        <v>56000</v>
      </c>
      <c r="AN188">
        <v>56000</v>
      </c>
      <c r="AO188">
        <v>56000</v>
      </c>
      <c r="AQ188" t="s">
        <v>223</v>
      </c>
      <c r="AZ188" s="38" t="s">
        <v>350</v>
      </c>
      <c r="BA188" t="s">
        <v>223</v>
      </c>
      <c r="BB188" s="26">
        <v>28100</v>
      </c>
      <c r="BC18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89" spans="1:55">
      <c r="A189" s="24" t="s">
        <v>76</v>
      </c>
      <c r="B189" s="17" t="s">
        <v>594</v>
      </c>
      <c r="C189" s="25" t="s">
        <v>595</v>
      </c>
      <c r="D189" s="54">
        <v>39</v>
      </c>
      <c r="E189" s="30">
        <v>31814</v>
      </c>
      <c r="F189" s="24" t="str">
        <f>TabelaClean[[#This Row],[CidadeCPF]]</f>
        <v>Ilha dos Ursos</v>
      </c>
      <c r="G189" s="17" t="str">
        <f>TabelaClean[[#This Row],[RegiaoCPF]]</f>
        <v>Norte</v>
      </c>
      <c r="H189" s="17" t="str">
        <f>_xlfn.XLOOKUP(TabelaClean[[#This Row],[cpf]],TabelaDirty[cpfclean],TabelaDirty[cidade])</f>
        <v>Ilha dos Ursos</v>
      </c>
      <c r="I189" s="17" t="str">
        <f>_xlfn.XLOOKUP(TabelaClean[[#This Row],[cpf]],TabelaDirty[cpfclean],TabelaDirty[regiao])</f>
        <v>Norte</v>
      </c>
      <c r="J189" s="17" t="str">
        <f>PROPER(TabelaClean[[#This Row],[Coluna1]])</f>
        <v>Norte</v>
      </c>
      <c r="K189" s="17" t="e">
        <f>_xlfn.TEXTBEFORE(TabelaClean[[#This Row],[CidadeCPF]]," | ")</f>
        <v>#N/A</v>
      </c>
      <c r="L189" s="24" t="e">
        <f>_xlfn.TEXTAFTER(TabelaClean[[#This Row],[CidadeCPF]]," | ")</f>
        <v>#N/A</v>
      </c>
      <c r="M189" s="26">
        <v>9300</v>
      </c>
      <c r="N189" s="78">
        <v>36500</v>
      </c>
      <c r="O189" s="1" t="s">
        <v>50</v>
      </c>
      <c r="P18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89" s="84" t="s">
        <v>809</v>
      </c>
      <c r="R189" s="1" t="str" cm="1">
        <f t="array" ref="R189">_xlfn.IFS(TabelaClean[[#This Row],[qtde_batalhas]]&lt;=10,"Baixo",TabelaClean[[#This Row],[qtde_batalhas]]&gt;=26,"Alto",TabelaClean[[#This Row],[qtde_batalhas]]&lt;26,"Médio")</f>
        <v>Alto</v>
      </c>
      <c r="S189" s="1" t="str">
        <f>IF(AND(TabelaClean[[#This Row],[nivel_risco]]="Alto",TabelaClean[[#This Row],[flag_inadimplente]]="Sim"),"Arriscado","Ok")</f>
        <v>Ok</v>
      </c>
      <c r="T189" s="26">
        <v>3000</v>
      </c>
      <c r="U189" s="81">
        <f>IF(AND(TabelaClean[[#This Row],[analise_risco]]="Arriscado",TabelaClean[[#This Row],[analise_credito]]="Reprovado"),0,IF(TabelaClean[[#This Row],[status]]="Ativo",TabelaClean[[#This Row],[valor_solicitado]]*1.08,0))</f>
        <v>3240</v>
      </c>
      <c r="W189" s="1"/>
      <c r="Y189" t="s">
        <v>809</v>
      </c>
      <c r="Z189" t="str">
        <f t="shared" si="2"/>
        <v>Null</v>
      </c>
      <c r="AE189" t="s">
        <v>525</v>
      </c>
      <c r="AF189" t="str">
        <f>TEXT(AE189,"000\.000\.000\-00")</f>
        <v>000.000.168-00</v>
      </c>
      <c r="AH189" s="15" t="s">
        <v>83</v>
      </c>
      <c r="AJ189" s="22">
        <v>17000</v>
      </c>
      <c r="AK189">
        <v>17000</v>
      </c>
      <c r="AM189" s="20">
        <v>64000</v>
      </c>
      <c r="AN189">
        <v>64000</v>
      </c>
      <c r="AO189">
        <v>64000</v>
      </c>
      <c r="AQ189" t="s">
        <v>302</v>
      </c>
      <c r="AZ189" s="39" t="s">
        <v>921</v>
      </c>
      <c r="BA189" t="s">
        <v>302</v>
      </c>
      <c r="BB189" s="26">
        <v>9300</v>
      </c>
      <c r="BC189" s="81">
        <f>IF(AND(TabelaClean[[#This Row],[analise_risco]]="Arriscado",TabelaClean[[#This Row],[analise_credito]]="Reprovado"),0,IF(TabelaClean[[#This Row],[status]]="Ativo",TabelaClean[[#This Row],[valor_solicitado]]*1.08,0))</f>
        <v>3240</v>
      </c>
    </row>
    <row r="190" spans="1:55">
      <c r="A190" s="24" t="s">
        <v>81</v>
      </c>
      <c r="B190" s="17" t="s">
        <v>449</v>
      </c>
      <c r="C190" s="25" t="s">
        <v>450</v>
      </c>
      <c r="D190" s="54">
        <v>63</v>
      </c>
      <c r="E190" s="30">
        <v>22924</v>
      </c>
      <c r="F190" s="24" t="str">
        <f>TabelaClean[[#This Row],[CidadeCPF]]</f>
        <v>Braavos</v>
      </c>
      <c r="G190" s="17" t="str">
        <f>TabelaClean[[#This Row],[RegiaoCPF]]</f>
        <v>Essos</v>
      </c>
      <c r="H190" s="17" t="str">
        <f>_xlfn.XLOOKUP(TabelaClean[[#This Row],[cpf]],TabelaDirty[cpfclean],TabelaDirty[cidade])</f>
        <v>Braavos</v>
      </c>
      <c r="I190" s="17" t="str">
        <f>_xlfn.XLOOKUP(TabelaClean[[#This Row],[cpf]],TabelaDirty[cpfclean],TabelaDirty[regiao])</f>
        <v>ESSOS</v>
      </c>
      <c r="J190" s="17" t="str">
        <f>PROPER(TabelaClean[[#This Row],[Coluna1]])</f>
        <v>Essos</v>
      </c>
      <c r="K190" s="17" t="e">
        <f>_xlfn.TEXTBEFORE(TabelaClean[[#This Row],[CidadeCPF]]," | ")</f>
        <v>#N/A</v>
      </c>
      <c r="L190" s="24" t="e">
        <f>_xlfn.TEXTAFTER(TabelaClean[[#This Row],[CidadeCPF]]," | ")</f>
        <v>#N/A</v>
      </c>
      <c r="M190" s="26">
        <v>29000</v>
      </c>
      <c r="N190" s="78">
        <v>36500</v>
      </c>
      <c r="O190" s="1" t="s">
        <v>50</v>
      </c>
      <c r="P19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0" s="84">
        <v>38</v>
      </c>
      <c r="R190" s="1" t="str" cm="1">
        <f t="array" ref="R190">_xlfn.IFS(TabelaClean[[#This Row],[qtde_batalhas]]&lt;=10,"Baixo",TabelaClean[[#This Row],[qtde_batalhas]]&gt;=26,"Alto",TabelaClean[[#This Row],[qtde_batalhas]]&lt;26,"Médio")</f>
        <v>Alto</v>
      </c>
      <c r="S190" s="1" t="str">
        <f>IF(AND(TabelaClean[[#This Row],[nivel_risco]]="Alto",TabelaClean[[#This Row],[flag_inadimplente]]="Sim"),"Arriscado","Ok")</f>
        <v>Ok</v>
      </c>
      <c r="T190" s="26">
        <v>47000</v>
      </c>
      <c r="U19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90" s="1"/>
      <c r="Y190" t="s">
        <v>809</v>
      </c>
      <c r="Z190" t="str">
        <f t="shared" si="2"/>
        <v>Null</v>
      </c>
      <c r="AE190" t="s">
        <v>453</v>
      </c>
      <c r="AF190" t="str">
        <f>TEXT(AE190,"000\.000\.000\-00")</f>
        <v>000.000.169-00</v>
      </c>
      <c r="AH190" s="15" t="s">
        <v>162</v>
      </c>
      <c r="AJ190" s="22">
        <v>6000</v>
      </c>
      <c r="AK190">
        <v>6000</v>
      </c>
      <c r="AM190" s="21">
        <v>55000</v>
      </c>
      <c r="AN190">
        <v>55000</v>
      </c>
      <c r="AO190">
        <v>55000</v>
      </c>
      <c r="AQ190" t="s">
        <v>79</v>
      </c>
      <c r="AZ190" s="38" t="s">
        <v>266</v>
      </c>
      <c r="BA190" t="s">
        <v>79</v>
      </c>
      <c r="BB190" s="26">
        <v>29000</v>
      </c>
      <c r="BC19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91" spans="1:55">
      <c r="A191" s="24" t="s">
        <v>76</v>
      </c>
      <c r="B191" s="17" t="s">
        <v>279</v>
      </c>
      <c r="C191" s="25" t="s">
        <v>280</v>
      </c>
      <c r="D191" s="54">
        <v>34</v>
      </c>
      <c r="E191" s="30">
        <v>33525</v>
      </c>
      <c r="F191" s="24" t="str">
        <f>TabelaClean[[#This Row],[CidadeCPF]]</f>
        <v>Winterfell</v>
      </c>
      <c r="G191" s="17" t="str">
        <f>TabelaClean[[#This Row],[RegiaoCPF]]</f>
        <v>Norte</v>
      </c>
      <c r="H191" s="17" t="str">
        <f>_xlfn.XLOOKUP(TabelaClean[[#This Row],[cpf]],TabelaDirty[cpfclean],TabelaDirty[cidade])</f>
        <v>Winterfell</v>
      </c>
      <c r="I191" s="17" t="s">
        <v>142</v>
      </c>
      <c r="J191" s="17" t="str">
        <f>PROPER(TabelaClean[[#This Row],[Coluna1]])</f>
        <v>Norte</v>
      </c>
      <c r="K191" s="17" t="e">
        <f>_xlfn.TEXTBEFORE(TabelaClean[[#This Row],[CidadeCPF]]," | ")</f>
        <v>#N/A</v>
      </c>
      <c r="L191" s="24" t="e">
        <f>_xlfn.TEXTAFTER(TabelaClean[[#This Row],[CidadeCPF]]," | ")</f>
        <v>#N/A</v>
      </c>
      <c r="M191" s="26">
        <v>28000</v>
      </c>
      <c r="N191" s="78">
        <v>36500</v>
      </c>
      <c r="O191" s="1" t="s">
        <v>50</v>
      </c>
      <c r="P19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1" s="84">
        <v>33</v>
      </c>
      <c r="R191" s="1" t="str" cm="1">
        <f t="array" ref="R191">_xlfn.IFS(TabelaClean[[#This Row],[qtde_batalhas]]&lt;=10,"Baixo",TabelaClean[[#This Row],[qtde_batalhas]]&gt;=26,"Alto",TabelaClean[[#This Row],[qtde_batalhas]]&lt;26,"Médio")</f>
        <v>Alto</v>
      </c>
      <c r="S191" s="1" t="str">
        <f>IF(AND(TabelaClean[[#This Row],[nivel_risco]]="Alto",TabelaClean[[#This Row],[flag_inadimplente]]="Sim"),"Arriscado","Ok")</f>
        <v>Ok</v>
      </c>
      <c r="T191" s="26">
        <v>60000</v>
      </c>
      <c r="U191" s="81">
        <f>IF(AND(TabelaClean[[#This Row],[analise_risco]]="Arriscado",TabelaClean[[#This Row],[analise_credito]]="Reprovado"),0,IF(TabelaClean[[#This Row],[status]]="Ativo",TabelaClean[[#This Row],[valor_solicitado]]*1.08,0))</f>
        <v>64800.000000000007</v>
      </c>
      <c r="W191" s="1"/>
      <c r="Y191" t="s">
        <v>809</v>
      </c>
      <c r="Z191" t="str">
        <f t="shared" si="2"/>
        <v>Null</v>
      </c>
      <c r="AE191" t="s">
        <v>362</v>
      </c>
      <c r="AF191" t="str">
        <f>TEXT(AE191,"000\.000\.000\-00")</f>
        <v>000.000.170-00</v>
      </c>
      <c r="AH191" s="15" t="s">
        <v>162</v>
      </c>
      <c r="AJ191" s="22">
        <v>5000</v>
      </c>
      <c r="AK191">
        <v>5000</v>
      </c>
      <c r="AM191" s="20">
        <v>75500</v>
      </c>
      <c r="AN191">
        <v>75500</v>
      </c>
      <c r="AO191">
        <v>75500</v>
      </c>
      <c r="AQ191" t="s">
        <v>121</v>
      </c>
      <c r="AZ191" s="39" t="s">
        <v>922</v>
      </c>
      <c r="BA191" t="s">
        <v>121</v>
      </c>
      <c r="BB191" s="26">
        <v>28000</v>
      </c>
      <c r="BC191" s="81">
        <f>IF(AND(TabelaClean[[#This Row],[analise_risco]]="Arriscado",TabelaClean[[#This Row],[analise_credito]]="Reprovado"),0,IF(TabelaClean[[#This Row],[status]]="Ativo",TabelaClean[[#This Row],[valor_solicitado]]*1.08,0))</f>
        <v>64800.000000000007</v>
      </c>
    </row>
    <row r="192" spans="1:55">
      <c r="A192" s="24" t="s">
        <v>81</v>
      </c>
      <c r="B192" s="17" t="s">
        <v>449</v>
      </c>
      <c r="C192" s="25" t="s">
        <v>800</v>
      </c>
      <c r="D192" s="54">
        <f>_xlfn.XLOOKUP(TabelaClean[[#This Row],[nome]],Base_Dirty!B:B,Base_Dirty!E:E)</f>
        <v>63</v>
      </c>
      <c r="E192" s="51">
        <f>_xlfn.XLOOKUP(TabelaClean[[#This Row],[nome]],Base_Dirty!$B:$B,Base_Dirty!F:F)</f>
        <v>22924</v>
      </c>
      <c r="F192" s="50" t="s">
        <v>127</v>
      </c>
      <c r="G192" s="25" t="s">
        <v>122</v>
      </c>
      <c r="H192" s="24" t="s">
        <v>256</v>
      </c>
      <c r="I192" s="24">
        <v>29000</v>
      </c>
      <c r="J192" s="24">
        <v>36500</v>
      </c>
      <c r="K192" s="24" t="s">
        <v>50</v>
      </c>
      <c r="L192" s="24">
        <v>38</v>
      </c>
      <c r="M192" s="23">
        <f>_xlfn.XLOOKUP(TabelaClean[[#This Row],[nome]],Base_Dirty!$B:$B,Base_Dirty!I:I)</f>
        <v>29000</v>
      </c>
      <c r="N192" s="78">
        <f>_xlfn.XLOOKUP(TabelaClean[[#This Row],[nome]],Base_Dirty!$B:$B,Base_Dirty!J:J)</f>
        <v>36500</v>
      </c>
      <c r="O192" s="79" t="s">
        <v>50</v>
      </c>
      <c r="P192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2" s="84">
        <f>_xlfn.XLOOKUP(TabelaClean[[#This Row],[nome]],Base_Dirty!$B:$B,Base_Dirty!L:L)</f>
        <v>38</v>
      </c>
      <c r="R192" s="76" t="str" cm="1">
        <f t="array" ref="R192">_xlfn.IFS(TabelaClean[[#This Row],[qtde_batalhas]]&lt;=10,"Baixo",TabelaClean[[#This Row],[qtde_batalhas]]&gt;=26,"Alto",TabelaClean[[#This Row],[qtde_batalhas]]&lt;26,"Médio")</f>
        <v>Alto</v>
      </c>
      <c r="S192" s="76" t="str">
        <f>IF(AND(TabelaClean[[#This Row],[nivel_risco]]="Alto",TabelaClean[[#This Row],[flag_inadimplente]]="Sim"),"Arriscado","Ok")</f>
        <v>Ok</v>
      </c>
      <c r="T192" s="26">
        <f>_xlfn.XLOOKUP(TabelaClean[[#This Row],[nome]],Base_Dirty!$B:$B,Base_Dirty!O:O)</f>
        <v>47000</v>
      </c>
      <c r="U19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92" s="1"/>
      <c r="Y192" t="s">
        <v>809</v>
      </c>
      <c r="Z192" t="str">
        <f t="shared" si="2"/>
        <v>Null</v>
      </c>
      <c r="AE192" t="s">
        <v>697</v>
      </c>
      <c r="AF192" t="str">
        <f>TEXT(AE192,"000\.000\.000\-00")</f>
        <v>000.000.172-00</v>
      </c>
      <c r="AH192" s="15" t="s">
        <v>324</v>
      </c>
      <c r="AI192" t="e" cm="1" vm="1">
        <f t="array" aca="1" ref="AI192" ca="1">_xlfn.TEXTSPLIT(AH192," | ")</f>
        <v>#VALUE!</v>
      </c>
      <c r="AJ192" s="22">
        <v>5300</v>
      </c>
      <c r="AK192">
        <v>5300</v>
      </c>
      <c r="AL192" t="s">
        <v>122</v>
      </c>
      <c r="AM192" s="21">
        <v>6500</v>
      </c>
      <c r="AN192">
        <v>6500</v>
      </c>
      <c r="AO192">
        <v>6500</v>
      </c>
      <c r="AQ192" t="s">
        <v>112</v>
      </c>
      <c r="AZ192" s="38" t="s">
        <v>252</v>
      </c>
      <c r="BA192" t="s">
        <v>112</v>
      </c>
      <c r="BB192" s="23">
        <f>_xlfn.XLOOKUP(TabelaClean[[#This Row],[nome]],Base_Dirty!$B:$B,Base_Dirty!AX:AX)</f>
        <v>0</v>
      </c>
      <c r="BC19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93" spans="1:55">
      <c r="A193" s="24" t="s">
        <v>81</v>
      </c>
      <c r="B193" s="17" t="s">
        <v>449</v>
      </c>
      <c r="C193" t="str">
        <f>_xlfn.XLOOKUP(TabelaClean[[#This Row],[nome]],Base_Dirty!$B:$B,Base_Dirty!D:D)</f>
        <v>000.000.073-00</v>
      </c>
      <c r="D193" s="54">
        <f>_xlfn.XLOOKUP(TabelaClean[[#This Row],[nome]],Base_Dirty!B:B,Base_Dirty!E:E)</f>
        <v>63</v>
      </c>
      <c r="E193" s="30">
        <v>63</v>
      </c>
      <c r="F193" s="50" t="s">
        <v>127</v>
      </c>
      <c r="G193" s="25" t="s">
        <v>122</v>
      </c>
      <c r="H193" s="24" t="s">
        <v>256</v>
      </c>
      <c r="I193" s="24">
        <v>29000</v>
      </c>
      <c r="J193" s="24">
        <v>36500</v>
      </c>
      <c r="K193" s="24" t="s">
        <v>50</v>
      </c>
      <c r="L193" s="24">
        <v>38</v>
      </c>
      <c r="M193" s="23">
        <f>_xlfn.XLOOKUP(TabelaClean[[#This Row],[nome]],Base_Dirty!$B:$B,Base_Dirty!I:I)</f>
        <v>29000</v>
      </c>
      <c r="N193" s="78">
        <f>_xlfn.XLOOKUP(TabelaClean[[#This Row],[nome]],Base_Dirty!$B:$B,Base_Dirty!J:J)</f>
        <v>36500</v>
      </c>
      <c r="O193" s="79" t="s">
        <v>50</v>
      </c>
      <c r="P19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3" s="84">
        <f>_xlfn.XLOOKUP(TabelaClean[[#This Row],[nome]],Base_Dirty!$B:$B,Base_Dirty!L:L)</f>
        <v>38</v>
      </c>
      <c r="R193" s="76" t="str" cm="1">
        <f t="array" ref="R193">_xlfn.IFS(TabelaClean[[#This Row],[qtde_batalhas]]&lt;=10,"Baixo",TabelaClean[[#This Row],[qtde_batalhas]]&gt;=26,"Alto",TabelaClean[[#This Row],[qtde_batalhas]]&lt;26,"Médio")</f>
        <v>Alto</v>
      </c>
      <c r="S193" s="76" t="str">
        <f>IF(AND(TabelaClean[[#This Row],[nivel_risco]]="Alto",TabelaClean[[#This Row],[flag_inadimplente]]="Sim"),"Arriscado","Ok")</f>
        <v>Ok</v>
      </c>
      <c r="T193" s="26">
        <f>_xlfn.XLOOKUP(TabelaClean[[#This Row],[nome]],Base_Dirty!$B:$B,Base_Dirty!O:O)</f>
        <v>47000</v>
      </c>
      <c r="U19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93" s="1"/>
      <c r="Y193" t="s">
        <v>809</v>
      </c>
      <c r="Z193" t="str">
        <f t="shared" si="2"/>
        <v>Null</v>
      </c>
      <c r="AE193" t="s">
        <v>448</v>
      </c>
      <c r="AF193" t="str">
        <f>TEXT(AE193,"000\.000\.000\-00")</f>
        <v>000.000.173-00</v>
      </c>
      <c r="AH193" s="15" t="s">
        <v>148</v>
      </c>
      <c r="AJ193" s="22">
        <v>11500</v>
      </c>
      <c r="AK193">
        <v>11500</v>
      </c>
      <c r="AM193" s="20">
        <v>44500</v>
      </c>
      <c r="AN193">
        <v>44500</v>
      </c>
      <c r="AO193">
        <v>44500</v>
      </c>
      <c r="AQ193" t="s">
        <v>242</v>
      </c>
      <c r="AZ193" s="39" t="s">
        <v>758</v>
      </c>
      <c r="BA193" t="s">
        <v>242</v>
      </c>
      <c r="BB193" s="23">
        <f>_xlfn.XLOOKUP(TabelaClean[[#This Row],[nome]],Base_Dirty!$B:$B,Base_Dirty!AX:AX)</f>
        <v>0</v>
      </c>
      <c r="BC19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94" spans="1:55">
      <c r="A194" s="24" t="s">
        <v>81</v>
      </c>
      <c r="B194" s="17" t="s">
        <v>712</v>
      </c>
      <c r="C194" s="25" t="s">
        <v>858</v>
      </c>
      <c r="D194" s="54">
        <v>35</v>
      </c>
      <c r="E194" s="30">
        <v>33417</v>
      </c>
      <c r="F194" s="25" t="s">
        <v>172</v>
      </c>
      <c r="G194" s="25" t="s">
        <v>149</v>
      </c>
      <c r="H194" s="24">
        <v>12400</v>
      </c>
      <c r="I194" s="24">
        <v>36000</v>
      </c>
      <c r="J194" s="24" t="s">
        <v>50</v>
      </c>
      <c r="K194" s="24"/>
      <c r="L194" s="24"/>
      <c r="M194" s="26">
        <v>71500</v>
      </c>
      <c r="N194" s="78">
        <v>36000</v>
      </c>
      <c r="O194" s="1" t="s">
        <v>50</v>
      </c>
      <c r="P194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194" s="76" t="str" cm="1">
        <f t="array" ref="R194">_xlfn.IFS(TabelaClean[[#This Row],[qtde_batalhas]]&lt;=10,"Baixo",TabelaClean[[#This Row],[qtde_batalhas]]&gt;=26,"Alto",TabelaClean[[#This Row],[qtde_batalhas]]&lt;26,"Médio")</f>
        <v>Baixo</v>
      </c>
      <c r="S194" s="76" t="str">
        <f>IF(AND(TabelaClean[[#This Row],[nivel_risco]]="Alto",TabelaClean[[#This Row],[flag_inadimplente]]="Sim"),"Arriscado","Ok")</f>
        <v>Ok</v>
      </c>
      <c r="T194" s="26">
        <v>71500</v>
      </c>
      <c r="U19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94" s="1"/>
      <c r="Y194" t="s">
        <v>809</v>
      </c>
      <c r="Z194" t="str">
        <f t="shared" si="2"/>
        <v>Null</v>
      </c>
      <c r="AE194" t="s">
        <v>491</v>
      </c>
      <c r="AF194" t="str">
        <f>TEXT(AE194,"000\.000\.000\-00")</f>
        <v>000.000.177-00</v>
      </c>
      <c r="AH194" s="15" t="s">
        <v>112</v>
      </c>
      <c r="AJ194" s="22">
        <v>13200</v>
      </c>
      <c r="AK194">
        <v>13200</v>
      </c>
      <c r="AM194" s="21" t="s">
        <v>104</v>
      </c>
      <c r="AN194" t="s">
        <v>809</v>
      </c>
      <c r="AO194" t="s">
        <v>809</v>
      </c>
      <c r="AQ194" t="s">
        <v>183</v>
      </c>
      <c r="AZ194" s="38" t="s">
        <v>923</v>
      </c>
      <c r="BA194" t="s">
        <v>183</v>
      </c>
      <c r="BB194" s="26">
        <v>71500</v>
      </c>
      <c r="BC19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95" spans="1:55">
      <c r="A195" s="24" t="s">
        <v>81</v>
      </c>
      <c r="B195" s="17" t="s">
        <v>699</v>
      </c>
      <c r="C195" s="25" t="s">
        <v>700</v>
      </c>
      <c r="D195" s="54">
        <v>74</v>
      </c>
      <c r="E195" s="30">
        <v>19047</v>
      </c>
      <c r="F195" s="24" t="str">
        <f>TabelaClean[[#This Row],[CidadeCPF]]</f>
        <v>Lannisporto</v>
      </c>
      <c r="G195" s="17" t="str">
        <f>TabelaClean[[#This Row],[RegiaoCPF]]</f>
        <v>Oeste</v>
      </c>
      <c r="H195" s="17" t="str">
        <f>_xlfn.XLOOKUP(TabelaClean[[#This Row],[cpf]],TabelaDirty[cpfclean],TabelaDirty[cidade])</f>
        <v>Lannisporto</v>
      </c>
      <c r="I195" s="17" t="str">
        <f>_xlfn.XLOOKUP(TabelaClean[[#This Row],[cpf]],TabelaDirty[cpfclean],TabelaDirty[regiao])</f>
        <v>Oeste</v>
      </c>
      <c r="J195" s="17" t="str">
        <f>PROPER(TabelaClean[[#This Row],[Coluna1]])</f>
        <v>Oeste</v>
      </c>
      <c r="K195" s="17" t="e">
        <f>_xlfn.TEXTBEFORE(TabelaClean[[#This Row],[CidadeCPF]]," | ")</f>
        <v>#N/A</v>
      </c>
      <c r="L195" s="24" t="e">
        <f>_xlfn.TEXTAFTER(TabelaClean[[#This Row],[CidadeCPF]]," | ")</f>
        <v>#N/A</v>
      </c>
      <c r="M195" s="26">
        <v>24000</v>
      </c>
      <c r="N195" s="78">
        <v>35000</v>
      </c>
      <c r="O195" s="1" t="s">
        <v>50</v>
      </c>
      <c r="P19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5" s="84">
        <v>6</v>
      </c>
      <c r="R195" s="1" t="str" cm="1">
        <f t="array" ref="R195">_xlfn.IFS(TabelaClean[[#This Row],[qtde_batalhas]]&lt;=10,"Baixo",TabelaClean[[#This Row],[qtde_batalhas]]&gt;=26,"Alto",TabelaClean[[#This Row],[qtde_batalhas]]&lt;26,"Médio")</f>
        <v>Baixo</v>
      </c>
      <c r="S195" s="1" t="str">
        <f>IF(AND(TabelaClean[[#This Row],[nivel_risco]]="Alto",TabelaClean[[#This Row],[flag_inadimplente]]="Sim"),"Arriscado","Ok")</f>
        <v>Ok</v>
      </c>
      <c r="T195" s="26">
        <v>29500</v>
      </c>
      <c r="U19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95" s="1"/>
      <c r="Y195" t="s">
        <v>809</v>
      </c>
      <c r="Z195" t="str">
        <f t="shared" si="2"/>
        <v>Null</v>
      </c>
      <c r="AE195" t="s">
        <v>498</v>
      </c>
      <c r="AF195" t="str">
        <f>TEXT(AE195,"000\.000\.000\-00")</f>
        <v>000.000.178-00</v>
      </c>
      <c r="AH195" s="15" t="s">
        <v>148</v>
      </c>
      <c r="AJ195" s="22">
        <v>22800</v>
      </c>
      <c r="AK195">
        <v>22800</v>
      </c>
      <c r="AM195" s="20"/>
      <c r="AN195" t="s">
        <v>809</v>
      </c>
      <c r="AO195" t="s">
        <v>809</v>
      </c>
      <c r="AQ195" t="s">
        <v>215</v>
      </c>
      <c r="AZ195" s="39" t="s">
        <v>286</v>
      </c>
      <c r="BA195" t="s">
        <v>215</v>
      </c>
      <c r="BB195" s="26">
        <v>24000</v>
      </c>
      <c r="BC19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196" spans="1:55">
      <c r="A196" s="24" t="s">
        <v>76</v>
      </c>
      <c r="B196" s="17" t="s">
        <v>762</v>
      </c>
      <c r="C196" s="25" t="s">
        <v>914</v>
      </c>
      <c r="D196" s="54">
        <v>58</v>
      </c>
      <c r="E196" s="30">
        <v>24840</v>
      </c>
      <c r="F196" s="24" t="str">
        <f>TabelaClean[[#This Row],[CidadeCPF]]</f>
        <v>Atalaia da Água Cinzenta</v>
      </c>
      <c r="G196" s="17" t="str">
        <f>TabelaClean[[#This Row],[RegiaoCPF]]</f>
        <v>Gargalo</v>
      </c>
      <c r="H196" s="17" t="str">
        <f>_xlfn.XLOOKUP(TabelaClean[[#This Row],[cpf]],TabelaDirty[cpfclean],TabelaDirty[cidade])</f>
        <v>Atalaia da Água Cinzenta</v>
      </c>
      <c r="I196" s="17" t="str">
        <f>_xlfn.XLOOKUP(TabelaClean[[#This Row],[cpf]],TabelaDirty[cpfclean],TabelaDirty[regiao])</f>
        <v>gargalo</v>
      </c>
      <c r="J196" s="17" t="str">
        <f>PROPER(TabelaClean[[#This Row],[Coluna1]])</f>
        <v>Gargalo</v>
      </c>
      <c r="K196" s="17" t="e">
        <f>_xlfn.TEXTBEFORE(TabelaClean[[#This Row],[CidadeCPF]]," | ")</f>
        <v>#N/A</v>
      </c>
      <c r="L196" s="24" t="e">
        <f>_xlfn.TEXTAFTER(TabelaClean[[#This Row],[CidadeCPF]]," | ")</f>
        <v>#N/A</v>
      </c>
      <c r="M196" s="26">
        <v>2800</v>
      </c>
      <c r="N196" s="78">
        <v>35000</v>
      </c>
      <c r="O196" s="1" t="s">
        <v>50</v>
      </c>
      <c r="P19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6" s="84">
        <v>36</v>
      </c>
      <c r="R196" s="1" t="str" cm="1">
        <f t="array" ref="R196">_xlfn.IFS(TabelaClean[[#This Row],[qtde_batalhas]]&lt;=10,"Baixo",TabelaClean[[#This Row],[qtde_batalhas]]&gt;=26,"Alto",TabelaClean[[#This Row],[qtde_batalhas]]&lt;26,"Médio")</f>
        <v>Alto</v>
      </c>
      <c r="S196" s="1" t="str">
        <f>IF(AND(TabelaClean[[#This Row],[nivel_risco]]="Alto",TabelaClean[[#This Row],[flag_inadimplente]]="Sim"),"Arriscado","Ok")</f>
        <v>Ok</v>
      </c>
      <c r="T196" s="26">
        <v>9000</v>
      </c>
      <c r="U196" s="81">
        <f>IF(AND(TabelaClean[[#This Row],[analise_risco]]="Arriscado",TabelaClean[[#This Row],[analise_credito]]="Reprovado"),0,IF(TabelaClean[[#This Row],[status]]="Ativo",TabelaClean[[#This Row],[valor_solicitado]]*1.08,0))</f>
        <v>9720</v>
      </c>
      <c r="W196" s="1"/>
      <c r="Y196" t="s">
        <v>142</v>
      </c>
      <c r="Z196" t="str">
        <f t="shared" ref="Z196:Z259" si="3">PROPER(Y196)</f>
        <v>Norte</v>
      </c>
      <c r="AE196" t="s">
        <v>412</v>
      </c>
      <c r="AF196" t="str">
        <f>TEXT(AE196,"000\.000\.000\-00")</f>
        <v>000.000.181-00</v>
      </c>
      <c r="AH196" s="15" t="s">
        <v>138</v>
      </c>
      <c r="AJ196" s="22">
        <v>21300</v>
      </c>
      <c r="AK196">
        <v>21300</v>
      </c>
      <c r="AM196" s="21">
        <v>60500</v>
      </c>
      <c r="AN196">
        <v>60500</v>
      </c>
      <c r="AO196">
        <v>60500</v>
      </c>
      <c r="AQ196" t="s">
        <v>223</v>
      </c>
      <c r="AZ196" s="38" t="s">
        <v>491</v>
      </c>
      <c r="BA196" t="s">
        <v>223</v>
      </c>
      <c r="BB196" s="26">
        <v>2800</v>
      </c>
      <c r="BC196" s="81">
        <f>IF(AND(TabelaClean[[#This Row],[analise_risco]]="Arriscado",TabelaClean[[#This Row],[analise_credito]]="Reprovado"),0,IF(TabelaClean[[#This Row],[status]]="Ativo",TabelaClean[[#This Row],[valor_solicitado]]*1.08,0))</f>
        <v>9720</v>
      </c>
    </row>
    <row r="197" spans="1:55">
      <c r="A197" s="24" t="s">
        <v>76</v>
      </c>
      <c r="B197" s="17" t="s">
        <v>658</v>
      </c>
      <c r="C197" s="25" t="s">
        <v>924</v>
      </c>
      <c r="D197" s="54">
        <v>20</v>
      </c>
      <c r="E197" s="30">
        <v>38678</v>
      </c>
      <c r="F197" s="24" t="str">
        <f>TabelaClean[[#This Row],[CidadeCPF]]</f>
        <v>Braavos</v>
      </c>
      <c r="G197" s="17" t="str">
        <f>TabelaClean[[#This Row],[RegiaoCPF]]</f>
        <v>Essos</v>
      </c>
      <c r="H197" s="17" t="str">
        <f>_xlfn.XLOOKUP(TabelaClean[[#This Row],[cpf]],TabelaDirty[cpfclean],TabelaDirty[cidade])</f>
        <v>Braavos</v>
      </c>
      <c r="I197" s="17" t="str">
        <f>_xlfn.XLOOKUP(TabelaClean[[#This Row],[cpf]],TabelaDirty[cpfclean],TabelaDirty[regiao])</f>
        <v>Essos</v>
      </c>
      <c r="J197" s="17" t="str">
        <f>PROPER(TabelaClean[[#This Row],[Coluna1]])</f>
        <v>Essos</v>
      </c>
      <c r="K197" s="17" t="e">
        <f>_xlfn.TEXTBEFORE(TabelaClean[[#This Row],[CidadeCPF]]," | ")</f>
        <v>#N/A</v>
      </c>
      <c r="L197" s="24" t="e">
        <f>_xlfn.TEXTAFTER(TabelaClean[[#This Row],[CidadeCPF]]," | ")</f>
        <v>#N/A</v>
      </c>
      <c r="M197" s="26">
        <v>9300</v>
      </c>
      <c r="N197" s="78">
        <v>35000</v>
      </c>
      <c r="O197" s="1" t="s">
        <v>50</v>
      </c>
      <c r="P19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7" s="84">
        <v>5</v>
      </c>
      <c r="R197" s="1" t="str" cm="1">
        <f t="array" ref="R197">_xlfn.IFS(TabelaClean[[#This Row],[qtde_batalhas]]&lt;=10,"Baixo",TabelaClean[[#This Row],[qtde_batalhas]]&gt;=26,"Alto",TabelaClean[[#This Row],[qtde_batalhas]]&lt;26,"Médio")</f>
        <v>Baixo</v>
      </c>
      <c r="S197" s="1" t="str">
        <f>IF(AND(TabelaClean[[#This Row],[nivel_risco]]="Alto",TabelaClean[[#This Row],[flag_inadimplente]]="Sim"),"Arriscado","Ok")</f>
        <v>Ok</v>
      </c>
      <c r="T197" s="26">
        <v>10500</v>
      </c>
      <c r="U197" s="81">
        <f>IF(AND(TabelaClean[[#This Row],[analise_risco]]="Arriscado",TabelaClean[[#This Row],[analise_credito]]="Reprovado"),0,IF(TabelaClean[[#This Row],[status]]="Ativo",TabelaClean[[#This Row],[valor_solicitado]]*1.08,0))</f>
        <v>11340</v>
      </c>
      <c r="W197" s="1"/>
      <c r="Y197" t="s">
        <v>122</v>
      </c>
      <c r="Z197" t="str">
        <f t="shared" si="3"/>
        <v>Essos</v>
      </c>
      <c r="AE197" t="s">
        <v>438</v>
      </c>
      <c r="AF197" t="str">
        <f>TEXT(AE197,"000\.000\.000\-00")</f>
        <v>000.000.182-00</v>
      </c>
      <c r="AH197" s="14" t="s">
        <v>691</v>
      </c>
      <c r="AI197" t="e" cm="1" vm="1">
        <f t="array" aca="1" ref="AI197" ca="1">_xlfn.TEXTSPLIT(AH197," | ")</f>
        <v>#VALUE!</v>
      </c>
      <c r="AJ197" s="22">
        <v>17400</v>
      </c>
      <c r="AK197">
        <v>17400</v>
      </c>
      <c r="AM197" s="20">
        <v>53000</v>
      </c>
      <c r="AN197">
        <v>53000</v>
      </c>
      <c r="AO197">
        <v>53000</v>
      </c>
      <c r="AQ197" t="s">
        <v>121</v>
      </c>
      <c r="AZ197" s="39" t="s">
        <v>925</v>
      </c>
      <c r="BA197" t="s">
        <v>121</v>
      </c>
      <c r="BB197" s="26">
        <v>9300</v>
      </c>
      <c r="BC197" s="81">
        <f>IF(AND(TabelaClean[[#This Row],[analise_risco]]="Arriscado",TabelaClean[[#This Row],[analise_credito]]="Reprovado"),0,IF(TabelaClean[[#This Row],[status]]="Ativo",TabelaClean[[#This Row],[valor_solicitado]]*1.08,0))</f>
        <v>11340</v>
      </c>
    </row>
    <row r="198" spans="1:55">
      <c r="A198" s="24" t="s">
        <v>76</v>
      </c>
      <c r="B198" s="17" t="s">
        <v>269</v>
      </c>
      <c r="C198" s="25" t="s">
        <v>926</v>
      </c>
      <c r="D198" s="54">
        <v>68</v>
      </c>
      <c r="E198" s="30" t="s">
        <v>809</v>
      </c>
      <c r="F198" s="24" t="str">
        <f>TabelaClean[[#This Row],[CidadeCPF]]</f>
        <v>Pedra do Dragão</v>
      </c>
      <c r="G198" s="17" t="str">
        <f>TabelaClean[[#This Row],[RegiaoCPF]]</f>
        <v>Terras Da Coroa</v>
      </c>
      <c r="H198" s="17" t="str">
        <f>_xlfn.XLOOKUP(TabelaClean[[#This Row],[cpf]],TabelaDirty[cpfclean],TabelaDirty[cidade])</f>
        <v>Pedra do Dragão</v>
      </c>
      <c r="I198" s="17" t="str">
        <f>_xlfn.XLOOKUP(TabelaClean[[#This Row],[cpf]],TabelaDirty[cpfclean],TabelaDirty[regiao])</f>
        <v>Terras da Coroa</v>
      </c>
      <c r="J198" s="17" t="str">
        <f>PROPER(TabelaClean[[#This Row],[Coluna1]])</f>
        <v>Terras Da Coroa</v>
      </c>
      <c r="K198" s="17" t="e">
        <f>_xlfn.TEXTBEFORE(TabelaClean[[#This Row],[CidadeCPF]]," | ")</f>
        <v>#N/A</v>
      </c>
      <c r="L198" s="24" t="e">
        <f>_xlfn.TEXTAFTER(TabelaClean[[#This Row],[CidadeCPF]]," | ")</f>
        <v>#N/A</v>
      </c>
      <c r="M198" s="26">
        <v>19900</v>
      </c>
      <c r="N198" s="78">
        <v>35000</v>
      </c>
      <c r="O198" s="1" t="s">
        <v>50</v>
      </c>
      <c r="P19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8" s="84">
        <v>25</v>
      </c>
      <c r="R198" s="1" t="str" cm="1">
        <f t="array" ref="R198">_xlfn.IFS(TabelaClean[[#This Row],[qtde_batalhas]]&lt;=10,"Baixo",TabelaClean[[#This Row],[qtde_batalhas]]&gt;=26,"Alto",TabelaClean[[#This Row],[qtde_batalhas]]&lt;26,"Médio")</f>
        <v>Médio</v>
      </c>
      <c r="S198" s="1" t="str">
        <f>IF(AND(TabelaClean[[#This Row],[nivel_risco]]="Alto",TabelaClean[[#This Row],[flag_inadimplente]]="Sim"),"Arriscado","Ok")</f>
        <v>Ok</v>
      </c>
      <c r="T198" s="26">
        <v>59500</v>
      </c>
      <c r="U198" s="81">
        <f>IF(AND(TabelaClean[[#This Row],[analise_risco]]="Arriscado",TabelaClean[[#This Row],[analise_credito]]="Reprovado"),0,IF(TabelaClean[[#This Row],[status]]="Ativo",TabelaClean[[#This Row],[valor_solicitado]]*1.08,0))</f>
        <v>64260.000000000007</v>
      </c>
      <c r="W198" s="1"/>
      <c r="Y198" t="s">
        <v>809</v>
      </c>
      <c r="Z198" t="str">
        <f t="shared" si="3"/>
        <v>Null</v>
      </c>
      <c r="AE198" t="s">
        <v>157</v>
      </c>
      <c r="AF198" t="str">
        <f>TEXT(AE198,"000\.000\.000\-00")</f>
        <v>000.000.184-00</v>
      </c>
      <c r="AH198" s="15" t="s">
        <v>154</v>
      </c>
      <c r="AJ198" s="22">
        <v>20800</v>
      </c>
      <c r="AK198">
        <v>20800</v>
      </c>
      <c r="AM198" s="21">
        <v>54000</v>
      </c>
      <c r="AN198">
        <v>54000</v>
      </c>
      <c r="AO198">
        <v>54000</v>
      </c>
      <c r="AQ198" t="s">
        <v>83</v>
      </c>
      <c r="AZ198" s="38" t="s">
        <v>927</v>
      </c>
      <c r="BA198" t="s">
        <v>83</v>
      </c>
      <c r="BB198" s="26">
        <v>19900</v>
      </c>
      <c r="BC198" s="81">
        <f>IF(AND(TabelaClean[[#This Row],[analise_risco]]="Arriscado",TabelaClean[[#This Row],[analise_credito]]="Reprovado"),0,IF(TabelaClean[[#This Row],[status]]="Ativo",TabelaClean[[#This Row],[valor_solicitado]]*1.08,0))</f>
        <v>64260.000000000007</v>
      </c>
    </row>
    <row r="199" spans="1:55">
      <c r="A199" s="24" t="s">
        <v>81</v>
      </c>
      <c r="B199" s="17" t="s">
        <v>461</v>
      </c>
      <c r="C199" s="25" t="s">
        <v>462</v>
      </c>
      <c r="D199" s="54">
        <v>33</v>
      </c>
      <c r="E199" s="30">
        <v>33955</v>
      </c>
      <c r="F199" s="24" t="str">
        <f>TabelaClean[[#This Row],[CidadeCPF]]</f>
        <v>Winterfell</v>
      </c>
      <c r="G199" s="17" t="str">
        <f>TabelaClean[[#This Row],[RegiaoCPF]]</f>
        <v>Norte</v>
      </c>
      <c r="H199" s="17" t="str">
        <f>_xlfn.XLOOKUP(TabelaClean[[#This Row],[cpf]],TabelaDirty[cpfclean],TabelaDirty[cidade])</f>
        <v>Winterfell</v>
      </c>
      <c r="I199" s="17" t="str">
        <f>_xlfn.XLOOKUP(TabelaClean[[#This Row],[cpf]],TabelaDirty[cpfclean],TabelaDirty[regiao])</f>
        <v>Norte</v>
      </c>
      <c r="J199" s="17" t="str">
        <f>PROPER(TabelaClean[[#This Row],[Coluna1]])</f>
        <v>Norte</v>
      </c>
      <c r="K199" s="17" t="e">
        <f>_xlfn.TEXTBEFORE(TabelaClean[[#This Row],[CidadeCPF]]," | ")</f>
        <v>#N/A</v>
      </c>
      <c r="L199" s="24" t="e">
        <f>_xlfn.TEXTAFTER(TabelaClean[[#This Row],[CidadeCPF]]," | ")</f>
        <v>#N/A</v>
      </c>
      <c r="M199" s="26">
        <v>25700</v>
      </c>
      <c r="N199" s="78">
        <v>35000</v>
      </c>
      <c r="O199" s="1" t="s">
        <v>50</v>
      </c>
      <c r="P19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199" s="84">
        <v>40</v>
      </c>
      <c r="R199" s="1" t="str" cm="1">
        <f t="array" ref="R199">_xlfn.IFS(TabelaClean[[#This Row],[qtde_batalhas]]&lt;=10,"Baixo",TabelaClean[[#This Row],[qtde_batalhas]]&gt;=26,"Alto",TabelaClean[[#This Row],[qtde_batalhas]]&lt;26,"Médio")</f>
        <v>Alto</v>
      </c>
      <c r="S199" s="1" t="str">
        <f>IF(AND(TabelaClean[[#This Row],[nivel_risco]]="Alto",TabelaClean[[#This Row],[flag_inadimplente]]="Sim"),"Arriscado","Ok")</f>
        <v>Ok</v>
      </c>
      <c r="T199" s="26">
        <v>1000</v>
      </c>
      <c r="U199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199" s="1"/>
      <c r="Y199" t="s">
        <v>149</v>
      </c>
      <c r="Z199" t="str">
        <f t="shared" si="3"/>
        <v>Campina</v>
      </c>
      <c r="AE199" t="s">
        <v>462</v>
      </c>
      <c r="AF199" t="str">
        <f>TEXT(AE199,"000\.000\.000\-00")</f>
        <v>000.000.186-00</v>
      </c>
      <c r="AH199" s="15" t="s">
        <v>121</v>
      </c>
      <c r="AJ199" s="22">
        <v>8900</v>
      </c>
      <c r="AK199">
        <v>8900</v>
      </c>
      <c r="AM199" s="20">
        <v>4000</v>
      </c>
      <c r="AN199">
        <v>4000</v>
      </c>
      <c r="AO199">
        <v>4000</v>
      </c>
      <c r="AQ199" t="s">
        <v>112</v>
      </c>
      <c r="AZ199" s="39" t="s">
        <v>928</v>
      </c>
      <c r="BA199" t="s">
        <v>112</v>
      </c>
      <c r="BB199" s="26">
        <v>25700</v>
      </c>
      <c r="BC199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00" spans="1:55">
      <c r="A200" s="29" t="s">
        <v>809</v>
      </c>
      <c r="B200" s="17" t="s">
        <v>211</v>
      </c>
      <c r="C200" s="25" t="s">
        <v>212</v>
      </c>
      <c r="D200" s="54">
        <v>54</v>
      </c>
      <c r="E200" s="30">
        <v>26213</v>
      </c>
      <c r="F200" s="24" t="str">
        <f>TabelaClean[[#This Row],[CidadeCPF]]</f>
        <v>Vilavelha</v>
      </c>
      <c r="G200" s="17" t="str">
        <f>TabelaClean[[#This Row],[RegiaoCPF]]</f>
        <v>Campina</v>
      </c>
      <c r="H200" s="17" t="str">
        <f>_xlfn.XLOOKUP(TabelaClean[[#This Row],[cpf]],TabelaDirty[cpfclean],TabelaDirty[cidade])</f>
        <v>Vilavelha</v>
      </c>
      <c r="I200" s="17" t="str">
        <f>_xlfn.XLOOKUP(TabelaClean[[#This Row],[cpf]],TabelaDirty[cpfclean],TabelaDirty[regiao])</f>
        <v>CAMPINA</v>
      </c>
      <c r="J200" s="17" t="str">
        <f>PROPER(TabelaClean[[#This Row],[Coluna1]])</f>
        <v>Campina</v>
      </c>
      <c r="K200" s="17" t="e">
        <f>_xlfn.TEXTBEFORE(TabelaClean[[#This Row],[CidadeCPF]]," | ")</f>
        <v>#N/A</v>
      </c>
      <c r="L200" s="24" t="e">
        <f>_xlfn.TEXTAFTER(TabelaClean[[#This Row],[CidadeCPF]]," | ")</f>
        <v>#N/A</v>
      </c>
      <c r="M200" s="26">
        <v>29700</v>
      </c>
      <c r="N200" s="78">
        <v>34000</v>
      </c>
      <c r="O200" s="1" t="s">
        <v>50</v>
      </c>
      <c r="P20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0" s="84">
        <v>35</v>
      </c>
      <c r="R200" s="1" t="str" cm="1">
        <f t="array" ref="R200">_xlfn.IFS(TabelaClean[[#This Row],[qtde_batalhas]]&lt;=10,"Baixo",TabelaClean[[#This Row],[qtde_batalhas]]&gt;=26,"Alto",TabelaClean[[#This Row],[qtde_batalhas]]&lt;26,"Médio")</f>
        <v>Alto</v>
      </c>
      <c r="S200" s="1" t="str">
        <f>IF(AND(TabelaClean[[#This Row],[nivel_risco]]="Alto",TabelaClean[[#This Row],[flag_inadimplente]]="Sim"),"Arriscado","Ok")</f>
        <v>Ok</v>
      </c>
      <c r="T200" s="26">
        <v>35000</v>
      </c>
      <c r="U20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00" s="1"/>
      <c r="Y200" t="s">
        <v>353</v>
      </c>
      <c r="Z200" t="str">
        <f t="shared" si="3"/>
        <v>Terras Fluviais</v>
      </c>
      <c r="AE200" t="s">
        <v>564</v>
      </c>
      <c r="AF200" t="str">
        <f>TEXT(AE200,"000\.000\.000\-00")</f>
        <v>000.000.187-00</v>
      </c>
      <c r="AH200" s="15" t="s">
        <v>555</v>
      </c>
      <c r="AJ200" s="22">
        <v>28100</v>
      </c>
      <c r="AK200">
        <v>28100</v>
      </c>
      <c r="AM200" s="21">
        <v>36500</v>
      </c>
      <c r="AN200">
        <v>36500</v>
      </c>
      <c r="AO200">
        <v>36500</v>
      </c>
      <c r="AQ200" t="s">
        <v>172</v>
      </c>
      <c r="AZ200" s="38" t="s">
        <v>666</v>
      </c>
      <c r="BA200" t="s">
        <v>172</v>
      </c>
      <c r="BB200" s="26">
        <v>29700</v>
      </c>
      <c r="BC20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01" spans="1:55">
      <c r="A201" s="24" t="s">
        <v>76</v>
      </c>
      <c r="B201" s="17" t="s">
        <v>156</v>
      </c>
      <c r="C201" s="25" t="s">
        <v>157</v>
      </c>
      <c r="D201" s="54" t="s">
        <v>809</v>
      </c>
      <c r="E201" s="30">
        <v>21378</v>
      </c>
      <c r="F201" s="24" t="str">
        <f>TabelaClean[[#This Row],[CidadeCPF]]</f>
        <v>Meereen</v>
      </c>
      <c r="G201" s="17" t="str">
        <f>TabelaClean[[#This Row],[RegiaoCPF]]</f>
        <v>Essos</v>
      </c>
      <c r="H201" s="17" t="str">
        <f>_xlfn.XLOOKUP(TabelaClean[[#This Row],[cpf]],TabelaDirty[cpfclean],TabelaDirty[cidade])</f>
        <v>Meereen</v>
      </c>
      <c r="I201" s="17" t="s">
        <v>122</v>
      </c>
      <c r="J201" s="17" t="str">
        <f>PROPER(TabelaClean[[#This Row],[Coluna1]])</f>
        <v>Essos</v>
      </c>
      <c r="K201" s="17" t="e">
        <f>_xlfn.TEXTBEFORE(TabelaClean[[#This Row],[CidadeCPF]]," | ")</f>
        <v>#N/A</v>
      </c>
      <c r="L201" s="24" t="e">
        <f>_xlfn.TEXTAFTER(TabelaClean[[#This Row],[CidadeCPF]]," | ")</f>
        <v>#N/A</v>
      </c>
      <c r="M201" s="26">
        <v>14300</v>
      </c>
      <c r="N201" s="78">
        <v>32500</v>
      </c>
      <c r="O201" s="1" t="s">
        <v>51</v>
      </c>
      <c r="P20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1" s="84">
        <v>15</v>
      </c>
      <c r="R201" s="1" t="str" cm="1">
        <f t="array" ref="R201">_xlfn.IFS(TabelaClean[[#This Row],[qtde_batalhas]]&lt;=10,"Baixo",TabelaClean[[#This Row],[qtde_batalhas]]&gt;=26,"Alto",TabelaClean[[#This Row],[qtde_batalhas]]&lt;26,"Médio")</f>
        <v>Médio</v>
      </c>
      <c r="S201" s="1" t="str">
        <f>IF(AND(TabelaClean[[#This Row],[nivel_risco]]="Alto",TabelaClean[[#This Row],[flag_inadimplente]]="Sim"),"Arriscado","Ok")</f>
        <v>Ok</v>
      </c>
      <c r="T201" s="26">
        <v>8000</v>
      </c>
      <c r="U201" s="81">
        <f>IF(AND(TabelaClean[[#This Row],[analise_risco]]="Arriscado",TabelaClean[[#This Row],[analise_credito]]="Reprovado"),0,IF(TabelaClean[[#This Row],[status]]="Ativo",TabelaClean[[#This Row],[valor_solicitado]]*1.08,0))</f>
        <v>8640</v>
      </c>
      <c r="W201" s="1"/>
      <c r="Y201" t="s">
        <v>135</v>
      </c>
      <c r="Z201" t="str">
        <f t="shared" si="3"/>
        <v>Terras Da Tempestade</v>
      </c>
      <c r="AE201" t="s">
        <v>722</v>
      </c>
      <c r="AF201" t="str">
        <f>TEXT(AE201,"000\.000\.000\-00")</f>
        <v>000.000.189-00</v>
      </c>
      <c r="AH201" s="15" t="s">
        <v>112</v>
      </c>
      <c r="AJ201" s="22">
        <v>20200</v>
      </c>
      <c r="AK201">
        <v>20200</v>
      </c>
      <c r="AM201" s="20">
        <v>6500</v>
      </c>
      <c r="AN201">
        <v>6500</v>
      </c>
      <c r="AO201">
        <v>6500</v>
      </c>
      <c r="BB201" s="26">
        <v>14300</v>
      </c>
      <c r="BC201" s="81">
        <f>IF(AND(TabelaClean[[#This Row],[analise_risco]]="Arriscado",TabelaClean[[#This Row],[analise_credito]]="Reprovado"),0,IF(TabelaClean[[#This Row],[status]]="Ativo",TabelaClean[[#This Row],[valor_solicitado]]*1.08,0))</f>
        <v>8640</v>
      </c>
    </row>
    <row r="202" spans="1:55">
      <c r="A202" s="24" t="s">
        <v>81</v>
      </c>
      <c r="B202" s="17" t="s">
        <v>260</v>
      </c>
      <c r="C202" s="25" t="s">
        <v>261</v>
      </c>
      <c r="D202" s="54" t="s">
        <v>875</v>
      </c>
      <c r="E202" s="30">
        <v>29113</v>
      </c>
      <c r="F202" s="24" t="str">
        <f>TabelaClean[[#This Row],[CidadeCPF]]</f>
        <v>Fosso Cailin</v>
      </c>
      <c r="G202" s="17" t="str">
        <f>TabelaClean[[#This Row],[RegiaoCPF]]</f>
        <v>Norte</v>
      </c>
      <c r="H202" s="17" t="str">
        <f>_xlfn.XLOOKUP(TabelaClean[[#This Row],[cpf]],TabelaDirty[cpfclean],TabelaDirty[cidade])</f>
        <v>Fosso Cailin</v>
      </c>
      <c r="I202" s="17" t="str">
        <f>_xlfn.XLOOKUP(TabelaClean[[#This Row],[cpf]],TabelaDirty[cpfclean],TabelaDirty[regiao])</f>
        <v>Norte</v>
      </c>
      <c r="J202" s="17" t="str">
        <f>PROPER(TabelaClean[[#This Row],[Coluna1]])</f>
        <v>Norte</v>
      </c>
      <c r="K202" s="17" t="e">
        <f>_xlfn.TEXTBEFORE(TabelaClean[[#This Row],[CidadeCPF]]," | ")</f>
        <v>#N/A</v>
      </c>
      <c r="L202" s="24" t="e">
        <f>_xlfn.TEXTAFTER(TabelaClean[[#This Row],[CidadeCPF]]," | ")</f>
        <v>#N/A</v>
      </c>
      <c r="M202" s="26">
        <v>15000</v>
      </c>
      <c r="N202" s="78">
        <v>32500</v>
      </c>
      <c r="O202" s="1" t="s">
        <v>50</v>
      </c>
      <c r="P20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2" s="84">
        <v>40</v>
      </c>
      <c r="R202" s="1" t="str" cm="1">
        <f t="array" ref="R202">_xlfn.IFS(TabelaClean[[#This Row],[qtde_batalhas]]&lt;=10,"Baixo",TabelaClean[[#This Row],[qtde_batalhas]]&gt;=26,"Alto",TabelaClean[[#This Row],[qtde_batalhas]]&lt;26,"Médio")</f>
        <v>Alto</v>
      </c>
      <c r="S202" s="1" t="str">
        <f>IF(AND(TabelaClean[[#This Row],[nivel_risco]]="Alto",TabelaClean[[#This Row],[flag_inadimplente]]="Sim"),"Arriscado","Ok")</f>
        <v>Ok</v>
      </c>
      <c r="T202" s="26">
        <v>4500</v>
      </c>
      <c r="U20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02" s="1"/>
      <c r="Y202" t="s">
        <v>809</v>
      </c>
      <c r="Z202" t="str">
        <f t="shared" si="3"/>
        <v>Null</v>
      </c>
      <c r="AE202" t="s">
        <v>102</v>
      </c>
      <c r="AF202" t="str">
        <f>TEXT(AE202,"000\.000\.000\-00")</f>
        <v>000.000.191-00</v>
      </c>
      <c r="AH202" s="15" t="s">
        <v>141</v>
      </c>
      <c r="AJ202" s="22">
        <v>11600</v>
      </c>
      <c r="AK202">
        <v>11600</v>
      </c>
      <c r="AM202" s="21">
        <v>78500</v>
      </c>
      <c r="AN202">
        <v>78500</v>
      </c>
      <c r="AO202">
        <v>78500</v>
      </c>
      <c r="BB202" s="26">
        <v>15000</v>
      </c>
      <c r="BC20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03" spans="1:55">
      <c r="A203" t="s">
        <v>81</v>
      </c>
      <c r="B203" t="s">
        <v>260</v>
      </c>
      <c r="C203" t="s">
        <v>790</v>
      </c>
      <c r="D203" s="54">
        <v>46</v>
      </c>
      <c r="E203" s="51">
        <f>_xlfn.XLOOKUP(TabelaClean[[#This Row],[nome]],Base_Dirty!$B:$B,Base_Dirty!F:F)</f>
        <v>29113</v>
      </c>
      <c r="F203" t="s">
        <v>162</v>
      </c>
      <c r="G203" s="17" t="s">
        <v>142</v>
      </c>
      <c r="H203" t="s">
        <v>142</v>
      </c>
      <c r="I203">
        <v>15000</v>
      </c>
      <c r="J203">
        <v>32500</v>
      </c>
      <c r="K203" t="s">
        <v>50</v>
      </c>
      <c r="L203">
        <v>40</v>
      </c>
      <c r="M203" s="23">
        <f>_xlfn.XLOOKUP(TabelaClean[[#This Row],[nome]],Base_Dirty!$B:$B,Base_Dirty!I:I)</f>
        <v>15000</v>
      </c>
      <c r="N203" s="78">
        <f>_xlfn.XLOOKUP(TabelaClean[[#This Row],[nome]],Base_Dirty!$B:$B,Base_Dirty!J:J)</f>
        <v>32500</v>
      </c>
      <c r="O203" s="79" t="s">
        <v>50</v>
      </c>
      <c r="P20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3" s="84">
        <f>_xlfn.XLOOKUP(TabelaClean[[#This Row],[nome]],Base_Dirty!$B:$B,Base_Dirty!L:L)</f>
        <v>40</v>
      </c>
      <c r="R203"/>
      <c r="S203"/>
      <c r="T203" s="26">
        <f>_xlfn.XLOOKUP(TabelaClean[[#This Row],[nome]],Base_Dirty!$B:$B,Base_Dirty!O:O)</f>
        <v>4500</v>
      </c>
      <c r="U203" s="17"/>
      <c r="W203" s="1"/>
      <c r="Y203" t="s">
        <v>809</v>
      </c>
      <c r="Z203" t="str">
        <f t="shared" si="3"/>
        <v>Null</v>
      </c>
      <c r="AE203" t="s">
        <v>252</v>
      </c>
      <c r="AF203" t="str">
        <f>TEXT(AE203,"000\.000\.000\-00")</f>
        <v>000.000.194-00</v>
      </c>
      <c r="AH203" s="15" t="s">
        <v>215</v>
      </c>
      <c r="AJ203" s="22">
        <v>7000</v>
      </c>
      <c r="AK203">
        <v>7000</v>
      </c>
      <c r="AM203" s="20">
        <v>1500</v>
      </c>
      <c r="AN203">
        <v>1500</v>
      </c>
      <c r="AO203">
        <v>1500</v>
      </c>
      <c r="BB203" s="23">
        <f>_xlfn.XLOOKUP(TabelaClean[[#This Row],[nome]],Base_Dirty!$B:$B,Base_Dirty!AX:AX)</f>
        <v>0</v>
      </c>
      <c r="BC203" s="17"/>
    </row>
    <row r="204" spans="1:55">
      <c r="A204" s="24" t="s">
        <v>81</v>
      </c>
      <c r="B204" s="17" t="s">
        <v>260</v>
      </c>
      <c r="C204" t="str">
        <f>_xlfn.XLOOKUP(TabelaClean[[#This Row],[nome]],Base_Dirty!$B:$B,Base_Dirty!D:D)</f>
        <v>000.000.014-00</v>
      </c>
      <c r="D204" s="54">
        <v>46</v>
      </c>
      <c r="F204" s="50" t="s">
        <v>162</v>
      </c>
      <c r="G204" s="17" t="s">
        <v>142</v>
      </c>
      <c r="H204" s="24" t="s">
        <v>142</v>
      </c>
      <c r="I204" s="24">
        <v>15000</v>
      </c>
      <c r="J204" s="24">
        <v>0</v>
      </c>
      <c r="K204" s="24" t="s">
        <v>50</v>
      </c>
      <c r="L204" s="24">
        <v>40</v>
      </c>
      <c r="M204" s="23">
        <f>_xlfn.XLOOKUP(TabelaClean[[#This Row],[nome]],Base_Dirty!$B:$B,Base_Dirty!I:I)</f>
        <v>15000</v>
      </c>
      <c r="N204" s="78">
        <f>_xlfn.XLOOKUP(TabelaClean[[#This Row],[nome]],Base_Dirty!$B:$B,Base_Dirty!J:J)</f>
        <v>32500</v>
      </c>
      <c r="O204" s="79" t="s">
        <v>50</v>
      </c>
      <c r="P204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4" s="84">
        <f>_xlfn.XLOOKUP(TabelaClean[[#This Row],[nome]],Base_Dirty!$B:$B,Base_Dirty!L:L)</f>
        <v>40</v>
      </c>
      <c r="R204" s="76" t="str" cm="1">
        <f t="array" ref="R204">_xlfn.IFS(TabelaClean[[#This Row],[qtde_batalhas]]&lt;=10,"Baixo",TabelaClean[[#This Row],[qtde_batalhas]]&gt;=26,"Alto",TabelaClean[[#This Row],[qtde_batalhas]]&lt;26,"Médio")</f>
        <v>Alto</v>
      </c>
      <c r="S204" s="76" t="str">
        <f>IF(AND(TabelaClean[[#This Row],[nivel_risco]]="Alto",TabelaClean[[#This Row],[flag_inadimplente]]="Sim"),"Arriscado","Ok")</f>
        <v>Ok</v>
      </c>
      <c r="T204" s="26">
        <f>_xlfn.XLOOKUP(TabelaClean[[#This Row],[nome]],Base_Dirty!$B:$B,Base_Dirty!O:O)</f>
        <v>4500</v>
      </c>
      <c r="U20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04" s="1"/>
      <c r="Y204" t="s">
        <v>183</v>
      </c>
      <c r="Z204" t="str">
        <f t="shared" si="3"/>
        <v>Dorne</v>
      </c>
      <c r="AE204" t="s">
        <v>239</v>
      </c>
      <c r="AF204" t="str">
        <f>TEXT(AE204,"000\.000\.000\-00")</f>
        <v>000.000.195-00</v>
      </c>
      <c r="AH204" s="15" t="s">
        <v>162</v>
      </c>
      <c r="AM204" s="21">
        <v>0</v>
      </c>
      <c r="AN204">
        <v>0</v>
      </c>
      <c r="AO204">
        <v>0</v>
      </c>
      <c r="BB204" s="23">
        <f>_xlfn.XLOOKUP(TabelaClean[[#This Row],[nome]],Base_Dirty!$B:$B,Base_Dirty!AX:AX)</f>
        <v>0</v>
      </c>
      <c r="BC20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05" spans="1:55">
      <c r="A205" s="24" t="s">
        <v>76</v>
      </c>
      <c r="B205" s="17" t="s">
        <v>929</v>
      </c>
      <c r="C205" s="25" t="s">
        <v>569</v>
      </c>
      <c r="D205" s="54">
        <v>24</v>
      </c>
      <c r="E205" s="30" t="s">
        <v>809</v>
      </c>
      <c r="F205" s="24" t="str">
        <f>TabelaClean[[#This Row],[CidadeCPF]]</f>
        <v>Castelo Negro</v>
      </c>
      <c r="G205" s="17" t="str">
        <f>TabelaClean[[#This Row],[RegiaoCPF]]</f>
        <v>Norte</v>
      </c>
      <c r="H205" s="17" t="str">
        <f>_xlfn.XLOOKUP(TabelaClean[[#This Row],[cpf]],TabelaDirty[cpfclean],TabelaDirty[cidade])</f>
        <v>Castelo Negro</v>
      </c>
      <c r="I205" s="17" t="str">
        <f>_xlfn.XLOOKUP(TabelaClean[[#This Row],[cpf]],TabelaDirty[cpfclean],TabelaDirty[regiao])</f>
        <v>Norte</v>
      </c>
      <c r="J205" s="17" t="str">
        <f>PROPER(TabelaClean[[#This Row],[Coluna1]])</f>
        <v>Norte</v>
      </c>
      <c r="K205" s="17" t="e">
        <f>_xlfn.TEXTBEFORE(TabelaClean[[#This Row],[CidadeCPF]]," | ")</f>
        <v>#N/A</v>
      </c>
      <c r="L205" s="24" t="e">
        <f>_xlfn.TEXTAFTER(TabelaClean[[#This Row],[CidadeCPF]]," | ")</f>
        <v>#N/A</v>
      </c>
      <c r="M205" s="26">
        <v>29300</v>
      </c>
      <c r="N205" s="78">
        <v>32000</v>
      </c>
      <c r="O205" s="1" t="s">
        <v>51</v>
      </c>
      <c r="P20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5" s="84">
        <v>26</v>
      </c>
      <c r="R205" s="1" t="str" cm="1">
        <f t="array" ref="R205">_xlfn.IFS(TabelaClean[[#This Row],[qtde_batalhas]]&lt;=10,"Baixo",TabelaClean[[#This Row],[qtde_batalhas]]&gt;=26,"Alto",TabelaClean[[#This Row],[qtde_batalhas]]&lt;26,"Médio")</f>
        <v>Alto</v>
      </c>
      <c r="S205" s="1" t="str">
        <f>IF(AND(TabelaClean[[#This Row],[nivel_risco]]="Alto",TabelaClean[[#This Row],[flag_inadimplente]]="Sim"),"Arriscado","Ok")</f>
        <v>Arriscado</v>
      </c>
      <c r="T205" s="26">
        <v>59000</v>
      </c>
      <c r="U205" s="81">
        <f>IF(AND(TabelaClean[[#This Row],[analise_risco]]="Arriscado",TabelaClean[[#This Row],[analise_credito]]="Reprovado"),0,IF(TabelaClean[[#This Row],[status]]="Ativo",TabelaClean[[#This Row],[valor_solicitado]]*1.08,0))</f>
        <v>63720.000000000007</v>
      </c>
      <c r="W205" s="1"/>
      <c r="Y205" t="s">
        <v>809</v>
      </c>
      <c r="Z205" t="str">
        <f t="shared" si="3"/>
        <v>Null</v>
      </c>
      <c r="AE205" t="s">
        <v>357</v>
      </c>
      <c r="AF205" t="str">
        <f>TEXT(AE205,"000\.000\.000\-00")</f>
        <v>000.000.196-00</v>
      </c>
      <c r="AH205" s="15" t="s">
        <v>148</v>
      </c>
      <c r="AJ205" s="22">
        <v>9400</v>
      </c>
      <c r="AK205">
        <v>9400</v>
      </c>
      <c r="AM205" s="20">
        <v>51500</v>
      </c>
      <c r="AN205">
        <v>51500</v>
      </c>
      <c r="AO205">
        <v>51500</v>
      </c>
      <c r="BB205" s="26">
        <v>29300</v>
      </c>
      <c r="BC205" s="81">
        <f>IF(AND(TabelaClean[[#This Row],[analise_risco]]="Arriscado",TabelaClean[[#This Row],[analise_credito]]="Reprovado"),0,IF(TabelaClean[[#This Row],[status]]="Ativo",TabelaClean[[#This Row],[valor_solicitado]]*1.08,0))</f>
        <v>63720.000000000007</v>
      </c>
    </row>
    <row r="206" spans="1:55">
      <c r="A206" s="24" t="s">
        <v>76</v>
      </c>
      <c r="B206" s="17" t="s">
        <v>473</v>
      </c>
      <c r="C206" s="25" t="s">
        <v>915</v>
      </c>
      <c r="D206" s="54">
        <v>43</v>
      </c>
      <c r="E206" s="30">
        <v>30355</v>
      </c>
      <c r="F206" s="24" t="str">
        <f>TabelaClean[[#This Row],[CidadeCPF]]</f>
        <v>Ilha dos Ursos</v>
      </c>
      <c r="G206" s="17" t="str">
        <f>TabelaClean[[#This Row],[RegiaoCPF]]</f>
        <v>Norte</v>
      </c>
      <c r="H206" s="17" t="str">
        <f>_xlfn.XLOOKUP(TabelaClean[[#This Row],[cpf]],TabelaDirty[cpfclean],TabelaDirty[cidade])</f>
        <v>Ilha dos Ursos</v>
      </c>
      <c r="I206" s="17" t="str">
        <f>_xlfn.XLOOKUP(TabelaClean[[#This Row],[cpf]],TabelaDirty[cpfclean],TabelaDirty[regiao])</f>
        <v>Norte</v>
      </c>
      <c r="J206" s="17" t="str">
        <f>PROPER(TabelaClean[[#This Row],[Coluna1]])</f>
        <v>Norte</v>
      </c>
      <c r="K206" s="17" t="e">
        <f>_xlfn.TEXTBEFORE(TabelaClean[[#This Row],[CidadeCPF]]," | ")</f>
        <v>#N/A</v>
      </c>
      <c r="L206" s="24" t="e">
        <f>_xlfn.TEXTAFTER(TabelaClean[[#This Row],[CidadeCPF]]," | ")</f>
        <v>#N/A</v>
      </c>
      <c r="M206" s="26">
        <v>21700</v>
      </c>
      <c r="N206" s="78">
        <v>31000</v>
      </c>
      <c r="O206" s="1" t="s">
        <v>50</v>
      </c>
      <c r="P20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6" s="84">
        <v>27</v>
      </c>
      <c r="R206" s="1" t="str" cm="1">
        <f t="array" ref="R206">_xlfn.IFS(TabelaClean[[#This Row],[qtde_batalhas]]&lt;=10,"Baixo",TabelaClean[[#This Row],[qtde_batalhas]]&gt;=26,"Alto",TabelaClean[[#This Row],[qtde_batalhas]]&lt;26,"Médio")</f>
        <v>Alto</v>
      </c>
      <c r="S206" s="1" t="str">
        <f>IF(AND(TabelaClean[[#This Row],[nivel_risco]]="Alto",TabelaClean[[#This Row],[flag_inadimplente]]="Sim"),"Arriscado","Ok")</f>
        <v>Ok</v>
      </c>
      <c r="T206" s="26">
        <v>45500</v>
      </c>
      <c r="U206" s="81">
        <f>IF(AND(TabelaClean[[#This Row],[analise_risco]]="Arriscado",TabelaClean[[#This Row],[analise_credito]]="Reprovado"),0,IF(TabelaClean[[#This Row],[status]]="Ativo",TabelaClean[[#This Row],[valor_solicitado]]*1.08,0))</f>
        <v>49140</v>
      </c>
      <c r="W206" s="1"/>
      <c r="Y206" t="s">
        <v>809</v>
      </c>
      <c r="Z206" t="str">
        <f t="shared" si="3"/>
        <v>Null</v>
      </c>
      <c r="AE206" t="s">
        <v>522</v>
      </c>
      <c r="AF206" t="str">
        <f>TEXT(AE206,"000\.000\.000\-00")</f>
        <v>000.000.197-00</v>
      </c>
      <c r="AH206" s="15" t="s">
        <v>526</v>
      </c>
      <c r="AJ206" s="22">
        <v>22900</v>
      </c>
      <c r="AK206">
        <v>22900</v>
      </c>
      <c r="AM206" s="21">
        <v>4500</v>
      </c>
      <c r="AN206">
        <v>4500</v>
      </c>
      <c r="AO206">
        <v>4500</v>
      </c>
      <c r="BB206" s="26">
        <v>21700</v>
      </c>
      <c r="BC206" s="81">
        <f>IF(AND(TabelaClean[[#This Row],[analise_risco]]="Arriscado",TabelaClean[[#This Row],[analise_credito]]="Reprovado"),0,IF(TabelaClean[[#This Row],[status]]="Ativo",TabelaClean[[#This Row],[valor_solicitado]]*1.08,0))</f>
        <v>49140</v>
      </c>
    </row>
    <row r="207" spans="1:55">
      <c r="A207" s="24" t="s">
        <v>81</v>
      </c>
      <c r="B207" s="17" t="s">
        <v>930</v>
      </c>
      <c r="C207" s="25" t="s">
        <v>111</v>
      </c>
      <c r="D207" s="54">
        <v>42</v>
      </c>
      <c r="E207" s="30">
        <v>30810</v>
      </c>
      <c r="F207" s="24" t="str">
        <f>TabelaClean[[#This Row],[CidadeCPF]]</f>
        <v>Pyke</v>
      </c>
      <c r="G207" s="17" t="str">
        <f>TabelaClean[[#This Row],[RegiaoCPF]]</f>
        <v>Ilhas De Ferro</v>
      </c>
      <c r="H207" s="17" t="str">
        <f>_xlfn.XLOOKUP(TabelaClean[[#This Row],[cpf]],TabelaDirty[cpfclean],TabelaDirty[cidade])</f>
        <v>Pyke</v>
      </c>
      <c r="I207" s="17" t="str">
        <f>_xlfn.XLOOKUP(TabelaClean[[#This Row],[cpf]],TabelaDirty[cpfclean],TabelaDirty[regiao])</f>
        <v>Ilhas De Ferro</v>
      </c>
      <c r="J207" s="17" t="str">
        <f>PROPER(TabelaClean[[#This Row],[Coluna1]])</f>
        <v>Ilhas De Ferro</v>
      </c>
      <c r="K207" s="17" t="e">
        <f>_xlfn.TEXTBEFORE(TabelaClean[[#This Row],[CidadeCPF]]," | ")</f>
        <v>#N/A</v>
      </c>
      <c r="L207" s="24" t="e">
        <f>_xlfn.TEXTAFTER(TabelaClean[[#This Row],[CidadeCPF]]," | ")</f>
        <v>#N/A</v>
      </c>
      <c r="M207" s="26">
        <v>18200</v>
      </c>
      <c r="N207" s="78">
        <v>31000</v>
      </c>
      <c r="O207" s="1" t="s">
        <v>50</v>
      </c>
      <c r="P20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7" s="84">
        <v>19</v>
      </c>
      <c r="R207" s="1" t="str" cm="1">
        <f t="array" ref="R207">_xlfn.IFS(TabelaClean[[#This Row],[qtde_batalhas]]&lt;=10,"Baixo",TabelaClean[[#This Row],[qtde_batalhas]]&gt;=26,"Alto",TabelaClean[[#This Row],[qtde_batalhas]]&lt;26,"Médio")</f>
        <v>Médio</v>
      </c>
      <c r="S207" s="1" t="str">
        <f>IF(AND(TabelaClean[[#This Row],[nivel_risco]]="Alto",TabelaClean[[#This Row],[flag_inadimplente]]="Sim"),"Arriscado","Ok")</f>
        <v>Ok</v>
      </c>
      <c r="T207" s="26">
        <v>63500</v>
      </c>
      <c r="U20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07" s="1"/>
      <c r="Y207" t="s">
        <v>809</v>
      </c>
      <c r="Z207" t="str">
        <f t="shared" si="3"/>
        <v>Null</v>
      </c>
      <c r="AE207" t="s">
        <v>751</v>
      </c>
      <c r="AF207" t="str">
        <f>TEXT(AE207,"000\.000\.000\-00")</f>
        <v>000.000.199-00</v>
      </c>
      <c r="AH207" s="15" t="s">
        <v>127</v>
      </c>
      <c r="AJ207" s="22">
        <v>21300</v>
      </c>
      <c r="AK207">
        <v>21300</v>
      </c>
      <c r="AM207" s="20">
        <v>48000</v>
      </c>
      <c r="AN207">
        <v>48000</v>
      </c>
      <c r="AO207">
        <v>48000</v>
      </c>
      <c r="BB207" s="26">
        <v>18200</v>
      </c>
      <c r="BC20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08" spans="1:55">
      <c r="A208" s="24" t="s">
        <v>76</v>
      </c>
      <c r="B208" s="17" t="s">
        <v>708</v>
      </c>
      <c r="C208" s="25" t="s">
        <v>709</v>
      </c>
      <c r="D208" s="54">
        <v>25</v>
      </c>
      <c r="E208" s="30">
        <v>36792</v>
      </c>
      <c r="F208" s="24" t="str">
        <f>TabelaClean[[#This Row],[CidadeCPF]]</f>
        <v>Ninho da Águia</v>
      </c>
      <c r="G208" s="17" t="str">
        <f>TabelaClean[[#This Row],[RegiaoCPF]]</f>
        <v>Vale</v>
      </c>
      <c r="H208" s="17" t="str">
        <f>_xlfn.XLOOKUP(TabelaClean[[#This Row],[cpf]],TabelaDirty[cpfclean],TabelaDirty[cidade])</f>
        <v>Ninho da Águia</v>
      </c>
      <c r="I208" s="17" t="str">
        <f>_xlfn.XLOOKUP(TabelaClean[[#This Row],[cpf]],TabelaDirty[cpfclean],TabelaDirty[regiao])</f>
        <v>Vale</v>
      </c>
      <c r="J208" s="17" t="str">
        <f>PROPER(TabelaClean[[#This Row],[Coluna1]])</f>
        <v>Vale</v>
      </c>
      <c r="K208" s="17" t="e">
        <f>_xlfn.TEXTBEFORE(TabelaClean[[#This Row],[CidadeCPF]]," | ")</f>
        <v>#N/A</v>
      </c>
      <c r="L208" s="24" t="e">
        <f>_xlfn.TEXTAFTER(TabelaClean[[#This Row],[CidadeCPF]]," | ")</f>
        <v>#N/A</v>
      </c>
      <c r="M208" s="26">
        <v>22100</v>
      </c>
      <c r="N208" s="78">
        <v>30500</v>
      </c>
      <c r="O208" s="1" t="s">
        <v>50</v>
      </c>
      <c r="P20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8" s="84">
        <v>28</v>
      </c>
      <c r="R208" s="1" t="str" cm="1">
        <f t="array" ref="R208">_xlfn.IFS(TabelaClean[[#This Row],[qtde_batalhas]]&lt;=10,"Baixo",TabelaClean[[#This Row],[qtde_batalhas]]&gt;=26,"Alto",TabelaClean[[#This Row],[qtde_batalhas]]&lt;26,"Médio")</f>
        <v>Alto</v>
      </c>
      <c r="S208" s="1" t="str">
        <f>IF(AND(TabelaClean[[#This Row],[nivel_risco]]="Alto",TabelaClean[[#This Row],[flag_inadimplente]]="Sim"),"Arriscado","Ok")</f>
        <v>Ok</v>
      </c>
      <c r="T208" s="26">
        <v>48000</v>
      </c>
      <c r="U208" s="81">
        <f>IF(AND(TabelaClean[[#This Row],[analise_risco]]="Arriscado",TabelaClean[[#This Row],[analise_credito]]="Reprovado"),0,IF(TabelaClean[[#This Row],[status]]="Ativo",TabelaClean[[#This Row],[valor_solicitado]]*1.08,0))</f>
        <v>51840</v>
      </c>
      <c r="W208" s="1"/>
      <c r="Y208" t="s">
        <v>809</v>
      </c>
      <c r="Z208" t="str">
        <f t="shared" si="3"/>
        <v>Null</v>
      </c>
      <c r="AE208" t="s">
        <v>320</v>
      </c>
      <c r="AF208" t="str">
        <f>TEXT(AE208,"000\.000\.000\-00")</f>
        <v>000.000.200-00</v>
      </c>
      <c r="AH208" s="15" t="s">
        <v>242</v>
      </c>
      <c r="AJ208" s="22" t="s">
        <v>207</v>
      </c>
      <c r="AK208">
        <v>29900</v>
      </c>
      <c r="AM208" s="21">
        <v>0</v>
      </c>
      <c r="AN208">
        <v>0</v>
      </c>
      <c r="AO208">
        <v>0</v>
      </c>
      <c r="BB208" s="26">
        <v>22100</v>
      </c>
      <c r="BC208" s="81">
        <f>IF(AND(TabelaClean[[#This Row],[analise_risco]]="Arriscado",TabelaClean[[#This Row],[analise_credito]]="Reprovado"),0,IF(TabelaClean[[#This Row],[status]]="Ativo",TabelaClean[[#This Row],[valor_solicitado]]*1.08,0))</f>
        <v>51840</v>
      </c>
    </row>
    <row r="209" spans="1:55">
      <c r="A209" s="24" t="s">
        <v>76</v>
      </c>
      <c r="B209" s="17" t="s">
        <v>723</v>
      </c>
      <c r="C209" s="25" t="s">
        <v>724</v>
      </c>
      <c r="D209" s="54">
        <v>19</v>
      </c>
      <c r="E209" s="30">
        <v>39003</v>
      </c>
      <c r="F209" s="24" t="str">
        <f>TabelaClean[[#This Row],[CidadeCPF]]</f>
        <v>Ilha dos Ursos</v>
      </c>
      <c r="G209" s="17" t="str">
        <f>TabelaClean[[#This Row],[RegiaoCPF]]</f>
        <v>Norte</v>
      </c>
      <c r="H209" s="17" t="str">
        <f>_xlfn.XLOOKUP(TabelaClean[[#This Row],[cpf]],TabelaDirty[cpfclean],TabelaDirty[cidade])</f>
        <v>Ilha dos Ursos</v>
      </c>
      <c r="I209" s="17" t="str">
        <f>_xlfn.XLOOKUP(TabelaClean[[#This Row],[cpf]],TabelaDirty[cpfclean],TabelaDirty[regiao])</f>
        <v>Norte</v>
      </c>
      <c r="J209" s="17" t="str">
        <f>PROPER(TabelaClean[[#This Row],[Coluna1]])</f>
        <v>Norte</v>
      </c>
      <c r="K209" s="17" t="e">
        <f>_xlfn.TEXTBEFORE(TabelaClean[[#This Row],[CidadeCPF]]," | ")</f>
        <v>#N/A</v>
      </c>
      <c r="L209" s="24" t="e">
        <f>_xlfn.TEXTAFTER(TabelaClean[[#This Row],[CidadeCPF]]," | ")</f>
        <v>#N/A</v>
      </c>
      <c r="M209" s="26">
        <v>4000</v>
      </c>
      <c r="N209" s="78">
        <v>29500</v>
      </c>
      <c r="O209" s="1" t="s">
        <v>51</v>
      </c>
      <c r="P20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09" s="84">
        <v>13</v>
      </c>
      <c r="R209" s="1" t="str" cm="1">
        <f t="array" ref="R209">_xlfn.IFS(TabelaClean[[#This Row],[qtde_batalhas]]&lt;=10,"Baixo",TabelaClean[[#This Row],[qtde_batalhas]]&gt;=26,"Alto",TabelaClean[[#This Row],[qtde_batalhas]]&lt;26,"Médio")</f>
        <v>Médio</v>
      </c>
      <c r="S209" s="1" t="str">
        <f>IF(AND(TabelaClean[[#This Row],[nivel_risco]]="Alto",TabelaClean[[#This Row],[flag_inadimplente]]="Sim"),"Arriscado","Ok")</f>
        <v>Ok</v>
      </c>
      <c r="T209" s="26">
        <v>5000</v>
      </c>
      <c r="U209" s="81">
        <f>IF(AND(TabelaClean[[#This Row],[analise_risco]]="Arriscado",TabelaClean[[#This Row],[analise_credito]]="Reprovado"),0,IF(TabelaClean[[#This Row],[status]]="Ativo",TabelaClean[[#This Row],[valor_solicitado]]*1.08,0))</f>
        <v>5400</v>
      </c>
      <c r="W209" s="1"/>
      <c r="Y209" t="s">
        <v>809</v>
      </c>
      <c r="Z209" t="str">
        <f t="shared" si="3"/>
        <v>Null</v>
      </c>
      <c r="AE209" t="s">
        <v>489</v>
      </c>
      <c r="AF209" t="str">
        <f>TEXT(AE209,"000\.000\.000\-00")</f>
        <v>000.000.201-00</v>
      </c>
      <c r="AH209" s="15" t="s">
        <v>172</v>
      </c>
      <c r="AJ209" s="22">
        <v>9600</v>
      </c>
      <c r="AK209">
        <v>9600</v>
      </c>
      <c r="AM209" s="20">
        <v>43000</v>
      </c>
      <c r="AN209">
        <v>43000</v>
      </c>
      <c r="AO209">
        <v>43000</v>
      </c>
      <c r="BB209" s="26">
        <v>4000</v>
      </c>
      <c r="BC209" s="81">
        <f>IF(AND(TabelaClean[[#This Row],[analise_risco]]="Arriscado",TabelaClean[[#This Row],[analise_credito]]="Reprovado"),0,IF(TabelaClean[[#This Row],[status]]="Ativo",TabelaClean[[#This Row],[valor_solicitado]]*1.08,0))</f>
        <v>5400</v>
      </c>
    </row>
    <row r="210" spans="1:55">
      <c r="A210" s="24" t="s">
        <v>81</v>
      </c>
      <c r="B210" s="17" t="s">
        <v>931</v>
      </c>
      <c r="C210" s="25" t="s">
        <v>380</v>
      </c>
      <c r="D210" s="54">
        <v>63</v>
      </c>
      <c r="E210" s="30">
        <v>22994</v>
      </c>
      <c r="F210" s="24" t="str">
        <f>TabelaClean[[#This Row],[CidadeCPF]]</f>
        <v>Pyke</v>
      </c>
      <c r="G210" s="17" t="str">
        <f>TabelaClean[[#This Row],[RegiaoCPF]]</f>
        <v>Ilhas De Ferro</v>
      </c>
      <c r="H210" s="17" t="str">
        <f>_xlfn.XLOOKUP(TabelaClean[[#This Row],[cpf]],TabelaDirty[cpfclean],TabelaDirty[cidade])</f>
        <v>Pyke</v>
      </c>
      <c r="I210" s="17" t="str">
        <f>_xlfn.XLOOKUP(TabelaClean[[#This Row],[cpf]],TabelaDirty[cpfclean],TabelaDirty[regiao])</f>
        <v>ilhas de ferro</v>
      </c>
      <c r="J210" s="17" t="str">
        <f>PROPER(TabelaClean[[#This Row],[Coluna1]])</f>
        <v>Ilhas De Ferro</v>
      </c>
      <c r="K210" s="17" t="e">
        <f>_xlfn.TEXTBEFORE(TabelaClean[[#This Row],[CidadeCPF]]," | ")</f>
        <v>#N/A</v>
      </c>
      <c r="L210" s="24" t="e">
        <f>_xlfn.TEXTAFTER(TabelaClean[[#This Row],[CidadeCPF]]," | ")</f>
        <v>#N/A</v>
      </c>
      <c r="M210" s="26">
        <v>20000</v>
      </c>
      <c r="N210" s="78">
        <v>29500</v>
      </c>
      <c r="O210" s="1" t="s">
        <v>50</v>
      </c>
      <c r="P21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0" s="84">
        <v>42</v>
      </c>
      <c r="R210" s="1" t="str" cm="1">
        <f t="array" ref="R210">_xlfn.IFS(TabelaClean[[#This Row],[qtde_batalhas]]&lt;=10,"Baixo",TabelaClean[[#This Row],[qtde_batalhas]]&gt;=26,"Alto",TabelaClean[[#This Row],[qtde_batalhas]]&lt;26,"Médio")</f>
        <v>Alto</v>
      </c>
      <c r="S210" s="1" t="str">
        <f>IF(AND(TabelaClean[[#This Row],[nivel_risco]]="Alto",TabelaClean[[#This Row],[flag_inadimplente]]="Sim"),"Arriscado","Ok")</f>
        <v>Ok</v>
      </c>
      <c r="T210" s="26">
        <v>5000</v>
      </c>
      <c r="U21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10" s="1"/>
      <c r="Y210" t="s">
        <v>809</v>
      </c>
      <c r="Z210" t="str">
        <f t="shared" si="3"/>
        <v>Null</v>
      </c>
      <c r="AE210" t="s">
        <v>690</v>
      </c>
      <c r="AF210" t="str">
        <f>TEXT(AE210,"000\.000\.000\-00")</f>
        <v>000.000.202-00</v>
      </c>
      <c r="AH210" s="15" t="s">
        <v>242</v>
      </c>
      <c r="AJ210" s="22">
        <v>29100</v>
      </c>
      <c r="AK210">
        <v>29100</v>
      </c>
      <c r="AM210" s="21" t="s">
        <v>143</v>
      </c>
      <c r="AN210" t="s">
        <v>809</v>
      </c>
      <c r="AO210" t="s">
        <v>809</v>
      </c>
      <c r="BB210" s="26">
        <v>20000</v>
      </c>
      <c r="BC21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11" spans="1:55">
      <c r="A211" s="24" t="s">
        <v>76</v>
      </c>
      <c r="B211" s="17" t="s">
        <v>374</v>
      </c>
      <c r="C211" s="25" t="s">
        <v>375</v>
      </c>
      <c r="D211" s="54">
        <v>65</v>
      </c>
      <c r="E211" s="30">
        <v>22505</v>
      </c>
      <c r="F211" s="24" t="str">
        <f>TabelaClean[[#This Row],[CidadeCPF]]</f>
        <v>Ilha dos Ursos</v>
      </c>
      <c r="G211" s="17" t="str">
        <f>TabelaClean[[#This Row],[RegiaoCPF]]</f>
        <v>Norte</v>
      </c>
      <c r="H211" s="17" t="str">
        <f>_xlfn.XLOOKUP(TabelaClean[[#This Row],[cpf]],TabelaDirty[cpfclean],TabelaDirty[cidade])</f>
        <v>Ilha dos Ursos</v>
      </c>
      <c r="I211" s="17" t="str">
        <f>_xlfn.XLOOKUP(TabelaClean[[#This Row],[cpf]],TabelaDirty[cpfclean],TabelaDirty[regiao])</f>
        <v>Norte</v>
      </c>
      <c r="J211" s="17" t="str">
        <f>PROPER(TabelaClean[[#This Row],[Coluna1]])</f>
        <v>Norte</v>
      </c>
      <c r="K211" s="17" t="e">
        <f>_xlfn.TEXTBEFORE(TabelaClean[[#This Row],[CidadeCPF]]," | ")</f>
        <v>#N/A</v>
      </c>
      <c r="L211" s="24" t="e">
        <f>_xlfn.TEXTAFTER(TabelaClean[[#This Row],[CidadeCPF]]," | ")</f>
        <v>#N/A</v>
      </c>
      <c r="M211" s="26">
        <v>29000</v>
      </c>
      <c r="N211" s="78">
        <v>28500</v>
      </c>
      <c r="O211" s="1" t="s">
        <v>50</v>
      </c>
      <c r="P21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1" s="84">
        <v>28</v>
      </c>
      <c r="R211" s="1" t="str" cm="1">
        <f t="array" ref="R211">_xlfn.IFS(TabelaClean[[#This Row],[qtde_batalhas]]&lt;=10,"Baixo",TabelaClean[[#This Row],[qtde_batalhas]]&gt;=26,"Alto",TabelaClean[[#This Row],[qtde_batalhas]]&lt;26,"Médio")</f>
        <v>Alto</v>
      </c>
      <c r="S211" s="1" t="str">
        <f>IF(AND(TabelaClean[[#This Row],[nivel_risco]]="Alto",TabelaClean[[#This Row],[flag_inadimplente]]="Sim"),"Arriscado","Ok")</f>
        <v>Ok</v>
      </c>
      <c r="T211" s="26">
        <v>57500</v>
      </c>
      <c r="U211" s="81">
        <f>IF(AND(TabelaClean[[#This Row],[analise_risco]]="Arriscado",TabelaClean[[#This Row],[analise_credito]]="Reprovado"),0,IF(TabelaClean[[#This Row],[status]]="Ativo",TabelaClean[[#This Row],[valor_solicitado]]*1.08,0))</f>
        <v>62100.000000000007</v>
      </c>
      <c r="W211" s="1"/>
      <c r="Y211" t="s">
        <v>809</v>
      </c>
      <c r="Z211" t="str">
        <f t="shared" si="3"/>
        <v>Null</v>
      </c>
      <c r="AE211" t="s">
        <v>716</v>
      </c>
      <c r="AF211" t="str">
        <f>TEXT(AE211,"000\.000\.000\-00")</f>
        <v>000.000.204-00</v>
      </c>
      <c r="AH211" s="15" t="s">
        <v>210</v>
      </c>
      <c r="AJ211" s="22" t="s">
        <v>198</v>
      </c>
      <c r="AK211">
        <v>23400</v>
      </c>
      <c r="AM211" s="20">
        <v>28000</v>
      </c>
      <c r="AN211">
        <v>28000</v>
      </c>
      <c r="AO211">
        <v>28000</v>
      </c>
      <c r="BB211" s="26">
        <v>29000</v>
      </c>
      <c r="BC211" s="81">
        <f>IF(AND(TabelaClean[[#This Row],[analise_risco]]="Arriscado",TabelaClean[[#This Row],[analise_credito]]="Reprovado"),0,IF(TabelaClean[[#This Row],[status]]="Ativo",TabelaClean[[#This Row],[valor_solicitado]]*1.08,0))</f>
        <v>62100.000000000007</v>
      </c>
    </row>
    <row r="212" spans="1:55">
      <c r="A212" s="24" t="s">
        <v>76</v>
      </c>
      <c r="B212" s="17" t="s">
        <v>932</v>
      </c>
      <c r="C212" s="25" t="s">
        <v>576</v>
      </c>
      <c r="D212" s="54">
        <v>23</v>
      </c>
      <c r="E212" s="30">
        <v>37785</v>
      </c>
      <c r="F212" s="24" t="str">
        <f>TabelaClean[[#This Row],[CidadeCPF]]</f>
        <v>Porto Real</v>
      </c>
      <c r="G212" s="17" t="str">
        <f>TabelaClean[[#This Row],[RegiaoCPF]]</f>
        <v>Terras Da Coroa</v>
      </c>
      <c r="H212" s="17" t="str">
        <f>_xlfn.XLOOKUP(TabelaClean[[#This Row],[cpf]],TabelaDirty[cpfclean],TabelaDirty[cidade])</f>
        <v>Porto Real</v>
      </c>
      <c r="I212" s="17" t="str">
        <f>_xlfn.XLOOKUP(TabelaClean[[#This Row],[cpf]],TabelaDirty[cpfclean],TabelaDirty[regiao])</f>
        <v>Terras Da Coroa</v>
      </c>
      <c r="J212" s="17" t="str">
        <f>PROPER(TabelaClean[[#This Row],[Coluna1]])</f>
        <v>Terras Da Coroa</v>
      </c>
      <c r="K212" s="17" t="e">
        <f>_xlfn.TEXTBEFORE(TabelaClean[[#This Row],[CidadeCPF]]," | ")</f>
        <v>#N/A</v>
      </c>
      <c r="L212" s="24" t="e">
        <f>_xlfn.TEXTAFTER(TabelaClean[[#This Row],[CidadeCPF]]," | ")</f>
        <v>#N/A</v>
      </c>
      <c r="M212" s="26">
        <v>17900</v>
      </c>
      <c r="N212" s="78">
        <v>28000</v>
      </c>
      <c r="O212" s="1" t="s">
        <v>50</v>
      </c>
      <c r="P21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2" s="84">
        <v>41</v>
      </c>
      <c r="R212" s="1" t="str" cm="1">
        <f t="array" ref="R212">_xlfn.IFS(TabelaClean[[#This Row],[qtde_batalhas]]&lt;=10,"Baixo",TabelaClean[[#This Row],[qtde_batalhas]]&gt;=26,"Alto",TabelaClean[[#This Row],[qtde_batalhas]]&lt;26,"Médio")</f>
        <v>Alto</v>
      </c>
      <c r="S212" s="1" t="str">
        <f>IF(AND(TabelaClean[[#This Row],[nivel_risco]]="Alto",TabelaClean[[#This Row],[flag_inadimplente]]="Sim"),"Arriscado","Ok")</f>
        <v>Ok</v>
      </c>
      <c r="T212" s="26">
        <v>52500</v>
      </c>
      <c r="U212" s="81">
        <f>IF(AND(TabelaClean[[#This Row],[analise_risco]]="Arriscado",TabelaClean[[#This Row],[analise_credito]]="Reprovado"),0,IF(TabelaClean[[#This Row],[status]]="Ativo",TabelaClean[[#This Row],[valor_solicitado]]*1.08,0))</f>
        <v>56700.000000000007</v>
      </c>
      <c r="W212" s="1"/>
      <c r="Y212" t="s">
        <v>809</v>
      </c>
      <c r="Z212" t="str">
        <f t="shared" si="3"/>
        <v>Null</v>
      </c>
      <c r="AE212" t="s">
        <v>195</v>
      </c>
      <c r="AF212" t="str">
        <f>TEXT(AE212,"000\.000\.000\-00")</f>
        <v>000.000.205-00</v>
      </c>
      <c r="AH212" s="15" t="s">
        <v>112</v>
      </c>
      <c r="AJ212" s="22">
        <v>26300</v>
      </c>
      <c r="AK212">
        <v>26300</v>
      </c>
      <c r="AM212" s="21">
        <v>40000</v>
      </c>
      <c r="AN212">
        <v>40000</v>
      </c>
      <c r="AO212">
        <v>40000</v>
      </c>
      <c r="BB212" s="26">
        <v>17900</v>
      </c>
      <c r="BC212" s="81">
        <f>IF(AND(TabelaClean[[#This Row],[analise_risco]]="Arriscado",TabelaClean[[#This Row],[analise_credito]]="Reprovado"),0,IF(TabelaClean[[#This Row],[status]]="Ativo",TabelaClean[[#This Row],[valor_solicitado]]*1.08,0))</f>
        <v>56700.000000000007</v>
      </c>
    </row>
    <row r="213" spans="1:55">
      <c r="A213" s="24" t="s">
        <v>76</v>
      </c>
      <c r="B213" s="17" t="s">
        <v>196</v>
      </c>
      <c r="C213" s="25" t="s">
        <v>197</v>
      </c>
      <c r="D213" s="54">
        <v>65</v>
      </c>
      <c r="E213" s="30">
        <v>22236</v>
      </c>
      <c r="F213" s="24" t="str">
        <f>TabelaClean[[#This Row],[CidadeCPF]]</f>
        <v>Pyke</v>
      </c>
      <c r="G213" s="17" t="str">
        <f>TabelaClean[[#This Row],[RegiaoCPF]]</f>
        <v>Ilhas De Ferro</v>
      </c>
      <c r="H213" s="17" t="str">
        <f>_xlfn.XLOOKUP(TabelaClean[[#This Row],[cpf]],TabelaDirty[cpfclean],TabelaDirty[cidade])</f>
        <v>Pyke</v>
      </c>
      <c r="I213" s="17" t="str">
        <f>_xlfn.XLOOKUP(TabelaClean[[#This Row],[cpf]],TabelaDirty[cpfclean],TabelaDirty[regiao])</f>
        <v>Ilhas De Ferro</v>
      </c>
      <c r="J213" s="17" t="str">
        <f>PROPER(TabelaClean[[#This Row],[Coluna1]])</f>
        <v>Ilhas De Ferro</v>
      </c>
      <c r="K213" s="17" t="e">
        <f>_xlfn.TEXTBEFORE(TabelaClean[[#This Row],[CidadeCPF]]," | ")</f>
        <v>#N/A</v>
      </c>
      <c r="L213" s="24" t="e">
        <f>_xlfn.TEXTAFTER(TabelaClean[[#This Row],[CidadeCPF]]," | ")</f>
        <v>#N/A</v>
      </c>
      <c r="M213" s="26">
        <v>23400</v>
      </c>
      <c r="N213" s="78">
        <v>28000</v>
      </c>
      <c r="O213" s="1" t="s">
        <v>50</v>
      </c>
      <c r="P21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3" s="84">
        <v>34</v>
      </c>
      <c r="R213" s="1" t="str" cm="1">
        <f t="array" ref="R213">_xlfn.IFS(TabelaClean[[#This Row],[qtde_batalhas]]&lt;=10,"Baixo",TabelaClean[[#This Row],[qtde_batalhas]]&gt;=26,"Alto",TabelaClean[[#This Row],[qtde_batalhas]]&lt;26,"Médio")</f>
        <v>Alto</v>
      </c>
      <c r="S213" s="1" t="str">
        <f>IF(AND(TabelaClean[[#This Row],[nivel_risco]]="Alto",TabelaClean[[#This Row],[flag_inadimplente]]="Sim"),"Arriscado","Ok")</f>
        <v>Ok</v>
      </c>
      <c r="T213" s="26">
        <v>74000</v>
      </c>
      <c r="U213" s="81">
        <f>IF(AND(TabelaClean[[#This Row],[analise_risco]]="Arriscado",TabelaClean[[#This Row],[analise_credito]]="Reprovado"),0,IF(TabelaClean[[#This Row],[status]]="Ativo",TabelaClean[[#This Row],[valor_solicitado]]*1.08,0))</f>
        <v>79920</v>
      </c>
      <c r="W213" s="1"/>
      <c r="Y213" t="s">
        <v>809</v>
      </c>
      <c r="Z213" t="str">
        <f t="shared" si="3"/>
        <v>Null</v>
      </c>
      <c r="AE213" t="s">
        <v>673</v>
      </c>
      <c r="AF213" t="str">
        <f>TEXT(AE213,"000\.000\.000\-00")</f>
        <v>000.000.208-00</v>
      </c>
      <c r="AH213" s="15" t="s">
        <v>89</v>
      </c>
      <c r="AJ213" s="22">
        <v>2000</v>
      </c>
      <c r="AK213">
        <v>2000</v>
      </c>
      <c r="AM213" s="20">
        <v>5500</v>
      </c>
      <c r="AN213">
        <v>5500</v>
      </c>
      <c r="AO213">
        <v>5500</v>
      </c>
      <c r="BB213" s="26">
        <v>23400</v>
      </c>
      <c r="BC213" s="81">
        <f>IF(AND(TabelaClean[[#This Row],[analise_risco]]="Arriscado",TabelaClean[[#This Row],[analise_credito]]="Reprovado"),0,IF(TabelaClean[[#This Row],[status]]="Ativo",TabelaClean[[#This Row],[valor_solicitado]]*1.08,0))</f>
        <v>79920</v>
      </c>
    </row>
    <row r="214" spans="1:55">
      <c r="A214" s="24" t="s">
        <v>76</v>
      </c>
      <c r="B214" s="17" t="s">
        <v>351</v>
      </c>
      <c r="C214" s="25" t="s">
        <v>352</v>
      </c>
      <c r="D214" s="54">
        <v>69</v>
      </c>
      <c r="E214" s="30">
        <v>20725</v>
      </c>
      <c r="F214" s="24" t="str">
        <f>TabelaClean[[#This Row],[CidadeCPF]]</f>
        <v>Correrrio</v>
      </c>
      <c r="G214" s="17" t="str">
        <f>TabelaClean[[#This Row],[RegiaoCPF]]</f>
        <v>Terras Fluviais</v>
      </c>
      <c r="H214" s="17" t="str">
        <f>_xlfn.XLOOKUP(TabelaClean[[#This Row],[cpf]],TabelaDirty[cpfclean],TabelaDirty[cidade])</f>
        <v>Correrrio</v>
      </c>
      <c r="I214" s="17" t="str">
        <f>_xlfn.XLOOKUP(TabelaClean[[#This Row],[cpf]],TabelaDirty[cpfclean],TabelaDirty[regiao])</f>
        <v>terras fluviais</v>
      </c>
      <c r="J214" s="17" t="str">
        <f>PROPER(TabelaClean[[#This Row],[Coluna1]])</f>
        <v>Terras Fluviais</v>
      </c>
      <c r="K214" s="17" t="e">
        <f>_xlfn.TEXTBEFORE(TabelaClean[[#This Row],[CidadeCPF]]," | ")</f>
        <v>#N/A</v>
      </c>
      <c r="L214" s="24" t="e">
        <f>_xlfn.TEXTAFTER(TabelaClean[[#This Row],[CidadeCPF]]," | ")</f>
        <v>#N/A</v>
      </c>
      <c r="M214" s="26">
        <v>8100</v>
      </c>
      <c r="N214" s="78">
        <v>27500</v>
      </c>
      <c r="O214" s="1" t="s">
        <v>50</v>
      </c>
      <c r="P21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4" s="84">
        <v>42</v>
      </c>
      <c r="R214" s="1" t="str" cm="1">
        <f t="array" ref="R214">_xlfn.IFS(TabelaClean[[#This Row],[qtde_batalhas]]&lt;=10,"Baixo",TabelaClean[[#This Row],[qtde_batalhas]]&gt;=26,"Alto",TabelaClean[[#This Row],[qtde_batalhas]]&lt;26,"Médio")</f>
        <v>Alto</v>
      </c>
      <c r="S214" s="1" t="str">
        <f>IF(AND(TabelaClean[[#This Row],[nivel_risco]]="Alto",TabelaClean[[#This Row],[flag_inadimplente]]="Sim"),"Arriscado","Ok")</f>
        <v>Ok</v>
      </c>
      <c r="T214" s="26">
        <v>72500</v>
      </c>
      <c r="U214" s="81">
        <f>IF(AND(TabelaClean[[#This Row],[analise_risco]]="Arriscado",TabelaClean[[#This Row],[analise_credito]]="Reprovado"),0,IF(TabelaClean[[#This Row],[status]]="Ativo",TabelaClean[[#This Row],[valor_solicitado]]*1.08,0))</f>
        <v>78300</v>
      </c>
      <c r="W214" s="1"/>
      <c r="Y214" t="s">
        <v>135</v>
      </c>
      <c r="Z214" t="str">
        <f t="shared" si="3"/>
        <v>Terras Da Tempestade</v>
      </c>
      <c r="AE214" t="s">
        <v>95</v>
      </c>
      <c r="AF214" t="str">
        <f>TEXT(AE214,"000\.000\.000\-00")</f>
        <v>000.000.210-00</v>
      </c>
      <c r="AH214" s="15" t="s">
        <v>172</v>
      </c>
      <c r="AJ214" s="22">
        <v>12900</v>
      </c>
      <c r="AK214">
        <v>12900</v>
      </c>
      <c r="AM214" s="21">
        <v>26500</v>
      </c>
      <c r="AN214">
        <v>26500</v>
      </c>
      <c r="AO214">
        <v>26500</v>
      </c>
      <c r="BB214" s="26">
        <v>8100</v>
      </c>
      <c r="BC214" s="81">
        <f>IF(AND(TabelaClean[[#This Row],[analise_risco]]="Arriscado",TabelaClean[[#This Row],[analise_credito]]="Reprovado"),0,IF(TabelaClean[[#This Row],[status]]="Ativo",TabelaClean[[#This Row],[valor_solicitado]]*1.08,0))</f>
        <v>78300</v>
      </c>
    </row>
    <row r="215" spans="1:55">
      <c r="A215" s="24" t="s">
        <v>76</v>
      </c>
      <c r="B215" s="17" t="s">
        <v>754</v>
      </c>
      <c r="C215" s="25" t="s">
        <v>817</v>
      </c>
      <c r="D215" s="54">
        <v>27</v>
      </c>
      <c r="E215" s="30">
        <v>36152</v>
      </c>
      <c r="F215" s="24" t="str">
        <f>TabelaClean[[#This Row],[CidadeCPF]]</f>
        <v>Jardim de Cima</v>
      </c>
      <c r="G215" s="17" t="str">
        <f>TabelaClean[[#This Row],[RegiaoCPF]]</f>
        <v>Campina</v>
      </c>
      <c r="H215" s="17" t="str">
        <f>_xlfn.XLOOKUP(TabelaClean[[#This Row],[cpf]],TabelaDirty[cpfclean],TabelaDirty[cidade])</f>
        <v>Jardim de Cima</v>
      </c>
      <c r="I215" s="17" t="str">
        <f>_xlfn.XLOOKUP(TabelaClean[[#This Row],[cpf]],TabelaDirty[cpfclean],TabelaDirty[regiao])</f>
        <v>CAMPINA</v>
      </c>
      <c r="J215" s="17" t="str">
        <f>PROPER(TabelaClean[[#This Row],[Coluna1]])</f>
        <v>Campina</v>
      </c>
      <c r="K215" s="17" t="e">
        <f>_xlfn.TEXTBEFORE(TabelaClean[[#This Row],[CidadeCPF]]," | ")</f>
        <v>#N/A</v>
      </c>
      <c r="L215" s="24" t="e">
        <f>_xlfn.TEXTAFTER(TabelaClean[[#This Row],[CidadeCPF]]," | ")</f>
        <v>#N/A</v>
      </c>
      <c r="M215" s="26">
        <v>30000</v>
      </c>
      <c r="N215" s="78">
        <v>27000</v>
      </c>
      <c r="O215" s="1" t="s">
        <v>51</v>
      </c>
      <c r="P21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5" s="84">
        <v>28</v>
      </c>
      <c r="R215" s="1" t="str" cm="1">
        <f t="array" ref="R215">_xlfn.IFS(TabelaClean[[#This Row],[qtde_batalhas]]&lt;=10,"Baixo",TabelaClean[[#This Row],[qtde_batalhas]]&gt;=26,"Alto",TabelaClean[[#This Row],[qtde_batalhas]]&lt;26,"Médio")</f>
        <v>Alto</v>
      </c>
      <c r="S215" s="1" t="str">
        <f>IF(AND(TabelaClean[[#This Row],[nivel_risco]]="Alto",TabelaClean[[#This Row],[flag_inadimplente]]="Sim"),"Arriscado","Ok")</f>
        <v>Arriscado</v>
      </c>
      <c r="T215" s="26">
        <v>28500</v>
      </c>
      <c r="U215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  <c r="W215" s="1"/>
      <c r="Y215" t="s">
        <v>142</v>
      </c>
      <c r="Z215" t="str">
        <f t="shared" si="3"/>
        <v>Norte</v>
      </c>
      <c r="AE215" t="s">
        <v>480</v>
      </c>
      <c r="AF215" t="str">
        <f>TEXT(AE215,"000\.000\.000\-00")</f>
        <v>000.000.211-00</v>
      </c>
      <c r="AH215" s="15" t="s">
        <v>79</v>
      </c>
      <c r="AJ215" s="22">
        <v>29300</v>
      </c>
      <c r="AK215">
        <v>29300</v>
      </c>
      <c r="AM215" s="20">
        <v>32000</v>
      </c>
      <c r="AN215">
        <v>32000</v>
      </c>
      <c r="AO215">
        <v>32000</v>
      </c>
      <c r="BB215" s="26">
        <v>30000</v>
      </c>
      <c r="BC215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</row>
    <row r="216" spans="1:55">
      <c r="A216" s="24" t="s">
        <v>76</v>
      </c>
      <c r="B216" s="17" t="s">
        <v>434</v>
      </c>
      <c r="C216" s="25" t="s">
        <v>435</v>
      </c>
      <c r="D216" s="54">
        <v>72</v>
      </c>
      <c r="E216" s="30">
        <v>19839</v>
      </c>
      <c r="F216" s="24" t="str">
        <f>TabelaClean[[#This Row],[CidadeCPF]]</f>
        <v>Ninho da Águia</v>
      </c>
      <c r="G216" s="17" t="str">
        <f>TabelaClean[[#This Row],[RegiaoCPF]]</f>
        <v>Vale</v>
      </c>
      <c r="H216" s="17" t="str">
        <f>_xlfn.XLOOKUP(TabelaClean[[#This Row],[cpf]],TabelaDirty[cpfclean],TabelaDirty[cidade])</f>
        <v>Ninho da Águia</v>
      </c>
      <c r="I216" s="17" t="str">
        <f>_xlfn.XLOOKUP(TabelaClean[[#This Row],[cpf]],TabelaDirty[cpfclean],TabelaDirty[regiao])</f>
        <v>VALE</v>
      </c>
      <c r="J216" s="17" t="str">
        <f>PROPER(TabelaClean[[#This Row],[Coluna1]])</f>
        <v>Vale</v>
      </c>
      <c r="K216" s="17" t="e">
        <f>_xlfn.TEXTBEFORE(TabelaClean[[#This Row],[CidadeCPF]]," | ")</f>
        <v>#N/A</v>
      </c>
      <c r="L216" s="24" t="e">
        <f>_xlfn.TEXTAFTER(TabelaClean[[#This Row],[CidadeCPF]]," | ")</f>
        <v>#N/A</v>
      </c>
      <c r="M216" s="26">
        <v>3900</v>
      </c>
      <c r="N216" s="78">
        <v>27000</v>
      </c>
      <c r="O216" s="1" t="s">
        <v>50</v>
      </c>
      <c r="P21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6" s="84">
        <v>33</v>
      </c>
      <c r="R216" s="1" t="str" cm="1">
        <f t="array" ref="R216">_xlfn.IFS(TabelaClean[[#This Row],[qtde_batalhas]]&lt;=10,"Baixo",TabelaClean[[#This Row],[qtde_batalhas]]&gt;=26,"Alto",TabelaClean[[#This Row],[qtde_batalhas]]&lt;26,"Médio")</f>
        <v>Alto</v>
      </c>
      <c r="S216" s="1" t="str">
        <f>IF(AND(TabelaClean[[#This Row],[nivel_risco]]="Alto",TabelaClean[[#This Row],[flag_inadimplente]]="Sim"),"Arriscado","Ok")</f>
        <v>Ok</v>
      </c>
      <c r="T216" s="26">
        <v>2000</v>
      </c>
      <c r="U216" s="81">
        <f>IF(AND(TabelaClean[[#This Row],[analise_risco]]="Arriscado",TabelaClean[[#This Row],[analise_credito]]="Reprovado"),0,IF(TabelaClean[[#This Row],[status]]="Ativo",TabelaClean[[#This Row],[valor_solicitado]]*1.08,0))</f>
        <v>2160</v>
      </c>
      <c r="W216" s="1"/>
      <c r="Y216" t="s">
        <v>183</v>
      </c>
      <c r="Z216" t="str">
        <f t="shared" si="3"/>
        <v>Dorne</v>
      </c>
      <c r="AE216" t="s">
        <v>740</v>
      </c>
      <c r="AF216" t="str">
        <f>TEXT(AE216,"000\.000\.000\-00")</f>
        <v>000.000.213-00</v>
      </c>
      <c r="AH216" s="15" t="s">
        <v>148</v>
      </c>
      <c r="AJ216" s="22">
        <v>21000</v>
      </c>
      <c r="AK216">
        <v>21000</v>
      </c>
      <c r="AM216" s="21">
        <v>0</v>
      </c>
      <c r="AN216">
        <v>0</v>
      </c>
      <c r="AO216">
        <v>0</v>
      </c>
      <c r="BB216" s="26">
        <v>3900</v>
      </c>
      <c r="BC216" s="81">
        <f>IF(AND(TabelaClean[[#This Row],[analise_risco]]="Arriscado",TabelaClean[[#This Row],[analise_credito]]="Reprovado"),0,IF(TabelaClean[[#This Row],[status]]="Ativo",TabelaClean[[#This Row],[valor_solicitado]]*1.08,0))</f>
        <v>2160</v>
      </c>
    </row>
    <row r="217" spans="1:55">
      <c r="A217" s="24" t="s">
        <v>76</v>
      </c>
      <c r="B217" s="17" t="s">
        <v>457</v>
      </c>
      <c r="C217" s="25" t="s">
        <v>458</v>
      </c>
      <c r="D217" s="54">
        <v>48</v>
      </c>
      <c r="E217" s="30">
        <v>28673</v>
      </c>
      <c r="F217" s="24" t="str">
        <f>TabelaClean[[#This Row],[CidadeCPF]]</f>
        <v>Atalaia da Água Cinzenta</v>
      </c>
      <c r="G217" s="17" t="str">
        <f>TabelaClean[[#This Row],[RegiaoCPF]]</f>
        <v>Gargalo</v>
      </c>
      <c r="H217" s="17" t="str">
        <f>_xlfn.XLOOKUP(TabelaClean[[#This Row],[cpf]],TabelaDirty[cpfclean],TabelaDirty[cidade])</f>
        <v>Atalaia da Água Cinzenta</v>
      </c>
      <c r="I217" s="17" t="str">
        <f>_xlfn.XLOOKUP(TabelaClean[[#This Row],[cpf]],TabelaDirty[cpfclean],TabelaDirty[regiao])</f>
        <v>Gargalo</v>
      </c>
      <c r="J217" s="17" t="str">
        <f>PROPER(TabelaClean[[#This Row],[Coluna1]])</f>
        <v>Gargalo</v>
      </c>
      <c r="K217" s="17" t="e">
        <f>_xlfn.TEXTBEFORE(TabelaClean[[#This Row],[CidadeCPF]]," | ")</f>
        <v>#N/A</v>
      </c>
      <c r="L217" s="24" t="e">
        <f>_xlfn.TEXTAFTER(TabelaClean[[#This Row],[CidadeCPF]]," | ")</f>
        <v>#N/A</v>
      </c>
      <c r="M217" s="26">
        <v>2300</v>
      </c>
      <c r="N217" s="78">
        <v>26500</v>
      </c>
      <c r="O217" s="1" t="s">
        <v>50</v>
      </c>
      <c r="P21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7" s="84">
        <v>44</v>
      </c>
      <c r="R217" s="1" t="str" cm="1">
        <f t="array" ref="R217">_xlfn.IFS(TabelaClean[[#This Row],[qtde_batalhas]]&lt;=10,"Baixo",TabelaClean[[#This Row],[qtde_batalhas]]&gt;=26,"Alto",TabelaClean[[#This Row],[qtde_batalhas]]&lt;26,"Médio")</f>
        <v>Alto</v>
      </c>
      <c r="S217" s="1" t="str">
        <f>IF(AND(TabelaClean[[#This Row],[nivel_risco]]="Alto",TabelaClean[[#This Row],[flag_inadimplente]]="Sim"),"Arriscado","Ok")</f>
        <v>Ok</v>
      </c>
      <c r="T217" s="26">
        <v>81000</v>
      </c>
      <c r="U217" s="81">
        <f>IF(AND(TabelaClean[[#This Row],[analise_risco]]="Arriscado",TabelaClean[[#This Row],[analise_credito]]="Reprovado"),0,IF(TabelaClean[[#This Row],[status]]="Ativo",TabelaClean[[#This Row],[valor_solicitado]]*1.08,0))</f>
        <v>87480</v>
      </c>
      <c r="W217" s="1"/>
      <c r="Y217" t="s">
        <v>809</v>
      </c>
      <c r="Z217" t="str">
        <f t="shared" si="3"/>
        <v>Null</v>
      </c>
      <c r="AE217" t="s">
        <v>222</v>
      </c>
      <c r="AF217" t="str">
        <f>TEXT(AE217,"000\.000\.000\-00")</f>
        <v>000.000.215-00</v>
      </c>
      <c r="AH217" s="15" t="s">
        <v>138</v>
      </c>
      <c r="AJ217" s="22">
        <v>28000</v>
      </c>
      <c r="AK217">
        <v>28000</v>
      </c>
      <c r="AM217" s="20">
        <v>36500</v>
      </c>
      <c r="AN217">
        <v>36500</v>
      </c>
      <c r="AO217">
        <v>36500</v>
      </c>
      <c r="BB217" s="26">
        <v>2300</v>
      </c>
      <c r="BC217" s="81">
        <f>IF(AND(TabelaClean[[#This Row],[analise_risco]]="Arriscado",TabelaClean[[#This Row],[analise_credito]]="Reprovado"),0,IF(TabelaClean[[#This Row],[status]]="Ativo",TabelaClean[[#This Row],[valor_solicitado]]*1.08,0))</f>
        <v>87480</v>
      </c>
    </row>
    <row r="218" spans="1:55">
      <c r="A218" s="24" t="s">
        <v>81</v>
      </c>
      <c r="B218" s="17" t="s">
        <v>659</v>
      </c>
      <c r="C218" s="25" t="s">
        <v>660</v>
      </c>
      <c r="D218" s="54">
        <v>20</v>
      </c>
      <c r="E218" s="30">
        <v>38704</v>
      </c>
      <c r="F218" s="24" t="str">
        <f>TabelaClean[[#This Row],[CidadeCPF]]</f>
        <v>Solar do Entardecer</v>
      </c>
      <c r="G218" s="17" t="str">
        <f>TabelaClean[[#This Row],[RegiaoCPF]]</f>
        <v>Terras Da Tempestade</v>
      </c>
      <c r="H218" s="17" t="str">
        <f>_xlfn.XLOOKUP(TabelaClean[[#This Row],[cpf]],TabelaDirty[cpfclean],TabelaDirty[cidade])</f>
        <v>Solar do Entardecer</v>
      </c>
      <c r="I218" s="17" t="str">
        <f>_xlfn.XLOOKUP(TabelaClean[[#This Row],[cpf]],TabelaDirty[cpfclean],TabelaDirty[regiao])</f>
        <v>TERRAS DA TEMPESTADE</v>
      </c>
      <c r="J218" s="17" t="str">
        <f>PROPER(TabelaClean[[#This Row],[Coluna1]])</f>
        <v>Terras Da Tempestade</v>
      </c>
      <c r="K218" s="17" t="e">
        <f>_xlfn.TEXTBEFORE(TabelaClean[[#This Row],[CidadeCPF]]," | ")</f>
        <v>#N/A</v>
      </c>
      <c r="L218" s="24" t="e">
        <f>_xlfn.TEXTAFTER(TabelaClean[[#This Row],[CidadeCPF]]," | ")</f>
        <v>#N/A</v>
      </c>
      <c r="M218" s="26">
        <v>12900</v>
      </c>
      <c r="N218" s="78">
        <v>26500</v>
      </c>
      <c r="O218" s="1" t="s">
        <v>50</v>
      </c>
      <c r="P21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8" s="84">
        <v>13</v>
      </c>
      <c r="R218" s="1" t="str" cm="1">
        <f t="array" ref="R218">_xlfn.IFS(TabelaClean[[#This Row],[qtde_batalhas]]&lt;=10,"Baixo",TabelaClean[[#This Row],[qtde_batalhas]]&gt;=26,"Alto",TabelaClean[[#This Row],[qtde_batalhas]]&lt;26,"Médio")</f>
        <v>Médio</v>
      </c>
      <c r="S218" s="1" t="str">
        <f>IF(AND(TabelaClean[[#This Row],[nivel_risco]]="Alto",TabelaClean[[#This Row],[flag_inadimplente]]="Sim"),"Arriscado","Ok")</f>
        <v>Ok</v>
      </c>
      <c r="T218" s="26">
        <v>2000</v>
      </c>
      <c r="U21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18" s="1"/>
      <c r="Y218" t="s">
        <v>809</v>
      </c>
      <c r="Z218" t="str">
        <f t="shared" si="3"/>
        <v>Null</v>
      </c>
      <c r="AE218" t="s">
        <v>342</v>
      </c>
      <c r="AF218" t="str">
        <f>TEXT(AE218,"000\.000\.000\-00")</f>
        <v>000.000.216-00</v>
      </c>
      <c r="AH218" s="15" t="s">
        <v>343</v>
      </c>
      <c r="AI218" t="e" cm="1" vm="1">
        <f t="array" aca="1" ref="AI218" ca="1">_xlfn.TEXTSPLIT(AH218," | ")</f>
        <v>#VALUE!</v>
      </c>
      <c r="AJ218" s="22">
        <v>20700</v>
      </c>
      <c r="AK218">
        <v>20700</v>
      </c>
      <c r="AL218" t="s">
        <v>149</v>
      </c>
      <c r="AM218" s="21">
        <v>64500</v>
      </c>
      <c r="AN218">
        <v>64500</v>
      </c>
      <c r="AO218">
        <v>64500</v>
      </c>
      <c r="BB218" s="26">
        <v>12900</v>
      </c>
      <c r="BC21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19" spans="1:55">
      <c r="A219" s="24" t="s">
        <v>76</v>
      </c>
      <c r="B219" s="17" t="s">
        <v>933</v>
      </c>
      <c r="C219" s="25" t="s">
        <v>919</v>
      </c>
      <c r="D219" s="54">
        <v>44</v>
      </c>
      <c r="E219" s="30">
        <v>30167</v>
      </c>
      <c r="F219" s="24" t="str">
        <f>TabelaClean[[#This Row],[CidadeCPF]]</f>
        <v>Vilavelha</v>
      </c>
      <c r="G219" s="17" t="str">
        <f>TabelaClean[[#This Row],[RegiaoCPF]]</f>
        <v>Campina</v>
      </c>
      <c r="H219" s="17" t="str">
        <f>_xlfn.XLOOKUP(TabelaClean[[#This Row],[cpf]],TabelaDirty[cpfclean],TabelaDirty[cidade])</f>
        <v>Vilavelha</v>
      </c>
      <c r="I219" s="17" t="s">
        <v>149</v>
      </c>
      <c r="J219" s="17" t="str">
        <f>PROPER(TabelaClean[[#This Row],[Coluna1]])</f>
        <v>Campina</v>
      </c>
      <c r="K219" s="17" t="e">
        <f>_xlfn.TEXTBEFORE(TabelaClean[[#This Row],[CidadeCPF]]," | ")</f>
        <v>#N/A</v>
      </c>
      <c r="L219" s="24" t="e">
        <f>_xlfn.TEXTAFTER(TabelaClean[[#This Row],[CidadeCPF]]," | ")</f>
        <v>#N/A</v>
      </c>
      <c r="M219" s="26">
        <v>5500</v>
      </c>
      <c r="N219" s="78">
        <v>26000</v>
      </c>
      <c r="O219" s="1" t="s">
        <v>50</v>
      </c>
      <c r="P21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19" s="84">
        <v>30</v>
      </c>
      <c r="R219" s="1" t="str" cm="1">
        <f t="array" ref="R219">_xlfn.IFS(TabelaClean[[#This Row],[qtde_batalhas]]&lt;=10,"Baixo",TabelaClean[[#This Row],[qtde_batalhas]]&gt;=26,"Alto",TabelaClean[[#This Row],[qtde_batalhas]]&lt;26,"Médio")</f>
        <v>Alto</v>
      </c>
      <c r="S219" s="1" t="str">
        <f>IF(AND(TabelaClean[[#This Row],[nivel_risco]]="Alto",TabelaClean[[#This Row],[flag_inadimplente]]="Sim"),"Arriscado","Ok")</f>
        <v>Ok</v>
      </c>
      <c r="T219" s="26">
        <v>64000</v>
      </c>
      <c r="U219" s="81">
        <f>IF(AND(TabelaClean[[#This Row],[analise_risco]]="Arriscado",TabelaClean[[#This Row],[analise_credito]]="Reprovado"),0,IF(TabelaClean[[#This Row],[status]]="Ativo",TabelaClean[[#This Row],[valor_solicitado]]*1.08,0))</f>
        <v>69120</v>
      </c>
      <c r="W219" s="1"/>
      <c r="Y219" t="s">
        <v>809</v>
      </c>
      <c r="Z219" t="str">
        <f t="shared" si="3"/>
        <v>Null</v>
      </c>
      <c r="AE219" t="s">
        <v>346</v>
      </c>
      <c r="AF219" t="str">
        <f>TEXT(AE219,"000\.000\.000\-00")</f>
        <v>000.000.217-00</v>
      </c>
      <c r="AH219" s="15" t="s">
        <v>112</v>
      </c>
      <c r="AJ219" s="22">
        <v>3400</v>
      </c>
      <c r="AK219">
        <v>3400</v>
      </c>
      <c r="AM219" s="20">
        <v>78000</v>
      </c>
      <c r="AN219">
        <v>78000</v>
      </c>
      <c r="AO219">
        <v>78000</v>
      </c>
      <c r="BB219" s="26">
        <v>5500</v>
      </c>
      <c r="BC219" s="81">
        <f>IF(AND(TabelaClean[[#This Row],[analise_risco]]="Arriscado",TabelaClean[[#This Row],[analise_credito]]="Reprovado"),0,IF(TabelaClean[[#This Row],[status]]="Ativo",TabelaClean[[#This Row],[valor_solicitado]]*1.08,0))</f>
        <v>69120</v>
      </c>
    </row>
    <row r="220" spans="1:55">
      <c r="A220" s="24" t="s">
        <v>76</v>
      </c>
      <c r="B220" s="17" t="s">
        <v>349</v>
      </c>
      <c r="C220" s="25" t="s">
        <v>350</v>
      </c>
      <c r="D220" s="54">
        <v>29</v>
      </c>
      <c r="E220" s="30">
        <v>35600</v>
      </c>
      <c r="F220" s="24" t="str">
        <f>TabelaClean[[#This Row],[CidadeCPF]]</f>
        <v>Porto Real</v>
      </c>
      <c r="G220" s="17" t="str">
        <f>TabelaClean[[#This Row],[RegiaoCPF]]</f>
        <v>Terras Da Coroa</v>
      </c>
      <c r="H220" s="17" t="str">
        <f>_xlfn.XLOOKUP(TabelaClean[[#This Row],[cpf]],TabelaDirty[cpfclean],TabelaDirty[cidade])</f>
        <v>Porto Real</v>
      </c>
      <c r="I220" s="17" t="str">
        <f>_xlfn.XLOOKUP(TabelaClean[[#This Row],[cpf]],TabelaDirty[cpfclean],TabelaDirty[regiao])</f>
        <v>terras da coroa</v>
      </c>
      <c r="J220" s="17" t="str">
        <f>PROPER(TabelaClean[[#This Row],[Coluna1]])</f>
        <v>Terras Da Coroa</v>
      </c>
      <c r="K220" s="17" t="e">
        <f>_xlfn.TEXTBEFORE(TabelaClean[[#This Row],[CidadeCPF]]," | ")</f>
        <v>#N/A</v>
      </c>
      <c r="L220" s="24" t="e">
        <f>_xlfn.TEXTAFTER(TabelaClean[[#This Row],[CidadeCPF]]," | ")</f>
        <v>#N/A</v>
      </c>
      <c r="M220" s="26">
        <v>10000</v>
      </c>
      <c r="N220" s="78">
        <v>25500</v>
      </c>
      <c r="O220" s="1" t="s">
        <v>50</v>
      </c>
      <c r="P22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0" s="84">
        <v>15</v>
      </c>
      <c r="R220" s="1" t="str" cm="1">
        <f t="array" ref="R220">_xlfn.IFS(TabelaClean[[#This Row],[qtde_batalhas]]&lt;=10,"Baixo",TabelaClean[[#This Row],[qtde_batalhas]]&gt;=26,"Alto",TabelaClean[[#This Row],[qtde_batalhas]]&lt;26,"Médio")</f>
        <v>Médio</v>
      </c>
      <c r="S220" s="1" t="str">
        <f>IF(AND(TabelaClean[[#This Row],[nivel_risco]]="Alto",TabelaClean[[#This Row],[flag_inadimplente]]="Sim"),"Arriscado","Ok")</f>
        <v>Ok</v>
      </c>
      <c r="T220" s="26">
        <v>66000</v>
      </c>
      <c r="U220" s="81">
        <f>IF(AND(TabelaClean[[#This Row],[analise_risco]]="Arriscado",TabelaClean[[#This Row],[analise_credito]]="Reprovado"),0,IF(TabelaClean[[#This Row],[status]]="Ativo",TabelaClean[[#This Row],[valor_solicitado]]*1.08,0))</f>
        <v>71280</v>
      </c>
      <c r="W220" s="1"/>
      <c r="Y220" t="s">
        <v>149</v>
      </c>
      <c r="Z220" t="str">
        <f t="shared" si="3"/>
        <v>Campina</v>
      </c>
      <c r="AE220" t="s">
        <v>315</v>
      </c>
      <c r="AF220" t="str">
        <f>TEXT(AE220,"000\.000\.000\-00")</f>
        <v>000.000.218-00</v>
      </c>
      <c r="AH220" s="15" t="s">
        <v>210</v>
      </c>
      <c r="AJ220" s="22">
        <v>28900</v>
      </c>
      <c r="AK220">
        <v>28900</v>
      </c>
      <c r="AM220" s="21">
        <v>22000</v>
      </c>
      <c r="AN220">
        <v>22000</v>
      </c>
      <c r="AO220">
        <v>22000</v>
      </c>
      <c r="BB220" s="26">
        <v>10000</v>
      </c>
      <c r="BC220" s="81">
        <f>IF(AND(TabelaClean[[#This Row],[analise_risco]]="Arriscado",TabelaClean[[#This Row],[analise_credito]]="Reprovado"),0,IF(TabelaClean[[#This Row],[status]]="Ativo",TabelaClean[[#This Row],[valor_solicitado]]*1.08,0))</f>
        <v>71280</v>
      </c>
    </row>
    <row r="221" spans="1:55">
      <c r="A221" s="24" t="s">
        <v>81</v>
      </c>
      <c r="B221" s="17" t="s">
        <v>934</v>
      </c>
      <c r="C221" s="25" t="s">
        <v>935</v>
      </c>
      <c r="D221" s="54">
        <v>50</v>
      </c>
      <c r="E221" s="30">
        <v>27833</v>
      </c>
      <c r="F221" s="17" t="str">
        <f>TabelaClean[[#This Row],[CidadeClean]]</f>
        <v>Correrrio</v>
      </c>
      <c r="G221" s="17" t="str">
        <f>TabelaClean[[#This Row],[RegiaoClean]]</f>
        <v>Terras Fluviais</v>
      </c>
      <c r="H221" s="17" t="str">
        <f>_xlfn.XLOOKUP(TabelaClean[[#This Row],[cpf]],TabelaDirty[cpfclean],TabelaDirty[cidade])</f>
        <v>Correrrio | Terras Fluviais</v>
      </c>
      <c r="I221" s="17">
        <f>_xlfn.XLOOKUP(TabelaClean[[#This Row],[cpf]],TabelaDirty[cpfclean],TabelaDirty[regiao])</f>
        <v>0</v>
      </c>
      <c r="J221" s="17" t="s">
        <v>139</v>
      </c>
      <c r="K221" s="17" t="str">
        <f>_xlfn.TEXTBEFORE(TabelaClean[[#This Row],[CidadeCPF]]," | ")</f>
        <v>Correrrio</v>
      </c>
      <c r="L221" s="24" t="str">
        <f>_xlfn.TEXTAFTER(TabelaClean[[#This Row],[CidadeCPF]]," | ")</f>
        <v>Terras Fluviais</v>
      </c>
      <c r="M221" s="26">
        <v>16200</v>
      </c>
      <c r="N221" s="78">
        <v>25000</v>
      </c>
      <c r="O221" s="1" t="s">
        <v>50</v>
      </c>
      <c r="P22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1" s="84">
        <v>26</v>
      </c>
      <c r="R221" s="1" t="str" cm="1">
        <f t="array" ref="R221">_xlfn.IFS(TabelaClean[[#This Row],[qtde_batalhas]]&lt;=10,"Baixo",TabelaClean[[#This Row],[qtde_batalhas]]&gt;=26,"Alto",TabelaClean[[#This Row],[qtde_batalhas]]&lt;26,"Médio")</f>
        <v>Alto</v>
      </c>
      <c r="S221" s="1" t="str">
        <f>IF(AND(TabelaClean[[#This Row],[nivel_risco]]="Alto",TabelaClean[[#This Row],[flag_inadimplente]]="Sim"),"Arriscado","Ok")</f>
        <v>Ok</v>
      </c>
      <c r="T221" s="26">
        <v>65000</v>
      </c>
      <c r="U22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21" s="1"/>
      <c r="Y221" t="s">
        <v>809</v>
      </c>
      <c r="Z221" t="str">
        <f t="shared" si="3"/>
        <v>Null</v>
      </c>
      <c r="AE221" t="s">
        <v>593</v>
      </c>
      <c r="AF221" t="str">
        <f>TEXT(AE221,"000\.000\.000\-00")</f>
        <v>000.000.220-00</v>
      </c>
      <c r="AH221" s="15" t="s">
        <v>183</v>
      </c>
      <c r="AJ221" s="22">
        <v>9600</v>
      </c>
      <c r="AK221">
        <v>9600</v>
      </c>
      <c r="AM221" s="20">
        <v>66000</v>
      </c>
      <c r="AN221">
        <v>66000</v>
      </c>
      <c r="AO221">
        <v>66000</v>
      </c>
      <c r="BB221" s="26">
        <v>16200</v>
      </c>
      <c r="BC22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22" spans="1:55">
      <c r="A222" s="24" t="s">
        <v>81</v>
      </c>
      <c r="B222" s="17" t="s">
        <v>629</v>
      </c>
      <c r="C222" s="25" t="s">
        <v>921</v>
      </c>
      <c r="D222" s="54">
        <v>45</v>
      </c>
      <c r="E222" s="30">
        <v>29506</v>
      </c>
      <c r="F222" s="24" t="str">
        <f>TabelaClean[[#This Row],[CidadeCPF]]</f>
        <v>Solar do Entardecer</v>
      </c>
      <c r="G222" s="17" t="str">
        <f>TabelaClean[[#This Row],[RegiaoCPF]]</f>
        <v>Terras Da Tempestade</v>
      </c>
      <c r="H222" s="17" t="str">
        <f>_xlfn.XLOOKUP(TabelaClean[[#This Row],[cpf]],TabelaDirty[cpfclean],TabelaDirty[cidade])</f>
        <v>Solar do Entardecer</v>
      </c>
      <c r="I222" s="17" t="str">
        <f>_xlfn.XLOOKUP(TabelaClean[[#This Row],[cpf]],TabelaDirty[cpfclean],TabelaDirty[regiao])</f>
        <v>Terras da Tempestade</v>
      </c>
      <c r="J222" s="17" t="str">
        <f>PROPER(TabelaClean[[#This Row],[Coluna1]])</f>
        <v>Terras Da Tempestade</v>
      </c>
      <c r="K222" s="17" t="e">
        <f>_xlfn.TEXTBEFORE(TabelaClean[[#This Row],[CidadeCPF]]," | ")</f>
        <v>#N/A</v>
      </c>
      <c r="L222" s="24" t="e">
        <f>_xlfn.TEXTAFTER(TabelaClean[[#This Row],[CidadeCPF]]," | ")</f>
        <v>#N/A</v>
      </c>
      <c r="M222" s="26">
        <v>5100</v>
      </c>
      <c r="N222" s="78">
        <v>25000</v>
      </c>
      <c r="O222" s="1" t="s">
        <v>50</v>
      </c>
      <c r="P22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2" s="84">
        <v>29</v>
      </c>
      <c r="R222" s="1" t="str" cm="1">
        <f t="array" ref="R222">_xlfn.IFS(TabelaClean[[#This Row],[qtde_batalhas]]&lt;=10,"Baixo",TabelaClean[[#This Row],[qtde_batalhas]]&gt;=26,"Alto",TabelaClean[[#This Row],[qtde_batalhas]]&lt;26,"Médio")</f>
        <v>Alto</v>
      </c>
      <c r="S222" s="1" t="str">
        <f>IF(AND(TabelaClean[[#This Row],[nivel_risco]]="Alto",TabelaClean[[#This Row],[flag_inadimplente]]="Sim"),"Arriscado","Ok")</f>
        <v>Ok</v>
      </c>
      <c r="T222" s="26">
        <v>88000</v>
      </c>
      <c r="U22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22" s="1"/>
      <c r="Y222" t="s">
        <v>809</v>
      </c>
      <c r="Z222" t="str">
        <f t="shared" si="3"/>
        <v>Null</v>
      </c>
      <c r="AE222" t="s">
        <v>433</v>
      </c>
      <c r="AF222" t="str">
        <f>TEXT(AE222,"000\.000\.000\-00")</f>
        <v>000.000.221-00</v>
      </c>
      <c r="AH222" s="15" t="s">
        <v>83</v>
      </c>
      <c r="AJ222" s="22">
        <v>25900</v>
      </c>
      <c r="AK222">
        <v>25900</v>
      </c>
      <c r="AM222" s="21">
        <v>0</v>
      </c>
      <c r="AN222">
        <v>0</v>
      </c>
      <c r="AO222">
        <v>0</v>
      </c>
      <c r="BB222" s="26">
        <v>5100</v>
      </c>
      <c r="BC22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23" spans="1:55">
      <c r="A223" s="24" t="s">
        <v>76</v>
      </c>
      <c r="B223" s="17" t="s">
        <v>265</v>
      </c>
      <c r="C223" s="25" t="s">
        <v>266</v>
      </c>
      <c r="D223" s="54">
        <v>24</v>
      </c>
      <c r="E223" s="30">
        <v>37172</v>
      </c>
      <c r="F223" s="24" t="str">
        <f>TabelaClean[[#This Row],[CidadeCPF]]</f>
        <v>Ninho da Águia</v>
      </c>
      <c r="G223" s="17" t="str">
        <f>TabelaClean[[#This Row],[RegiaoCPF]]</f>
        <v>Vale</v>
      </c>
      <c r="H223" s="17" t="str">
        <f>_xlfn.XLOOKUP(TabelaClean[[#This Row],[cpf]],TabelaDirty[cpfclean],TabelaDirty[cidade])</f>
        <v>Ninho da Águia</v>
      </c>
      <c r="I223" s="17" t="str">
        <f>_xlfn.XLOOKUP(TabelaClean[[#This Row],[cpf]],TabelaDirty[cpfclean],TabelaDirty[regiao])</f>
        <v>Vale</v>
      </c>
      <c r="J223" s="17" t="str">
        <f>PROPER(TabelaClean[[#This Row],[Coluna1]])</f>
        <v>Vale</v>
      </c>
      <c r="K223" s="17" t="e">
        <f>_xlfn.TEXTBEFORE(TabelaClean[[#This Row],[CidadeCPF]]," | ")</f>
        <v>#N/A</v>
      </c>
      <c r="L223" s="24" t="e">
        <f>_xlfn.TEXTAFTER(TabelaClean[[#This Row],[CidadeCPF]]," | ")</f>
        <v>#N/A</v>
      </c>
      <c r="M223" s="26">
        <v>21600</v>
      </c>
      <c r="N223" s="78">
        <v>25000</v>
      </c>
      <c r="O223" s="1" t="s">
        <v>50</v>
      </c>
      <c r="P22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3" s="84">
        <v>33</v>
      </c>
      <c r="R223" s="1" t="str" cm="1">
        <f t="array" ref="R223">_xlfn.IFS(TabelaClean[[#This Row],[qtde_batalhas]]&lt;=10,"Baixo",TabelaClean[[#This Row],[qtde_batalhas]]&gt;=26,"Alto",TabelaClean[[#This Row],[qtde_batalhas]]&lt;26,"Médio")</f>
        <v>Alto</v>
      </c>
      <c r="S223" s="1" t="str">
        <f>IF(AND(TabelaClean[[#This Row],[nivel_risco]]="Alto",TabelaClean[[#This Row],[flag_inadimplente]]="Sim"),"Arriscado","Ok")</f>
        <v>Ok</v>
      </c>
      <c r="T223" s="26">
        <v>17500</v>
      </c>
      <c r="U223" s="81">
        <f>IF(AND(TabelaClean[[#This Row],[analise_risco]]="Arriscado",TabelaClean[[#This Row],[analise_credito]]="Reprovado"),0,IF(TabelaClean[[#This Row],[status]]="Ativo",TabelaClean[[#This Row],[valor_solicitado]]*1.08,0))</f>
        <v>18900</v>
      </c>
      <c r="W223" s="1"/>
      <c r="Y223" t="s">
        <v>809</v>
      </c>
      <c r="Z223" t="str">
        <f t="shared" si="3"/>
        <v>Null</v>
      </c>
      <c r="AE223" t="s">
        <v>209</v>
      </c>
      <c r="AF223" t="str">
        <f>TEXT(AE223,"000\.000\.000\-00")</f>
        <v>000.000.222-00</v>
      </c>
      <c r="AH223" s="15" t="s">
        <v>127</v>
      </c>
      <c r="AJ223" s="22">
        <v>28500</v>
      </c>
      <c r="AK223">
        <v>28500</v>
      </c>
      <c r="AM223" s="20">
        <v>48500</v>
      </c>
      <c r="AN223">
        <v>48500</v>
      </c>
      <c r="AO223">
        <v>48500</v>
      </c>
      <c r="BB223" s="26">
        <v>21600</v>
      </c>
      <c r="BC223" s="81">
        <f>IF(AND(TabelaClean[[#This Row],[analise_risco]]="Arriscado",TabelaClean[[#This Row],[analise_credito]]="Reprovado"),0,IF(TabelaClean[[#This Row],[status]]="Ativo",TabelaClean[[#This Row],[valor_solicitado]]*1.08,0))</f>
        <v>18900</v>
      </c>
    </row>
    <row r="224" spans="1:55">
      <c r="A224" s="24" t="s">
        <v>76</v>
      </c>
      <c r="B224" s="17" t="s">
        <v>541</v>
      </c>
      <c r="C224" s="25" t="s">
        <v>922</v>
      </c>
      <c r="D224" s="54">
        <v>38</v>
      </c>
      <c r="E224" s="30">
        <v>32066</v>
      </c>
      <c r="F224" s="24" t="str">
        <f>TabelaClean[[#This Row],[CidadeCPF]]</f>
        <v>Meereen</v>
      </c>
      <c r="G224" s="17" t="str">
        <f>TabelaClean[[#This Row],[RegiaoCPF]]</f>
        <v>Essos</v>
      </c>
      <c r="H224" s="17" t="str">
        <f>_xlfn.XLOOKUP(TabelaClean[[#This Row],[cpf]],TabelaDirty[cpfclean],TabelaDirty[cidade])</f>
        <v>Meereen</v>
      </c>
      <c r="I224" s="17" t="str">
        <f>_xlfn.XLOOKUP(TabelaClean[[#This Row],[cpf]],TabelaDirty[cpfclean],TabelaDirty[regiao])</f>
        <v>Essos</v>
      </c>
      <c r="J224" s="17" t="str">
        <f>PROPER(TabelaClean[[#This Row],[Coluna1]])</f>
        <v>Essos</v>
      </c>
      <c r="K224" s="17" t="e">
        <f>_xlfn.TEXTBEFORE(TabelaClean[[#This Row],[CidadeCPF]]," | ")</f>
        <v>#N/A</v>
      </c>
      <c r="L224" s="24" t="e">
        <f>_xlfn.TEXTAFTER(TabelaClean[[#This Row],[CidadeCPF]]," | ")</f>
        <v>#N/A</v>
      </c>
      <c r="M224" s="26">
        <v>9700</v>
      </c>
      <c r="N224" s="78">
        <v>25000</v>
      </c>
      <c r="O224" s="1" t="s">
        <v>50</v>
      </c>
      <c r="P22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4" s="84">
        <v>0</v>
      </c>
      <c r="R224" s="1" t="str" cm="1">
        <f t="array" ref="R224">_xlfn.IFS(TabelaClean[[#This Row],[qtde_batalhas]]&lt;=10,"Baixo",TabelaClean[[#This Row],[qtde_batalhas]]&gt;=26,"Alto",TabelaClean[[#This Row],[qtde_batalhas]]&lt;26,"Médio")</f>
        <v>Baixo</v>
      </c>
      <c r="S224" s="1" t="str">
        <f>IF(AND(TabelaClean[[#This Row],[nivel_risco]]="Alto",TabelaClean[[#This Row],[flag_inadimplente]]="Sim"),"Arriscado","Ok")</f>
        <v>Ok</v>
      </c>
      <c r="T224" s="26">
        <v>55500</v>
      </c>
      <c r="U224" s="81">
        <f>IF(AND(TabelaClean[[#This Row],[analise_risco]]="Arriscado",TabelaClean[[#This Row],[analise_credito]]="Reprovado"),0,IF(TabelaClean[[#This Row],[status]]="Ativo",TabelaClean[[#This Row],[valor_solicitado]]*1.08,0))</f>
        <v>59940.000000000007</v>
      </c>
      <c r="W224" s="1"/>
      <c r="Y224" t="s">
        <v>809</v>
      </c>
      <c r="Z224" t="str">
        <f t="shared" si="3"/>
        <v>Null</v>
      </c>
      <c r="AE224" t="s">
        <v>531</v>
      </c>
      <c r="AF224" t="str">
        <f>TEXT(AE224,"000\.000\.000\-00")</f>
        <v>000.000.224-00</v>
      </c>
      <c r="AH224" s="15" t="s">
        <v>121</v>
      </c>
      <c r="AJ224" s="22">
        <v>2600</v>
      </c>
      <c r="AK224">
        <v>2600</v>
      </c>
      <c r="AM224" s="21">
        <v>62000</v>
      </c>
      <c r="AN224">
        <v>62000</v>
      </c>
      <c r="AO224">
        <v>62000</v>
      </c>
      <c r="BB224" s="26">
        <v>9700</v>
      </c>
      <c r="BC224" s="81">
        <f>IF(AND(TabelaClean[[#This Row],[analise_risco]]="Arriscado",TabelaClean[[#This Row],[analise_credito]]="Reprovado"),0,IF(TabelaClean[[#This Row],[status]]="Ativo",TabelaClean[[#This Row],[valor_solicitado]]*1.08,0))</f>
        <v>59940.000000000007</v>
      </c>
    </row>
    <row r="225" spans="1:55">
      <c r="A225" s="24" t="s">
        <v>81</v>
      </c>
      <c r="B225" s="17" t="s">
        <v>251</v>
      </c>
      <c r="C225" s="25" t="s">
        <v>252</v>
      </c>
      <c r="D225" s="54">
        <v>38</v>
      </c>
      <c r="E225" s="30">
        <v>32102</v>
      </c>
      <c r="F225" s="24" t="str">
        <f>TabelaClean[[#This Row],[CidadeCPF]]</f>
        <v>Pyke</v>
      </c>
      <c r="G225" s="17" t="str">
        <f>TabelaClean[[#This Row],[RegiaoCPF]]</f>
        <v>Ilhas De Ferro</v>
      </c>
      <c r="H225" s="17" t="str">
        <f>_xlfn.XLOOKUP(TabelaClean[[#This Row],[cpf]],TabelaDirty[cpfclean],TabelaDirty[cidade])</f>
        <v>Pyke</v>
      </c>
      <c r="I225" s="17" t="str">
        <f>_xlfn.XLOOKUP(TabelaClean[[#This Row],[cpf]],TabelaDirty[cpfclean],TabelaDirty[regiao])</f>
        <v>ilhas de ferro</v>
      </c>
      <c r="J225" s="17" t="str">
        <f>PROPER(TabelaClean[[#This Row],[Coluna1]])</f>
        <v>Ilhas De Ferro</v>
      </c>
      <c r="K225" s="17" t="e">
        <f>_xlfn.TEXTBEFORE(TabelaClean[[#This Row],[CidadeCPF]]," | ")</f>
        <v>#N/A</v>
      </c>
      <c r="L225" s="24" t="e">
        <f>_xlfn.TEXTAFTER(TabelaClean[[#This Row],[CidadeCPF]]," | ")</f>
        <v>#N/A</v>
      </c>
      <c r="M225" s="26">
        <v>13500</v>
      </c>
      <c r="N225" s="78">
        <v>24000</v>
      </c>
      <c r="O225" s="1" t="s">
        <v>50</v>
      </c>
      <c r="P22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5" s="84">
        <v>2</v>
      </c>
      <c r="R225" s="1" t="str" cm="1">
        <f t="array" ref="R225">_xlfn.IFS(TabelaClean[[#This Row],[qtde_batalhas]]&lt;=10,"Baixo",TabelaClean[[#This Row],[qtde_batalhas]]&gt;=26,"Alto",TabelaClean[[#This Row],[qtde_batalhas]]&lt;26,"Médio")</f>
        <v>Baixo</v>
      </c>
      <c r="S225" s="1" t="str">
        <f>IF(AND(TabelaClean[[#This Row],[nivel_risco]]="Alto",TabelaClean[[#This Row],[flag_inadimplente]]="Sim"),"Arriscado","Ok")</f>
        <v>Ok</v>
      </c>
      <c r="T225" s="26">
        <v>17500</v>
      </c>
      <c r="U22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25" s="1"/>
      <c r="Y225" t="s">
        <v>809</v>
      </c>
      <c r="Z225" t="str">
        <f t="shared" si="3"/>
        <v>Null</v>
      </c>
      <c r="AE225" t="s">
        <v>423</v>
      </c>
      <c r="AF225" t="str">
        <f>TEXT(AE225,"000\.000\.000\-00")</f>
        <v>000.000.225-00</v>
      </c>
      <c r="AH225" s="15" t="s">
        <v>302</v>
      </c>
      <c r="AJ225" s="22">
        <v>6400</v>
      </c>
      <c r="AK225">
        <v>6400</v>
      </c>
      <c r="AM225" s="20">
        <v>41000</v>
      </c>
      <c r="AN225">
        <v>41000</v>
      </c>
      <c r="AO225">
        <v>41000</v>
      </c>
      <c r="BB225" s="26">
        <v>13500</v>
      </c>
      <c r="BC22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26" spans="1:55">
      <c r="A226" s="24" t="s">
        <v>76</v>
      </c>
      <c r="B226" s="17" t="s">
        <v>225</v>
      </c>
      <c r="C226" s="25" t="s">
        <v>819</v>
      </c>
      <c r="D226" s="54">
        <v>39</v>
      </c>
      <c r="E226" s="30">
        <v>31766</v>
      </c>
      <c r="F226" s="24" t="str">
        <f>TabelaClean[[#This Row],[CidadeCPF]]</f>
        <v>Vilavelha</v>
      </c>
      <c r="G226" s="17" t="str">
        <f>TabelaClean[[#This Row],[RegiaoCPF]]</f>
        <v>Campina</v>
      </c>
      <c r="H226" s="17" t="str">
        <f>_xlfn.XLOOKUP(TabelaClean[[#This Row],[cpf]],TabelaDirty[cpfclean],TabelaDirty[cidade])</f>
        <v>Vilavelha</v>
      </c>
      <c r="I226" s="17" t="str">
        <f>_xlfn.XLOOKUP(TabelaClean[[#This Row],[cpf]],TabelaDirty[cpfclean],TabelaDirty[regiao])</f>
        <v>campina</v>
      </c>
      <c r="J226" s="17" t="str">
        <f>PROPER(TabelaClean[[#This Row],[Coluna1]])</f>
        <v>Campina</v>
      </c>
      <c r="K226" s="17" t="e">
        <f>_xlfn.TEXTBEFORE(TabelaClean[[#This Row],[CidadeCPF]]," | ")</f>
        <v>#N/A</v>
      </c>
      <c r="L226" s="24" t="e">
        <f>_xlfn.TEXTAFTER(TabelaClean[[#This Row],[CidadeCPF]]," | ")</f>
        <v>#N/A</v>
      </c>
      <c r="M226" s="26">
        <v>24700</v>
      </c>
      <c r="N226" s="78">
        <v>23500</v>
      </c>
      <c r="O226" s="1" t="s">
        <v>51</v>
      </c>
      <c r="P22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6" s="84">
        <v>43</v>
      </c>
      <c r="R226" s="1" t="str" cm="1">
        <f t="array" ref="R226">_xlfn.IFS(TabelaClean[[#This Row],[qtde_batalhas]]&lt;=10,"Baixo",TabelaClean[[#This Row],[qtde_batalhas]]&gt;=26,"Alto",TabelaClean[[#This Row],[qtde_batalhas]]&lt;26,"Médio")</f>
        <v>Alto</v>
      </c>
      <c r="S226" s="1" t="str">
        <f>IF(AND(TabelaClean[[#This Row],[nivel_risco]]="Alto",TabelaClean[[#This Row],[flag_inadimplente]]="Sim"),"Arriscado","Ok")</f>
        <v>Arriscado</v>
      </c>
      <c r="T226" s="26">
        <v>57000</v>
      </c>
      <c r="U226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  <c r="W226" s="1"/>
      <c r="Y226" t="s">
        <v>809</v>
      </c>
      <c r="Z226" t="str">
        <f t="shared" si="3"/>
        <v>Null</v>
      </c>
      <c r="AE226" t="s">
        <v>175</v>
      </c>
      <c r="AF226" t="str">
        <f>TEXT(AE226,"000\.000\.000\-00")</f>
        <v>000.000.226-00</v>
      </c>
      <c r="AH226" s="15" t="s">
        <v>121</v>
      </c>
      <c r="AJ226" s="22">
        <v>12700</v>
      </c>
      <c r="AK226">
        <v>12700</v>
      </c>
      <c r="AM226" s="21">
        <v>0</v>
      </c>
      <c r="AN226">
        <v>0</v>
      </c>
      <c r="AO226">
        <v>0</v>
      </c>
      <c r="BB226" s="26">
        <v>24700</v>
      </c>
      <c r="BC226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</row>
    <row r="227" spans="1:55">
      <c r="A227" s="24" t="s">
        <v>81</v>
      </c>
      <c r="B227" s="17" t="s">
        <v>484</v>
      </c>
      <c r="C227" s="25" t="s">
        <v>485</v>
      </c>
      <c r="D227" s="54">
        <v>21</v>
      </c>
      <c r="E227" s="30">
        <v>38328</v>
      </c>
      <c r="F227" s="24" t="str">
        <f>TabelaClean[[#This Row],[CidadeCPF]]</f>
        <v>Pyke</v>
      </c>
      <c r="G227" s="17" t="str">
        <f>TabelaClean[[#This Row],[RegiaoCPF]]</f>
        <v>Ilhas De Ferro</v>
      </c>
      <c r="H227" s="17" t="str">
        <f>_xlfn.XLOOKUP(TabelaClean[[#This Row],[cpf]],TabelaDirty[cpfclean],TabelaDirty[cidade])</f>
        <v>Pyke</v>
      </c>
      <c r="I227" s="17" t="str">
        <f>_xlfn.XLOOKUP(TabelaClean[[#This Row],[cpf]],TabelaDirty[cpfclean],TabelaDirty[regiao])</f>
        <v>ILHAS DE FERRO</v>
      </c>
      <c r="J227" s="17" t="str">
        <f>PROPER(TabelaClean[[#This Row],[Coluna1]])</f>
        <v>Ilhas De Ferro</v>
      </c>
      <c r="K227" s="17" t="e">
        <f>_xlfn.TEXTBEFORE(TabelaClean[[#This Row],[CidadeCPF]]," | ")</f>
        <v>#N/A</v>
      </c>
      <c r="L227" s="24" t="e">
        <f>_xlfn.TEXTAFTER(TabelaClean[[#This Row],[CidadeCPF]]," | ")</f>
        <v>#N/A</v>
      </c>
      <c r="M227" s="26">
        <v>4400</v>
      </c>
      <c r="N227" s="78">
        <v>23500</v>
      </c>
      <c r="O227" s="1" t="s">
        <v>51</v>
      </c>
      <c r="P22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7" s="84">
        <v>31</v>
      </c>
      <c r="R227" s="1" t="str" cm="1">
        <f t="array" ref="R227">_xlfn.IFS(TabelaClean[[#This Row],[qtde_batalhas]]&lt;=10,"Baixo",TabelaClean[[#This Row],[qtde_batalhas]]&gt;=26,"Alto",TabelaClean[[#This Row],[qtde_batalhas]]&lt;26,"Médio")</f>
        <v>Alto</v>
      </c>
      <c r="S227" s="1" t="str">
        <f>IF(AND(TabelaClean[[#This Row],[nivel_risco]]="Alto",TabelaClean[[#This Row],[flag_inadimplente]]="Sim"),"Arriscado","Ok")</f>
        <v>Arriscado</v>
      </c>
      <c r="T227" s="26">
        <v>91000</v>
      </c>
      <c r="U22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27" s="1"/>
      <c r="Y227" t="s">
        <v>809</v>
      </c>
      <c r="Z227" t="str">
        <f t="shared" si="3"/>
        <v>Null</v>
      </c>
      <c r="AE227" t="s">
        <v>586</v>
      </c>
      <c r="AF227" t="str">
        <f>TEXT(AE227,"000\.000\.000\-00")</f>
        <v>000.000.227-00</v>
      </c>
      <c r="AH227" s="15" t="s">
        <v>210</v>
      </c>
      <c r="AJ227" s="22">
        <v>17300</v>
      </c>
      <c r="AK227">
        <v>17300</v>
      </c>
      <c r="AM227" s="20">
        <v>15000</v>
      </c>
      <c r="AN227">
        <v>15000</v>
      </c>
      <c r="AO227">
        <v>15000</v>
      </c>
      <c r="BB227" s="26">
        <v>4400</v>
      </c>
      <c r="BC22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28" spans="1:55">
      <c r="A228" s="24" t="s">
        <v>76</v>
      </c>
      <c r="B228" s="17" t="s">
        <v>936</v>
      </c>
      <c r="C228" s="25" t="s">
        <v>937</v>
      </c>
      <c r="D228" s="54">
        <v>36</v>
      </c>
      <c r="E228" s="30">
        <v>32908</v>
      </c>
      <c r="F228" s="25" t="s">
        <v>121</v>
      </c>
      <c r="G228" s="25" t="s">
        <v>122</v>
      </c>
      <c r="H228" s="24">
        <v>16600</v>
      </c>
      <c r="I228" s="24">
        <v>23500</v>
      </c>
      <c r="J228" s="24" t="s">
        <v>50</v>
      </c>
      <c r="K228" s="24"/>
      <c r="L228" s="24"/>
      <c r="M228" s="26">
        <v>21500</v>
      </c>
      <c r="N228" s="78">
        <v>23500</v>
      </c>
      <c r="O228" s="1" t="s">
        <v>50</v>
      </c>
      <c r="P228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228" s="76" t="str" cm="1">
        <f t="array" ref="R228">_xlfn.IFS(TabelaClean[[#This Row],[qtde_batalhas]]&lt;=10,"Baixo",TabelaClean[[#This Row],[qtde_batalhas]]&gt;=26,"Alto",TabelaClean[[#This Row],[qtde_batalhas]]&lt;26,"Médio")</f>
        <v>Baixo</v>
      </c>
      <c r="S228" s="76" t="str">
        <f>IF(AND(TabelaClean[[#This Row],[nivel_risco]]="Alto",TabelaClean[[#This Row],[flag_inadimplente]]="Sim"),"Arriscado","Ok")</f>
        <v>Ok</v>
      </c>
      <c r="T228" s="26">
        <v>21500</v>
      </c>
      <c r="U228" s="81">
        <f>IF(AND(TabelaClean[[#This Row],[analise_risco]]="Arriscado",TabelaClean[[#This Row],[analise_credito]]="Reprovado"),0,IF(TabelaClean[[#This Row],[status]]="Ativo",TabelaClean[[#This Row],[valor_solicitado]]*1.08,0))</f>
        <v>23220</v>
      </c>
      <c r="W228" s="1"/>
      <c r="Y228" t="s">
        <v>809</v>
      </c>
      <c r="Z228" t="str">
        <f t="shared" si="3"/>
        <v>Null</v>
      </c>
      <c r="AE228" t="s">
        <v>375</v>
      </c>
      <c r="AF228" t="str">
        <f>TEXT(AE228,"000\.000\.000\-00")</f>
        <v>000.000.228-00</v>
      </c>
      <c r="AH228" s="15" t="s">
        <v>172</v>
      </c>
      <c r="AJ228" s="22">
        <v>23600</v>
      </c>
      <c r="AK228">
        <v>23600</v>
      </c>
      <c r="AM228" s="21">
        <v>75500</v>
      </c>
      <c r="AN228">
        <v>75500</v>
      </c>
      <c r="AO228">
        <v>75500</v>
      </c>
      <c r="BB228" s="26">
        <v>21500</v>
      </c>
      <c r="BC228" s="81">
        <f>IF(AND(TabelaClean[[#This Row],[analise_risco]]="Arriscado",TabelaClean[[#This Row],[analise_credito]]="Reprovado"),0,IF(TabelaClean[[#This Row],[status]]="Ativo",TabelaClean[[#This Row],[valor_solicitado]]*1.08,0))</f>
        <v>23220</v>
      </c>
    </row>
    <row r="229" spans="1:55">
      <c r="A229" s="24" t="s">
        <v>76</v>
      </c>
      <c r="B229" s="17" t="s">
        <v>311</v>
      </c>
      <c r="C229" s="25" t="s">
        <v>312</v>
      </c>
      <c r="D229" s="54">
        <v>37</v>
      </c>
      <c r="E229" s="30">
        <v>32412</v>
      </c>
      <c r="F229" s="24" t="str">
        <f>TabelaClean[[#This Row],[CidadeCPF]]</f>
        <v>Fosso Cailin</v>
      </c>
      <c r="G229" s="17" t="str">
        <f>TabelaClean[[#This Row],[RegiaoCPF]]</f>
        <v>Norte</v>
      </c>
      <c r="H229" s="17" t="str">
        <f>_xlfn.XLOOKUP(TabelaClean[[#This Row],[cpf]],TabelaDirty[cpfclean],TabelaDirty[cidade])</f>
        <v>Fosso Cailin</v>
      </c>
      <c r="I229" s="17" t="str">
        <f>_xlfn.XLOOKUP(TabelaClean[[#This Row],[cpf]],TabelaDirty[cpfclean],TabelaDirty[regiao])</f>
        <v>norte</v>
      </c>
      <c r="J229" s="17" t="str">
        <f>PROPER(TabelaClean[[#This Row],[Coluna1]])</f>
        <v>Norte</v>
      </c>
      <c r="K229" s="17" t="e">
        <f>_xlfn.TEXTBEFORE(TabelaClean[[#This Row],[CidadeCPF]]," | ")</f>
        <v>#N/A</v>
      </c>
      <c r="L229" s="24" t="e">
        <f>_xlfn.TEXTAFTER(TabelaClean[[#This Row],[CidadeCPF]]," | ")</f>
        <v>#N/A</v>
      </c>
      <c r="M229" s="26">
        <v>24700</v>
      </c>
      <c r="N229" s="78">
        <v>23000</v>
      </c>
      <c r="O229" s="1" t="s">
        <v>51</v>
      </c>
      <c r="P22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29" s="84">
        <v>10</v>
      </c>
      <c r="R229" s="1" t="str" cm="1">
        <f t="array" ref="R229">_xlfn.IFS(TabelaClean[[#This Row],[qtde_batalhas]]&lt;=10,"Baixo",TabelaClean[[#This Row],[qtde_batalhas]]&gt;=26,"Alto",TabelaClean[[#This Row],[qtde_batalhas]]&lt;26,"Médio")</f>
        <v>Baixo</v>
      </c>
      <c r="S229" s="1" t="str">
        <f>IF(AND(TabelaClean[[#This Row],[nivel_risco]]="Alto",TabelaClean[[#This Row],[flag_inadimplente]]="Sim"),"Arriscado","Ok")</f>
        <v>Ok</v>
      </c>
      <c r="T229" s="26">
        <v>37500</v>
      </c>
      <c r="U229" s="81">
        <f>IF(AND(TabelaClean[[#This Row],[analise_risco]]="Arriscado",TabelaClean[[#This Row],[analise_credito]]="Reprovado"),0,IF(TabelaClean[[#This Row],[status]]="Ativo",TabelaClean[[#This Row],[valor_solicitado]]*1.08,0))</f>
        <v>40500</v>
      </c>
      <c r="W229" s="1"/>
      <c r="Y229" t="s">
        <v>809</v>
      </c>
      <c r="Z229" t="str">
        <f t="shared" si="3"/>
        <v>Null</v>
      </c>
      <c r="AE229" t="s">
        <v>677</v>
      </c>
      <c r="AF229" t="str">
        <f>TEXT(AE229,"000\.000\.000\-00")</f>
        <v>000.000.229-00</v>
      </c>
      <c r="AH229" s="15" t="s">
        <v>141</v>
      </c>
      <c r="AJ229" s="22">
        <v>3500</v>
      </c>
      <c r="AK229">
        <v>3500</v>
      </c>
      <c r="AM229" s="20">
        <v>50000</v>
      </c>
      <c r="AN229">
        <v>50000</v>
      </c>
      <c r="AO229">
        <v>50000</v>
      </c>
      <c r="BB229" s="26">
        <v>24700</v>
      </c>
      <c r="BC229" s="81">
        <f>IF(AND(TabelaClean[[#This Row],[analise_risco]]="Arriscado",TabelaClean[[#This Row],[analise_credito]]="Reprovado"),0,IF(TabelaClean[[#This Row],[status]]="Ativo",TabelaClean[[#This Row],[valor_solicitado]]*1.08,0))</f>
        <v>40500</v>
      </c>
    </row>
    <row r="230" spans="1:55">
      <c r="A230" s="24" t="s">
        <v>76</v>
      </c>
      <c r="B230" s="17" t="s">
        <v>938</v>
      </c>
      <c r="C230" s="25" t="s">
        <v>939</v>
      </c>
      <c r="D230" s="54">
        <v>28</v>
      </c>
      <c r="E230" s="30">
        <v>35948</v>
      </c>
      <c r="F230" s="25" t="s">
        <v>169</v>
      </c>
      <c r="G230" s="25" t="s">
        <v>139</v>
      </c>
      <c r="H230" s="24">
        <v>14600</v>
      </c>
      <c r="I230" s="24">
        <v>23000</v>
      </c>
      <c r="J230" s="24"/>
      <c r="K230" s="24">
        <v>1</v>
      </c>
      <c r="L230" s="24"/>
      <c r="M230" s="26">
        <v>99000</v>
      </c>
      <c r="N230" s="78">
        <v>23000</v>
      </c>
      <c r="P23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230" s="84">
        <v>1</v>
      </c>
      <c r="R230" s="76" t="str" cm="1">
        <f t="array" ref="R230">_xlfn.IFS(TabelaClean[[#This Row],[qtde_batalhas]]&lt;=10,"Baixo",TabelaClean[[#This Row],[qtde_batalhas]]&gt;=26,"Alto",TabelaClean[[#This Row],[qtde_batalhas]]&lt;26,"Médio")</f>
        <v>Baixo</v>
      </c>
      <c r="S230" s="76" t="str">
        <f>IF(AND(TabelaClean[[#This Row],[nivel_risco]]="Alto",TabelaClean[[#This Row],[flag_inadimplente]]="Sim"),"Arriscado","Ok")</f>
        <v>Ok</v>
      </c>
      <c r="T230" s="26">
        <v>99000</v>
      </c>
      <c r="U230" s="81">
        <f>IF(AND(TabelaClean[[#This Row],[analise_risco]]="Arriscado",TabelaClean[[#This Row],[analise_credito]]="Reprovado"),0,IF(TabelaClean[[#This Row],[status]]="Ativo",TabelaClean[[#This Row],[valor_solicitado]]*1.08,0))</f>
        <v>106920</v>
      </c>
      <c r="W230" s="1"/>
      <c r="Y230" t="s">
        <v>809</v>
      </c>
      <c r="Z230" t="str">
        <f t="shared" si="3"/>
        <v>Null</v>
      </c>
      <c r="AE230" t="s">
        <v>153</v>
      </c>
      <c r="AF230" t="str">
        <f>TEXT(AE230,"000\.000\.000\-00")</f>
        <v>000.000.231-00</v>
      </c>
      <c r="AH230" s="15" t="s">
        <v>223</v>
      </c>
      <c r="AJ230" s="22">
        <v>18500</v>
      </c>
      <c r="AK230">
        <v>18500</v>
      </c>
      <c r="AM230" s="21">
        <v>69500</v>
      </c>
      <c r="AN230">
        <v>69500</v>
      </c>
      <c r="AO230">
        <v>69500</v>
      </c>
      <c r="BB230" s="26">
        <v>99000</v>
      </c>
      <c r="BC230" s="81">
        <f>IF(AND(TabelaClean[[#This Row],[analise_risco]]="Arriscado",TabelaClean[[#This Row],[analise_credito]]="Reprovado"),0,IF(TabelaClean[[#This Row],[status]]="Ativo",TabelaClean[[#This Row],[valor_solicitado]]*1.08,0))</f>
        <v>106920</v>
      </c>
    </row>
    <row r="231" spans="1:55">
      <c r="A231" s="24" t="s">
        <v>76</v>
      </c>
      <c r="B231" s="17" t="s">
        <v>248</v>
      </c>
      <c r="C231" s="25" t="s">
        <v>249</v>
      </c>
      <c r="D231" s="54">
        <v>33</v>
      </c>
      <c r="E231" s="30">
        <v>33881</v>
      </c>
      <c r="F231" s="24" t="str">
        <f>TabelaClean[[#This Row],[CidadeCPF]]</f>
        <v>Castelo Negro</v>
      </c>
      <c r="G231" s="17" t="str">
        <f>TabelaClean[[#This Row],[RegiaoCPF]]</f>
        <v>Norte</v>
      </c>
      <c r="H231" s="17" t="str">
        <f>_xlfn.XLOOKUP(TabelaClean[[#This Row],[cpf]],TabelaDirty[cpfclean],TabelaDirty[cidade])</f>
        <v>Castelo Negro</v>
      </c>
      <c r="I231" s="17" t="str">
        <f>_xlfn.XLOOKUP(TabelaClean[[#This Row],[cpf]],TabelaDirty[cpfclean],TabelaDirty[regiao])</f>
        <v>NORTE</v>
      </c>
      <c r="J231" s="17" t="str">
        <f>PROPER(TabelaClean[[#This Row],[Coluna1]])</f>
        <v>Norte</v>
      </c>
      <c r="K231" s="17" t="e">
        <f>_xlfn.TEXTBEFORE(TabelaClean[[#This Row],[CidadeCPF]]," | ")</f>
        <v>#N/A</v>
      </c>
      <c r="L231" s="24" t="e">
        <f>_xlfn.TEXTAFTER(TabelaClean[[#This Row],[CidadeCPF]]," | ")</f>
        <v>#N/A</v>
      </c>
      <c r="M231" s="26">
        <v>29700</v>
      </c>
      <c r="N231" s="78">
        <v>22000</v>
      </c>
      <c r="O231" s="1" t="s">
        <v>51</v>
      </c>
      <c r="P23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1" s="84">
        <v>38</v>
      </c>
      <c r="R231" s="1" t="str" cm="1">
        <f t="array" ref="R231">_xlfn.IFS(TabelaClean[[#This Row],[qtde_batalhas]]&lt;=10,"Baixo",TabelaClean[[#This Row],[qtde_batalhas]]&gt;=26,"Alto",TabelaClean[[#This Row],[qtde_batalhas]]&lt;26,"Médio")</f>
        <v>Alto</v>
      </c>
      <c r="S231" s="1" t="str">
        <f>IF(AND(TabelaClean[[#This Row],[nivel_risco]]="Alto",TabelaClean[[#This Row],[flag_inadimplente]]="Sim"),"Arriscado","Ok")</f>
        <v>Arriscado</v>
      </c>
      <c r="T231" s="26">
        <v>81000</v>
      </c>
      <c r="U231" s="81">
        <f>IF(AND(TabelaClean[[#This Row],[analise_risco]]="Arriscado",TabelaClean[[#This Row],[analise_credito]]="Reprovado"),0,IF(TabelaClean[[#This Row],[status]]="Ativo",TabelaClean[[#This Row],[valor_solicitado]]*1.08,0))</f>
        <v>87480</v>
      </c>
      <c r="W231" s="1"/>
      <c r="Y231" t="s">
        <v>149</v>
      </c>
      <c r="Z231" t="str">
        <f t="shared" si="3"/>
        <v>Campina</v>
      </c>
      <c r="AE231" t="s">
        <v>682</v>
      </c>
      <c r="AF231" t="str">
        <f>TEXT(AE231,"000\.000\.000\-00")</f>
        <v>000.000.232-00</v>
      </c>
      <c r="AH231" s="15" t="s">
        <v>141</v>
      </c>
      <c r="AJ231" s="22">
        <v>18000</v>
      </c>
      <c r="AK231">
        <v>18000</v>
      </c>
      <c r="AM231" s="20">
        <v>50500</v>
      </c>
      <c r="AN231">
        <v>50500</v>
      </c>
      <c r="AO231">
        <v>50500</v>
      </c>
      <c r="BB231" s="26">
        <v>29700</v>
      </c>
      <c r="BC231" s="81">
        <f>IF(AND(TabelaClean[[#This Row],[analise_risco]]="Arriscado",TabelaClean[[#This Row],[analise_credito]]="Reprovado"),0,IF(TabelaClean[[#This Row],[status]]="Ativo",TabelaClean[[#This Row],[valor_solicitado]]*1.08,0))</f>
        <v>87480</v>
      </c>
    </row>
    <row r="232" spans="1:55">
      <c r="A232" s="24" t="s">
        <v>76</v>
      </c>
      <c r="B232" s="17" t="s">
        <v>527</v>
      </c>
      <c r="C232" s="25" t="s">
        <v>940</v>
      </c>
      <c r="D232" s="54">
        <v>18</v>
      </c>
      <c r="E232" s="30">
        <v>39342</v>
      </c>
      <c r="F232" s="24" t="str">
        <f>TabelaClean[[#This Row],[CidadeCPF]]</f>
        <v>Vilavelha</v>
      </c>
      <c r="G232" s="17" t="str">
        <f>TabelaClean[[#This Row],[RegiaoCPF]]</f>
        <v>Campina</v>
      </c>
      <c r="H232" s="17" t="str">
        <f>_xlfn.XLOOKUP(TabelaClean[[#This Row],[cpf]],TabelaDirty[cpfclean],TabelaDirty[cidade])</f>
        <v>Vilavelha</v>
      </c>
      <c r="I232" s="17" t="str">
        <f>_xlfn.XLOOKUP(TabelaClean[[#This Row],[cpf]],TabelaDirty[cpfclean],TabelaDirty[regiao])</f>
        <v>Campina</v>
      </c>
      <c r="J232" s="17" t="str">
        <f>PROPER(TabelaClean[[#This Row],[Coluna1]])</f>
        <v>Campina</v>
      </c>
      <c r="K232" s="17" t="e">
        <f>_xlfn.TEXTBEFORE(TabelaClean[[#This Row],[CidadeCPF]]," | ")</f>
        <v>#N/A</v>
      </c>
      <c r="L232" s="24" t="e">
        <f>_xlfn.TEXTAFTER(TabelaClean[[#This Row],[CidadeCPF]]," | ")</f>
        <v>#N/A</v>
      </c>
      <c r="M232" s="26">
        <v>28900</v>
      </c>
      <c r="N232" s="78">
        <v>22000</v>
      </c>
      <c r="O232" s="1" t="s">
        <v>51</v>
      </c>
      <c r="P23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2" s="84">
        <v>23</v>
      </c>
      <c r="R232" s="1" t="str" cm="1">
        <f t="array" ref="R232">_xlfn.IFS(TabelaClean[[#This Row],[qtde_batalhas]]&lt;=10,"Baixo",TabelaClean[[#This Row],[qtde_batalhas]]&gt;=26,"Alto",TabelaClean[[#This Row],[qtde_batalhas]]&lt;26,"Médio")</f>
        <v>Médio</v>
      </c>
      <c r="S232" s="1" t="str">
        <f>IF(AND(TabelaClean[[#This Row],[nivel_risco]]="Alto",TabelaClean[[#This Row],[flag_inadimplente]]="Sim"),"Arriscado","Ok")</f>
        <v>Ok</v>
      </c>
      <c r="T232" s="26">
        <v>90000</v>
      </c>
      <c r="U232" s="81">
        <f>IF(AND(TabelaClean[[#This Row],[analise_risco]]="Arriscado",TabelaClean[[#This Row],[analise_credito]]="Reprovado"),0,IF(TabelaClean[[#This Row],[status]]="Ativo",TabelaClean[[#This Row],[valor_solicitado]]*1.08,0))</f>
        <v>97200</v>
      </c>
      <c r="W232" s="1"/>
      <c r="Y232" t="s">
        <v>809</v>
      </c>
      <c r="Z232" t="str">
        <f t="shared" si="3"/>
        <v>Null</v>
      </c>
      <c r="AE232" t="s">
        <v>373</v>
      </c>
      <c r="AF232" t="str">
        <f>TEXT(AE232,"000\.000\.000\-00")</f>
        <v>000.000.234-00</v>
      </c>
      <c r="AH232" s="15" t="s">
        <v>89</v>
      </c>
      <c r="AJ232" s="22">
        <v>6100</v>
      </c>
      <c r="AK232">
        <v>6100</v>
      </c>
      <c r="AM232" s="21"/>
      <c r="AN232" t="s">
        <v>809</v>
      </c>
      <c r="AO232" t="s">
        <v>809</v>
      </c>
      <c r="BB232" s="26">
        <v>28900</v>
      </c>
      <c r="BC232" s="81">
        <f>IF(AND(TabelaClean[[#This Row],[analise_risco]]="Arriscado",TabelaClean[[#This Row],[analise_credito]]="Reprovado"),0,IF(TabelaClean[[#This Row],[status]]="Ativo",TabelaClean[[#This Row],[valor_solicitado]]*1.08,0))</f>
        <v>97200</v>
      </c>
    </row>
    <row r="233" spans="1:55">
      <c r="A233" s="24" t="s">
        <v>76</v>
      </c>
      <c r="B233" s="17" t="s">
        <v>291</v>
      </c>
      <c r="C233" s="25" t="s">
        <v>792</v>
      </c>
      <c r="D233" s="54">
        <f>_xlfn.XLOOKUP(TabelaClean[[#This Row],[nome]],Base_Dirty!B:B,Base_Dirty!E:E)</f>
        <v>27</v>
      </c>
      <c r="E233" s="51">
        <f>_xlfn.XLOOKUP(TabelaClean[[#This Row],[nome]],Base_Dirty!$B:$B,Base_Dirty!F:F)</f>
        <v>36308</v>
      </c>
      <c r="F233" s="17" t="s">
        <v>138</v>
      </c>
      <c r="G233" s="17" t="s">
        <v>139</v>
      </c>
      <c r="H233" s="24" t="s">
        <v>139</v>
      </c>
      <c r="I233" s="24">
        <v>5300</v>
      </c>
      <c r="J233" s="24" t="s">
        <v>293</v>
      </c>
      <c r="K233" s="24" t="s">
        <v>244</v>
      </c>
      <c r="L233" s="24">
        <v>11</v>
      </c>
      <c r="M233" s="23">
        <f>_xlfn.XLOOKUP(TabelaClean[[#This Row],[nome]],Base_Dirty!$B:$B,Base_Dirty!I:I)</f>
        <v>5300</v>
      </c>
      <c r="N233" s="78">
        <v>22000</v>
      </c>
      <c r="O233" s="79" t="s">
        <v>50</v>
      </c>
      <c r="P23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3" s="84">
        <f>_xlfn.XLOOKUP(TabelaClean[[#This Row],[nome]],Base_Dirty!$B:$B,Base_Dirty!L:L)</f>
        <v>11</v>
      </c>
      <c r="R233" s="76" t="str" cm="1">
        <f t="array" ref="R233">_xlfn.IFS(TabelaClean[[#This Row],[qtde_batalhas]]&lt;=10,"Baixo",TabelaClean[[#This Row],[qtde_batalhas]]&gt;=26,"Alto",TabelaClean[[#This Row],[qtde_batalhas]]&lt;26,"Médio")</f>
        <v>Médio</v>
      </c>
      <c r="S233" s="76" t="str">
        <f>IF(AND(TabelaClean[[#This Row],[nivel_risco]]="Alto",TabelaClean[[#This Row],[flag_inadimplente]]="Sim"),"Arriscado","Ok")</f>
        <v>Ok</v>
      </c>
      <c r="T233" s="26">
        <f>_xlfn.XLOOKUP(TabelaClean[[#This Row],[nome]],Base_Dirty!$B:$B,Base_Dirty!O:O)</f>
        <v>28500</v>
      </c>
      <c r="U233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  <c r="W233" s="1"/>
      <c r="Y233" t="s">
        <v>809</v>
      </c>
      <c r="Z233" t="str">
        <f t="shared" si="3"/>
        <v>Null</v>
      </c>
      <c r="AE233" t="s">
        <v>578</v>
      </c>
      <c r="AF233" t="str">
        <f>TEXT(AE233,"000\.000\.000\-00")</f>
        <v>000.000.235-00</v>
      </c>
      <c r="AH233" s="15" t="s">
        <v>183</v>
      </c>
      <c r="AJ233" s="22">
        <v>5500</v>
      </c>
      <c r="AK233">
        <v>5500</v>
      </c>
      <c r="AM233" s="20">
        <v>0</v>
      </c>
      <c r="AN233">
        <v>0</v>
      </c>
      <c r="AO233">
        <v>0</v>
      </c>
      <c r="BB233" s="23">
        <f>_xlfn.XLOOKUP(TabelaClean[[#This Row],[nome]],Base_Dirty!$B:$B,Base_Dirty!AX:AX)</f>
        <v>0</v>
      </c>
      <c r="BC233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</row>
    <row r="234" spans="1:55">
      <c r="A234" s="24" t="s">
        <v>76</v>
      </c>
      <c r="B234" s="17" t="s">
        <v>291</v>
      </c>
      <c r="C234" t="str">
        <f>_xlfn.XLOOKUP(TabelaClean[[#This Row],[nome]],Base_Dirty!$B:$B,Base_Dirty!D:D)</f>
        <v>000.000.283-00</v>
      </c>
      <c r="D234" s="54">
        <f>_xlfn.XLOOKUP(TabelaClean[[#This Row],[nome]],Base_Dirty!B:B,Base_Dirty!E:E)</f>
        <v>27</v>
      </c>
      <c r="E234" s="51">
        <f>_xlfn.XLOOKUP(TabelaClean[[#This Row],[nome]],Base_Dirty!$B:$B,Base_Dirty!F:F)</f>
        <v>36308</v>
      </c>
      <c r="F234" s="17" t="s">
        <v>138</v>
      </c>
      <c r="G234" s="17" t="s">
        <v>139</v>
      </c>
      <c r="H234" s="24" t="s">
        <v>139</v>
      </c>
      <c r="I234" s="24">
        <v>5300</v>
      </c>
      <c r="J234" s="24" t="s">
        <v>293</v>
      </c>
      <c r="K234" s="24" t="s">
        <v>244</v>
      </c>
      <c r="L234" s="24">
        <v>11</v>
      </c>
      <c r="M234" s="23">
        <f>_xlfn.XLOOKUP(TabelaClean[[#This Row],[nome]],Base_Dirty!$B:$B,Base_Dirty!I:I)</f>
        <v>5300</v>
      </c>
      <c r="N234" s="78">
        <v>22000</v>
      </c>
      <c r="O234" s="79" t="s">
        <v>50</v>
      </c>
      <c r="P234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4" s="84">
        <f>_xlfn.XLOOKUP(TabelaClean[[#This Row],[nome]],Base_Dirty!$B:$B,Base_Dirty!L:L)</f>
        <v>11</v>
      </c>
      <c r="R234" s="76" t="str" cm="1">
        <f t="array" ref="R234">_xlfn.IFS(TabelaClean[[#This Row],[qtde_batalhas]]&lt;=10,"Baixo",TabelaClean[[#This Row],[qtde_batalhas]]&gt;=26,"Alto",TabelaClean[[#This Row],[qtde_batalhas]]&lt;26,"Médio")</f>
        <v>Médio</v>
      </c>
      <c r="S234" s="76" t="str">
        <f>IF(AND(TabelaClean[[#This Row],[nivel_risco]]="Alto",TabelaClean[[#This Row],[flag_inadimplente]]="Sim"),"Arriscado","Ok")</f>
        <v>Ok</v>
      </c>
      <c r="T234" s="26">
        <f>_xlfn.XLOOKUP(TabelaClean[[#This Row],[nome]],Base_Dirty!$B:$B,Base_Dirty!O:O)</f>
        <v>28500</v>
      </c>
      <c r="U234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  <c r="W234" s="1"/>
      <c r="Y234" t="s">
        <v>142</v>
      </c>
      <c r="Z234" t="str">
        <f t="shared" si="3"/>
        <v>Norte</v>
      </c>
      <c r="AE234" t="s">
        <v>605</v>
      </c>
      <c r="AF234" t="str">
        <f>TEXT(AE234,"000\.000\.000\-00")</f>
        <v>000.000.236-00</v>
      </c>
      <c r="AH234" s="15" t="s">
        <v>138</v>
      </c>
      <c r="AJ234" s="22">
        <v>7300</v>
      </c>
      <c r="AK234">
        <v>7300</v>
      </c>
      <c r="AM234" s="21">
        <v>1000</v>
      </c>
      <c r="AN234">
        <v>1000</v>
      </c>
      <c r="AO234">
        <v>1000</v>
      </c>
      <c r="BB234" s="23">
        <f>_xlfn.XLOOKUP(TabelaClean[[#This Row],[nome]],Base_Dirty!$B:$B,Base_Dirty!AX:AX)</f>
        <v>0</v>
      </c>
      <c r="BC234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</row>
    <row r="235" spans="1:55">
      <c r="A235" s="24" t="s">
        <v>76</v>
      </c>
      <c r="B235" s="17" t="s">
        <v>291</v>
      </c>
      <c r="C235" s="25" t="s">
        <v>292</v>
      </c>
      <c r="D235" s="54">
        <v>27</v>
      </c>
      <c r="E235" s="30">
        <v>36308</v>
      </c>
      <c r="F235" s="24" t="str">
        <f>TabelaClean[[#This Row],[CidadeCPF]]</f>
        <v>Correrrio</v>
      </c>
      <c r="G235" s="17" t="str">
        <f>TabelaClean[[#This Row],[RegiaoCPF]]</f>
        <v>Terras Fluviais</v>
      </c>
      <c r="H235" s="17" t="str">
        <f>_xlfn.XLOOKUP(TabelaClean[[#This Row],[cpf]],TabelaDirty[cpfclean],TabelaDirty[cidade])</f>
        <v>Correrrio</v>
      </c>
      <c r="I235" s="17" t="str">
        <f>_xlfn.XLOOKUP(TabelaClean[[#This Row],[cpf]],TabelaDirty[cpfclean],TabelaDirty[regiao])</f>
        <v>Terras Fluviais</v>
      </c>
      <c r="J235" s="17" t="str">
        <f>PROPER(TabelaClean[[#This Row],[Coluna1]])</f>
        <v>Terras Fluviais</v>
      </c>
      <c r="K235" s="17" t="e">
        <f>_xlfn.TEXTBEFORE(TabelaClean[[#This Row],[CidadeCPF]]," | ")</f>
        <v>#N/A</v>
      </c>
      <c r="L235" s="24" t="e">
        <f>_xlfn.TEXTAFTER(TabelaClean[[#This Row],[CidadeCPF]]," | ")</f>
        <v>#N/A</v>
      </c>
      <c r="M235" s="26">
        <v>5300</v>
      </c>
      <c r="N235" s="78">
        <v>22000</v>
      </c>
      <c r="O235" s="1" t="s">
        <v>50</v>
      </c>
      <c r="P23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5" s="84">
        <v>11</v>
      </c>
      <c r="R235" s="1" t="str" cm="1">
        <f t="array" ref="R235">_xlfn.IFS(TabelaClean[[#This Row],[qtde_batalhas]]&lt;=10,"Baixo",TabelaClean[[#This Row],[qtde_batalhas]]&gt;=26,"Alto",TabelaClean[[#This Row],[qtde_batalhas]]&lt;26,"Médio")</f>
        <v>Médio</v>
      </c>
      <c r="S235" s="1" t="str">
        <f>IF(AND(TabelaClean[[#This Row],[nivel_risco]]="Alto",TabelaClean[[#This Row],[flag_inadimplente]]="Sim"),"Arriscado","Ok")</f>
        <v>Ok</v>
      </c>
      <c r="T235" s="26">
        <v>28500</v>
      </c>
      <c r="U235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  <c r="W235" s="1"/>
      <c r="Y235" t="s">
        <v>809</v>
      </c>
      <c r="Z235" t="str">
        <f t="shared" si="3"/>
        <v>Null</v>
      </c>
      <c r="AE235" t="s">
        <v>651</v>
      </c>
      <c r="AF235" t="str">
        <f>TEXT(AE235,"000\.000\.000\-00")</f>
        <v>000.000.238-00</v>
      </c>
      <c r="AH235" s="15" t="s">
        <v>79</v>
      </c>
      <c r="AJ235" s="22">
        <v>27100</v>
      </c>
      <c r="AK235">
        <v>27100</v>
      </c>
      <c r="AM235" s="20">
        <v>68000</v>
      </c>
      <c r="AN235">
        <v>68000</v>
      </c>
      <c r="AO235">
        <v>68000</v>
      </c>
      <c r="BB235" s="26">
        <v>5300</v>
      </c>
      <c r="BC235" s="81">
        <f>IF(AND(TabelaClean[[#This Row],[analise_risco]]="Arriscado",TabelaClean[[#This Row],[analise_credito]]="Reprovado"),0,IF(TabelaClean[[#This Row],[status]]="Ativo",TabelaClean[[#This Row],[valor_solicitado]]*1.08,0))</f>
        <v>30780.000000000004</v>
      </c>
    </row>
    <row r="236" spans="1:55">
      <c r="A236" s="24" t="s">
        <v>76</v>
      </c>
      <c r="B236" s="17" t="s">
        <v>794</v>
      </c>
      <c r="C236" s="25" t="s">
        <v>795</v>
      </c>
      <c r="D236" s="54">
        <v>53</v>
      </c>
      <c r="E236" s="30">
        <v>26790</v>
      </c>
      <c r="F236" s="24" t="str">
        <f>TabelaClean[[#This Row],[CidadeCPF]]</f>
        <v>Braavos</v>
      </c>
      <c r="G236" s="17" t="str">
        <f>TabelaClean[[#This Row],[RegiaoCPF]]</f>
        <v>Essos</v>
      </c>
      <c r="H236" s="17" t="str">
        <f>_xlfn.XLOOKUP(TabelaClean[[#This Row],[cpf]],TabelaDirty[cpfclean],TabelaDirty[cidade])</f>
        <v>Braavos</v>
      </c>
      <c r="I236" s="17" t="str">
        <f>_xlfn.XLOOKUP(TabelaClean[[#This Row],[cpf]],TabelaDirty[cpfclean],TabelaDirty[regiao])</f>
        <v>Essos</v>
      </c>
      <c r="J236" s="17" t="str">
        <f>PROPER(TabelaClean[[#This Row],[Coluna1]])</f>
        <v>Essos</v>
      </c>
      <c r="K236" s="17" t="e">
        <f>_xlfn.TEXTBEFORE(TabelaClean[[#This Row],[CidadeCPF]]," | ")</f>
        <v>#N/A</v>
      </c>
      <c r="L236" s="24" t="e">
        <f>_xlfn.TEXTAFTER(TabelaClean[[#This Row],[CidadeCPF]]," | ")</f>
        <v>#N/A</v>
      </c>
      <c r="M236" s="26">
        <v>0</v>
      </c>
      <c r="N236" s="78">
        <v>21500</v>
      </c>
      <c r="O236" s="1" t="s">
        <v>51</v>
      </c>
      <c r="P23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6" s="84">
        <v>44</v>
      </c>
      <c r="R236" s="1" t="str" cm="1">
        <f t="array" ref="R236">_xlfn.IFS(TabelaClean[[#This Row],[qtde_batalhas]]&lt;=10,"Baixo",TabelaClean[[#This Row],[qtde_batalhas]]&gt;=26,"Alto",TabelaClean[[#This Row],[qtde_batalhas]]&lt;26,"Médio")</f>
        <v>Alto</v>
      </c>
      <c r="S236" s="1" t="str">
        <f>IF(AND(TabelaClean[[#This Row],[nivel_risco]]="Alto",TabelaClean[[#This Row],[flag_inadimplente]]="Sim"),"Arriscado","Ok")</f>
        <v>Arriscado</v>
      </c>
      <c r="T236" s="26">
        <v>3500</v>
      </c>
      <c r="U236" s="81">
        <f>IF(AND(TabelaClean[[#This Row],[analise_risco]]="Arriscado",TabelaClean[[#This Row],[analise_credito]]="Reprovado"),0,IF(TabelaClean[[#This Row],[status]]="Ativo",TabelaClean[[#This Row],[valor_solicitado]]*1.08,0))</f>
        <v>3780.0000000000005</v>
      </c>
      <c r="W236" s="1"/>
      <c r="Y236" t="s">
        <v>142</v>
      </c>
      <c r="Z236" t="str">
        <f t="shared" si="3"/>
        <v>Norte</v>
      </c>
      <c r="AE236" t="s">
        <v>485</v>
      </c>
      <c r="AF236" t="str">
        <f>TEXT(AE236,"000\.000\.000\-00")</f>
        <v>000.000.241-00</v>
      </c>
      <c r="AH236" s="15" t="s">
        <v>79</v>
      </c>
      <c r="AJ236" s="22">
        <v>28600</v>
      </c>
      <c r="AK236">
        <v>28600</v>
      </c>
      <c r="AM236" s="21">
        <v>40500</v>
      </c>
      <c r="AN236">
        <v>40500</v>
      </c>
      <c r="AO236">
        <v>40500</v>
      </c>
      <c r="BB236" s="26">
        <v>0</v>
      </c>
      <c r="BC236" s="81">
        <f>IF(AND(TabelaClean[[#This Row],[analise_risco]]="Arriscado",TabelaClean[[#This Row],[analise_credito]]="Reprovado"),0,IF(TabelaClean[[#This Row],[status]]="Ativo",TabelaClean[[#This Row],[valor_solicitado]]*1.08,0))</f>
        <v>3780.0000000000005</v>
      </c>
    </row>
    <row r="237" spans="1:55">
      <c r="A237" s="24" t="s">
        <v>76</v>
      </c>
      <c r="B237" s="17" t="s">
        <v>356</v>
      </c>
      <c r="C237" s="25" t="s">
        <v>357</v>
      </c>
      <c r="D237" s="54">
        <v>58</v>
      </c>
      <c r="E237" s="30">
        <v>24905</v>
      </c>
      <c r="F237" s="24" t="str">
        <f>TabelaClean[[#This Row],[CidadeCPF]]</f>
        <v>Meereen</v>
      </c>
      <c r="G237" s="17" t="str">
        <f>TabelaClean[[#This Row],[RegiaoCPF]]</f>
        <v>Essos</v>
      </c>
      <c r="H237" s="17" t="str">
        <f>_xlfn.XLOOKUP(TabelaClean[[#This Row],[cpf]],TabelaDirty[cpfclean],TabelaDirty[cidade])</f>
        <v>Meereen</v>
      </c>
      <c r="I237" s="17" t="str">
        <f>_xlfn.XLOOKUP(TabelaClean[[#This Row],[cpf]],TabelaDirty[cpfclean],TabelaDirty[regiao])</f>
        <v>ESSOS</v>
      </c>
      <c r="J237" s="17" t="str">
        <f>PROPER(TabelaClean[[#This Row],[Coluna1]])</f>
        <v>Essos</v>
      </c>
      <c r="K237" s="17" t="e">
        <f>_xlfn.TEXTBEFORE(TabelaClean[[#This Row],[CidadeCPF]]," | ")</f>
        <v>#N/A</v>
      </c>
      <c r="L237" s="24" t="e">
        <f>_xlfn.TEXTAFTER(TabelaClean[[#This Row],[CidadeCPF]]," | ")</f>
        <v>#N/A</v>
      </c>
      <c r="M237" s="26">
        <v>12400</v>
      </c>
      <c r="N237" s="78">
        <v>21500</v>
      </c>
      <c r="O237" s="1" t="s">
        <v>51</v>
      </c>
      <c r="P23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7" s="84">
        <v>24</v>
      </c>
      <c r="R237" s="1" t="str" cm="1">
        <f t="array" ref="R237">_xlfn.IFS(TabelaClean[[#This Row],[qtde_batalhas]]&lt;=10,"Baixo",TabelaClean[[#This Row],[qtde_batalhas]]&gt;=26,"Alto",TabelaClean[[#This Row],[qtde_batalhas]]&lt;26,"Médio")</f>
        <v>Médio</v>
      </c>
      <c r="S237" s="1" t="str">
        <f>IF(AND(TabelaClean[[#This Row],[nivel_risco]]="Alto",TabelaClean[[#This Row],[flag_inadimplente]]="Sim"),"Arriscado","Ok")</f>
        <v>Ok</v>
      </c>
      <c r="T237" s="26">
        <v>80000</v>
      </c>
      <c r="U237" s="81">
        <f>IF(AND(TabelaClean[[#This Row],[analise_risco]]="Arriscado",TabelaClean[[#This Row],[analise_credito]]="Reprovado"),0,IF(TabelaClean[[#This Row],[status]]="Ativo",TabelaClean[[#This Row],[valor_solicitado]]*1.08,0))</f>
        <v>86400</v>
      </c>
      <c r="W237" s="1"/>
      <c r="Y237" t="s">
        <v>142</v>
      </c>
      <c r="Z237" t="str">
        <f t="shared" si="3"/>
        <v>Norte</v>
      </c>
      <c r="AE237" t="s">
        <v>426</v>
      </c>
      <c r="AF237" t="str">
        <f>TEXT(AE237,"000\.000\.000\-00")</f>
        <v>000.000.242-00</v>
      </c>
      <c r="AH237" s="15" t="s">
        <v>127</v>
      </c>
      <c r="AJ237" s="22" t="s">
        <v>725</v>
      </c>
      <c r="AK237">
        <v>4000</v>
      </c>
      <c r="AM237" s="20">
        <v>29500</v>
      </c>
      <c r="AN237">
        <v>29500</v>
      </c>
      <c r="AO237">
        <v>29500</v>
      </c>
      <c r="BB237" s="26">
        <v>12400</v>
      </c>
      <c r="BC237" s="81">
        <f>IF(AND(TabelaClean[[#This Row],[analise_risco]]="Arriscado",TabelaClean[[#This Row],[analise_credito]]="Reprovado"),0,IF(TabelaClean[[#This Row],[status]]="Ativo",TabelaClean[[#This Row],[valor_solicitado]]*1.08,0))</f>
        <v>86400</v>
      </c>
    </row>
    <row r="238" spans="1:55">
      <c r="A238" s="24" t="s">
        <v>76</v>
      </c>
      <c r="B238" s="17" t="s">
        <v>406</v>
      </c>
      <c r="C238" s="25" t="s">
        <v>407</v>
      </c>
      <c r="D238" s="54">
        <v>25</v>
      </c>
      <c r="E238" s="30">
        <v>37137</v>
      </c>
      <c r="F238" s="24" t="str">
        <f>TabelaClean[[#This Row],[CidadeCPF]]</f>
        <v>Ninho da Águia</v>
      </c>
      <c r="G238" s="17" t="str">
        <f>TabelaClean[[#This Row],[RegiaoCPF]]</f>
        <v>Vale</v>
      </c>
      <c r="H238" s="17" t="str">
        <f>_xlfn.XLOOKUP(TabelaClean[[#This Row],[cpf]],TabelaDirty[cpfclean],TabelaDirty[cidade])</f>
        <v>Ninho da Águia</v>
      </c>
      <c r="I238" s="17" t="str">
        <f>_xlfn.XLOOKUP(TabelaClean[[#This Row],[cpf]],TabelaDirty[cpfclean],TabelaDirty[regiao])</f>
        <v>Vale</v>
      </c>
      <c r="J238" s="17" t="str">
        <f>PROPER(TabelaClean[[#This Row],[Coluna1]])</f>
        <v>Vale</v>
      </c>
      <c r="K238" s="17" t="e">
        <f>_xlfn.TEXTBEFORE(TabelaClean[[#This Row],[CidadeCPF]]," | ")</f>
        <v>#N/A</v>
      </c>
      <c r="L238" s="24" t="e">
        <f>_xlfn.TEXTAFTER(TabelaClean[[#This Row],[CidadeCPF]]," | ")</f>
        <v>#N/A</v>
      </c>
      <c r="N238" s="78">
        <v>21000</v>
      </c>
      <c r="O238" s="1" t="s">
        <v>50</v>
      </c>
      <c r="P23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8" s="84">
        <v>34</v>
      </c>
      <c r="R238" s="1" t="str" cm="1">
        <f t="array" ref="R238">_xlfn.IFS(TabelaClean[[#This Row],[qtde_batalhas]]&lt;=10,"Baixo",TabelaClean[[#This Row],[qtde_batalhas]]&gt;=26,"Alto",TabelaClean[[#This Row],[qtde_batalhas]]&lt;26,"Médio")</f>
        <v>Alto</v>
      </c>
      <c r="S238" s="1" t="str">
        <f>IF(AND(TabelaClean[[#This Row],[nivel_risco]]="Alto",TabelaClean[[#This Row],[flag_inadimplente]]="Sim"),"Arriscado","Ok")</f>
        <v>Ok</v>
      </c>
      <c r="T238" s="26">
        <v>7500</v>
      </c>
      <c r="U238" s="81">
        <f>IF(AND(TabelaClean[[#This Row],[analise_risco]]="Arriscado",TabelaClean[[#This Row],[analise_credito]]="Reprovado"),0,IF(TabelaClean[[#This Row],[status]]="Ativo",TabelaClean[[#This Row],[valor_solicitado]]*1.08,0))</f>
        <v>8100.0000000000009</v>
      </c>
      <c r="W238" s="1"/>
      <c r="Y238" t="s">
        <v>809</v>
      </c>
      <c r="Z238" t="str">
        <f t="shared" si="3"/>
        <v>Null</v>
      </c>
      <c r="AE238" t="s">
        <v>352</v>
      </c>
      <c r="AF238" t="str">
        <f>TEXT(AE238,"000\.000\.000\-00")</f>
        <v>000.000.244-00</v>
      </c>
      <c r="AH238" s="15" t="s">
        <v>302</v>
      </c>
      <c r="AJ238" s="22">
        <v>22100</v>
      </c>
      <c r="AK238">
        <v>22100</v>
      </c>
      <c r="AM238" s="21">
        <v>37000</v>
      </c>
      <c r="AN238">
        <v>37000</v>
      </c>
      <c r="AO238">
        <v>37000</v>
      </c>
      <c r="BC238" s="81">
        <f>IF(AND(TabelaClean[[#This Row],[analise_risco]]="Arriscado",TabelaClean[[#This Row],[analise_credito]]="Reprovado"),0,IF(TabelaClean[[#This Row],[status]]="Ativo",TabelaClean[[#This Row],[valor_solicitado]]*1.08,0))</f>
        <v>8100.0000000000009</v>
      </c>
    </row>
    <row r="239" spans="1:55">
      <c r="A239" s="24" t="s">
        <v>76</v>
      </c>
      <c r="B239" s="17" t="s">
        <v>274</v>
      </c>
      <c r="C239" s="25" t="s">
        <v>275</v>
      </c>
      <c r="D239" s="54">
        <v>41</v>
      </c>
      <c r="E239" s="30">
        <v>30944</v>
      </c>
      <c r="F239" s="24" t="str">
        <f>TabelaClean[[#This Row],[CidadeCPF]]</f>
        <v>Ponta Tempestade</v>
      </c>
      <c r="G239" s="17" t="str">
        <f>TabelaClean[[#This Row],[RegiaoCPF]]</f>
        <v>Terras Da Tempestade</v>
      </c>
      <c r="H239" s="17" t="str">
        <f>_xlfn.XLOOKUP(TabelaClean[[#This Row],[cpf]],TabelaDirty[cpfclean],TabelaDirty[cidade])</f>
        <v>Ponta Tempestade</v>
      </c>
      <c r="I239" s="17" t="str">
        <f>_xlfn.XLOOKUP(TabelaClean[[#This Row],[cpf]],TabelaDirty[cpfclean],TabelaDirty[regiao])</f>
        <v>Terras da Tempestade</v>
      </c>
      <c r="J239" s="17" t="str">
        <f>PROPER(TabelaClean[[#This Row],[Coluna1]])</f>
        <v>Terras Da Tempestade</v>
      </c>
      <c r="K239" s="17" t="e">
        <f>_xlfn.TEXTBEFORE(TabelaClean[[#This Row],[CidadeCPF]]," | ")</f>
        <v>#N/A</v>
      </c>
      <c r="L239" s="24" t="e">
        <f>_xlfn.TEXTAFTER(TabelaClean[[#This Row],[CidadeCPF]]," | ")</f>
        <v>#N/A</v>
      </c>
      <c r="M239" s="26">
        <v>20000</v>
      </c>
      <c r="N239" s="78">
        <v>20500</v>
      </c>
      <c r="O239" s="1" t="s">
        <v>51</v>
      </c>
      <c r="P23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39" s="84">
        <v>8</v>
      </c>
      <c r="R239" s="1" t="str" cm="1">
        <f t="array" ref="R239">_xlfn.IFS(TabelaClean[[#This Row],[qtde_batalhas]]&lt;=10,"Baixo",TabelaClean[[#This Row],[qtde_batalhas]]&gt;=26,"Alto",TabelaClean[[#This Row],[qtde_batalhas]]&lt;26,"Médio")</f>
        <v>Baixo</v>
      </c>
      <c r="S239" s="1" t="str">
        <f>IF(AND(TabelaClean[[#This Row],[nivel_risco]]="Alto",TabelaClean[[#This Row],[flag_inadimplente]]="Sim"),"Arriscado","Ok")</f>
        <v>Ok</v>
      </c>
      <c r="T239" s="26">
        <v>44000</v>
      </c>
      <c r="U239" s="81">
        <f>IF(AND(TabelaClean[[#This Row],[analise_risco]]="Arriscado",TabelaClean[[#This Row],[analise_credito]]="Reprovado"),0,IF(TabelaClean[[#This Row],[status]]="Ativo",TabelaClean[[#This Row],[valor_solicitado]]*1.08,0))</f>
        <v>47520</v>
      </c>
      <c r="W239" s="1"/>
      <c r="Y239" t="s">
        <v>155</v>
      </c>
      <c r="Z239" t="str">
        <f t="shared" si="3"/>
        <v>Norte</v>
      </c>
      <c r="AE239" t="s">
        <v>502</v>
      </c>
      <c r="AF239" t="str">
        <f>TEXT(AE239,"000\.000\.000\-00")</f>
        <v>000.000.245-00</v>
      </c>
      <c r="AH239" s="14" t="s">
        <v>339</v>
      </c>
      <c r="AI239" t="e" cm="1" vm="1">
        <f t="array" aca="1" ref="AI239" ca="1">_xlfn.TEXTSPLIT(AH239," | ")</f>
        <v>#VALUE!</v>
      </c>
      <c r="AJ239" s="22">
        <v>14100</v>
      </c>
      <c r="AK239">
        <v>14100</v>
      </c>
      <c r="AM239" s="20">
        <v>38500</v>
      </c>
      <c r="AN239">
        <v>38500</v>
      </c>
      <c r="AO239">
        <v>38500</v>
      </c>
      <c r="BB239" s="26">
        <v>20000</v>
      </c>
      <c r="BC239" s="81">
        <f>IF(AND(TabelaClean[[#This Row],[analise_risco]]="Arriscado",TabelaClean[[#This Row],[analise_credito]]="Reprovado"),0,IF(TabelaClean[[#This Row],[status]]="Ativo",TabelaClean[[#This Row],[valor_solicitado]]*1.08,0))</f>
        <v>47520</v>
      </c>
    </row>
    <row r="240" spans="1:55">
      <c r="A240" s="24" t="s">
        <v>76</v>
      </c>
      <c r="B240" s="17" t="s">
        <v>316</v>
      </c>
      <c r="C240" s="25" t="s">
        <v>317</v>
      </c>
      <c r="D240" s="54" t="s">
        <v>941</v>
      </c>
      <c r="E240" s="30">
        <v>37491</v>
      </c>
      <c r="F240" s="24" t="str">
        <f>TabelaClean[[#This Row],[CidadeCPF]]</f>
        <v>Dorne</v>
      </c>
      <c r="G240" s="17" t="str">
        <f>TabelaClean[[#This Row],[RegiaoCPF]]</f>
        <v>Dorne</v>
      </c>
      <c r="H240" s="17" t="str">
        <f>_xlfn.XLOOKUP(TabelaClean[[#This Row],[cpf]],TabelaDirty[cpfclean],TabelaDirty[cidade])</f>
        <v>Dorne</v>
      </c>
      <c r="I240" s="17" t="str">
        <f>_xlfn.XLOOKUP(TabelaClean[[#This Row],[cpf]],TabelaDirty[cpfclean],TabelaDirty[regiao])</f>
        <v>dorne</v>
      </c>
      <c r="J240" s="17" t="str">
        <f>PROPER(TabelaClean[[#This Row],[Coluna1]])</f>
        <v>Dorne</v>
      </c>
      <c r="K240" s="17" t="e">
        <f>_xlfn.TEXTBEFORE(TabelaClean[[#This Row],[CidadeCPF]]," | ")</f>
        <v>#N/A</v>
      </c>
      <c r="L240" s="24" t="e">
        <f>_xlfn.TEXTAFTER(TabelaClean[[#This Row],[CidadeCPF]]," | ")</f>
        <v>#N/A</v>
      </c>
      <c r="M240" s="26">
        <v>8900</v>
      </c>
      <c r="N240" s="78">
        <v>19500</v>
      </c>
      <c r="O240" s="1" t="s">
        <v>51</v>
      </c>
      <c r="P24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0" s="84">
        <v>33</v>
      </c>
      <c r="R240" s="1" t="str" cm="1">
        <f t="array" ref="R240">_xlfn.IFS(TabelaClean[[#This Row],[qtde_batalhas]]&lt;=10,"Baixo",TabelaClean[[#This Row],[qtde_batalhas]]&gt;=26,"Alto",TabelaClean[[#This Row],[qtde_batalhas]]&lt;26,"Médio")</f>
        <v>Alto</v>
      </c>
      <c r="S240" s="1" t="str">
        <f>IF(AND(TabelaClean[[#This Row],[nivel_risco]]="Alto",TabelaClean[[#This Row],[flag_inadimplente]]="Sim"),"Arriscado","Ok")</f>
        <v>Arriscado</v>
      </c>
      <c r="T240" s="26">
        <v>96500</v>
      </c>
      <c r="U240" s="81">
        <f>IF(AND(TabelaClean[[#This Row],[analise_risco]]="Arriscado",TabelaClean[[#This Row],[analise_credito]]="Reprovado"),0,IF(TabelaClean[[#This Row],[status]]="Ativo",TabelaClean[[#This Row],[valor_solicitado]]*1.08,0))</f>
        <v>104220</v>
      </c>
      <c r="W240" s="1"/>
      <c r="Y240" t="s">
        <v>809</v>
      </c>
      <c r="Z240" t="str">
        <f t="shared" si="3"/>
        <v>Null</v>
      </c>
      <c r="AE240" t="s">
        <v>764</v>
      </c>
      <c r="AF240" t="str">
        <f>TEXT(AE240,"000\.000\.000\-00")</f>
        <v>000.000.246-00</v>
      </c>
      <c r="AH240" s="15" t="s">
        <v>148</v>
      </c>
      <c r="AJ240" s="22">
        <v>25400</v>
      </c>
      <c r="AK240">
        <v>25400</v>
      </c>
      <c r="AM240" s="21">
        <v>4000</v>
      </c>
      <c r="AN240">
        <v>4000</v>
      </c>
      <c r="AO240">
        <v>4000</v>
      </c>
      <c r="BB240" s="26">
        <v>8900</v>
      </c>
      <c r="BC240" s="81">
        <f>IF(AND(TabelaClean[[#This Row],[analise_risco]]="Arriscado",TabelaClean[[#This Row],[analise_credito]]="Reprovado"),0,IF(TabelaClean[[#This Row],[status]]="Ativo",TabelaClean[[#This Row],[valor_solicitado]]*1.08,0))</f>
        <v>104220</v>
      </c>
    </row>
    <row r="241" spans="1:55">
      <c r="A241" s="24" t="s">
        <v>76</v>
      </c>
      <c r="B241" s="17" t="s">
        <v>757</v>
      </c>
      <c r="C241" s="25" t="s">
        <v>758</v>
      </c>
      <c r="D241" s="54">
        <v>29</v>
      </c>
      <c r="E241" s="30">
        <v>35392</v>
      </c>
      <c r="F241" s="24" t="str">
        <f>TabelaClean[[#This Row],[CidadeCPF]]</f>
        <v>Atalaia da Água Cinzenta</v>
      </c>
      <c r="G241" s="17" t="str">
        <f>TabelaClean[[#This Row],[RegiaoCPF]]</f>
        <v>Gargalo</v>
      </c>
      <c r="H241" s="17" t="str">
        <f>_xlfn.XLOOKUP(TabelaClean[[#This Row],[cpf]],TabelaDirty[cpfclean],TabelaDirty[cidade])</f>
        <v>Atalaia da Água Cinzenta</v>
      </c>
      <c r="I241" s="17" t="s">
        <v>456</v>
      </c>
      <c r="J241" s="17" t="str">
        <f>PROPER(TabelaClean[[#This Row],[Coluna1]])</f>
        <v>Gargalo</v>
      </c>
      <c r="K241" s="17" t="e">
        <f>_xlfn.TEXTBEFORE(TabelaClean[[#This Row],[CidadeCPF]]," | ")</f>
        <v>#N/A</v>
      </c>
      <c r="L241" s="24" t="e">
        <f>_xlfn.TEXTAFTER(TabelaClean[[#This Row],[CidadeCPF]]," | ")</f>
        <v>#N/A</v>
      </c>
      <c r="M241" s="26">
        <v>6400</v>
      </c>
      <c r="N241" s="78">
        <v>19500</v>
      </c>
      <c r="O241" s="1" t="s">
        <v>50</v>
      </c>
      <c r="P24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1" s="84">
        <v>30</v>
      </c>
      <c r="R241" s="1" t="str" cm="1">
        <f t="array" ref="R241">_xlfn.IFS(TabelaClean[[#This Row],[qtde_batalhas]]&lt;=10,"Baixo",TabelaClean[[#This Row],[qtde_batalhas]]&gt;=26,"Alto",TabelaClean[[#This Row],[qtde_batalhas]]&lt;26,"Médio")</f>
        <v>Alto</v>
      </c>
      <c r="S241" s="1" t="str">
        <f>IF(AND(TabelaClean[[#This Row],[nivel_risco]]="Alto",TabelaClean[[#This Row],[flag_inadimplente]]="Sim"),"Arriscado","Ok")</f>
        <v>Ok</v>
      </c>
      <c r="T241" s="26">
        <v>51000</v>
      </c>
      <c r="U241" s="81">
        <f>IF(AND(TabelaClean[[#This Row],[analise_risco]]="Arriscado",TabelaClean[[#This Row],[analise_credito]]="Reprovado"),0,IF(TabelaClean[[#This Row],[status]]="Ativo",TabelaClean[[#This Row],[valor_solicitado]]*1.08,0))</f>
        <v>55080</v>
      </c>
      <c r="W241" s="1"/>
      <c r="Y241" t="s">
        <v>139</v>
      </c>
      <c r="Z241" t="str">
        <f t="shared" si="3"/>
        <v>Terras Fluviais</v>
      </c>
      <c r="AE241" t="s">
        <v>180</v>
      </c>
      <c r="AF241" t="str">
        <f>TEXT(AE241,"000\.000\.000\-00")</f>
        <v>000.000.247-00</v>
      </c>
      <c r="AH241" s="15" t="s">
        <v>89</v>
      </c>
      <c r="AJ241" s="22">
        <v>9600</v>
      </c>
      <c r="AK241">
        <v>9600</v>
      </c>
      <c r="AM241" s="20">
        <v>41000</v>
      </c>
      <c r="AN241">
        <v>41000</v>
      </c>
      <c r="AO241">
        <v>41000</v>
      </c>
      <c r="BB241" s="26">
        <v>6400</v>
      </c>
      <c r="BC241" s="81">
        <f>IF(AND(TabelaClean[[#This Row],[analise_risco]]="Arriscado",TabelaClean[[#This Row],[analise_credito]]="Reprovado"),0,IF(TabelaClean[[#This Row],[status]]="Ativo",TabelaClean[[#This Row],[valor_solicitado]]*1.08,0))</f>
        <v>55080</v>
      </c>
    </row>
    <row r="242" spans="1:55">
      <c r="A242" s="24" t="s">
        <v>76</v>
      </c>
      <c r="B242" s="17" t="s">
        <v>182</v>
      </c>
      <c r="C242" s="25" t="s">
        <v>923</v>
      </c>
      <c r="D242" s="54">
        <v>42</v>
      </c>
      <c r="E242" s="30">
        <v>30642</v>
      </c>
      <c r="F242" s="24" t="str">
        <f>TabelaClean[[#This Row],[CidadeCPF]]</f>
        <v>Dorne</v>
      </c>
      <c r="G242" s="17" t="str">
        <f>TabelaClean[[#This Row],[RegiaoCPF]]</f>
        <v>Dorne</v>
      </c>
      <c r="H242" s="17" t="str">
        <f>_xlfn.XLOOKUP(TabelaClean[[#This Row],[cpf]],TabelaDirty[cpfclean],TabelaDirty[cidade])</f>
        <v>Dorne</v>
      </c>
      <c r="I242" s="17" t="str">
        <f>_xlfn.XLOOKUP(TabelaClean[[#This Row],[cpf]],TabelaDirty[cpfclean],TabelaDirty[regiao])</f>
        <v>Dorne</v>
      </c>
      <c r="J242" s="17" t="str">
        <f>PROPER(TabelaClean[[#This Row],[Coluna1]])</f>
        <v>Dorne</v>
      </c>
      <c r="K242" s="17" t="e">
        <f>_xlfn.TEXTBEFORE(TabelaClean[[#This Row],[CidadeCPF]]," | ")</f>
        <v>#N/A</v>
      </c>
      <c r="L242" s="24" t="e">
        <f>_xlfn.TEXTAFTER(TabelaClean[[#This Row],[CidadeCPF]]," | ")</f>
        <v>#N/A</v>
      </c>
      <c r="M242" s="26">
        <v>0</v>
      </c>
      <c r="N242" s="78">
        <v>19500</v>
      </c>
      <c r="O242" s="1" t="s">
        <v>50</v>
      </c>
      <c r="P24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2" s="84">
        <v>42</v>
      </c>
      <c r="R242" s="1" t="str" cm="1">
        <f t="array" ref="R242">_xlfn.IFS(TabelaClean[[#This Row],[qtde_batalhas]]&lt;=10,"Baixo",TabelaClean[[#This Row],[qtde_batalhas]]&gt;=26,"Alto",TabelaClean[[#This Row],[qtde_batalhas]]&lt;26,"Médio")</f>
        <v>Alto</v>
      </c>
      <c r="S242" s="1" t="str">
        <f>IF(AND(TabelaClean[[#This Row],[nivel_risco]]="Alto",TabelaClean[[#This Row],[flag_inadimplente]]="Sim"),"Arriscado","Ok")</f>
        <v>Ok</v>
      </c>
      <c r="T242" s="26">
        <v>89500</v>
      </c>
      <c r="U242" s="81">
        <f>IF(AND(TabelaClean[[#This Row],[analise_risco]]="Arriscado",TabelaClean[[#This Row],[analise_credito]]="Reprovado"),0,IF(TabelaClean[[#This Row],[status]]="Ativo",TabelaClean[[#This Row],[valor_solicitado]]*1.08,0))</f>
        <v>96660</v>
      </c>
      <c r="W242" s="1"/>
      <c r="Y242" t="s">
        <v>809</v>
      </c>
      <c r="Z242" t="str">
        <f t="shared" si="3"/>
        <v>Null</v>
      </c>
      <c r="AE242" t="s">
        <v>323</v>
      </c>
      <c r="AF242" t="str">
        <f>TEXT(AE242,"000\.000\.000\-00")</f>
        <v>000.000.248-00</v>
      </c>
      <c r="AH242" s="15" t="s">
        <v>343</v>
      </c>
      <c r="AI242" t="e" cm="1" vm="1">
        <f t="array" aca="1" ref="AI242" ca="1">_xlfn.TEXTSPLIT(AH242," | ")</f>
        <v>#VALUE!</v>
      </c>
      <c r="AJ242" s="22">
        <v>29000</v>
      </c>
      <c r="AK242">
        <v>29000</v>
      </c>
      <c r="AL242" t="s">
        <v>149</v>
      </c>
      <c r="AM242" s="21">
        <v>28500</v>
      </c>
      <c r="AN242">
        <v>28500</v>
      </c>
      <c r="AO242">
        <v>28500</v>
      </c>
      <c r="BB242" s="26">
        <v>0</v>
      </c>
      <c r="BC242" s="81">
        <f>IF(AND(TabelaClean[[#This Row],[analise_risco]]="Arriscado",TabelaClean[[#This Row],[analise_credito]]="Reprovado"),0,IF(TabelaClean[[#This Row],[status]]="Ativo",TabelaClean[[#This Row],[valor_solicitado]]*1.08,0))</f>
        <v>96660</v>
      </c>
    </row>
    <row r="243" spans="1:55">
      <c r="A243" s="24" t="s">
        <v>76</v>
      </c>
      <c r="B243" s="17" t="s">
        <v>441</v>
      </c>
      <c r="C243" s="25" t="s">
        <v>442</v>
      </c>
      <c r="D243" s="54">
        <v>73</v>
      </c>
      <c r="E243" s="30">
        <v>19363</v>
      </c>
      <c r="F243" s="24" t="str">
        <f>TabelaClean[[#This Row],[CidadeCPF]]</f>
        <v>Jardim de Cima</v>
      </c>
      <c r="G243" s="17" t="str">
        <f>TabelaClean[[#This Row],[RegiaoCPF]]</f>
        <v>Campina</v>
      </c>
      <c r="H243" s="17" t="str">
        <f>_xlfn.XLOOKUP(TabelaClean[[#This Row],[cpf]],TabelaDirty[cpfclean],TabelaDirty[cidade])</f>
        <v>Jardim de Cima</v>
      </c>
      <c r="I243" s="17" t="str">
        <f>_xlfn.XLOOKUP(TabelaClean[[#This Row],[cpf]],TabelaDirty[cpfclean],TabelaDirty[regiao])</f>
        <v>Campina</v>
      </c>
      <c r="J243" s="17" t="str">
        <f>PROPER(TabelaClean[[#This Row],[Coluna1]])</f>
        <v>Campina</v>
      </c>
      <c r="K243" s="17" t="e">
        <f>_xlfn.TEXTBEFORE(TabelaClean[[#This Row],[CidadeCPF]]," | ")</f>
        <v>#N/A</v>
      </c>
      <c r="L243" s="24" t="e">
        <f>_xlfn.TEXTAFTER(TabelaClean[[#This Row],[CidadeCPF]]," | ")</f>
        <v>#N/A</v>
      </c>
      <c r="M243" s="26">
        <v>23000</v>
      </c>
      <c r="N243" s="78">
        <v>19000</v>
      </c>
      <c r="O243" s="1" t="s">
        <v>51</v>
      </c>
      <c r="P24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3" s="84">
        <v>0</v>
      </c>
      <c r="R243" s="1" t="str" cm="1">
        <f t="array" ref="R243">_xlfn.IFS(TabelaClean[[#This Row],[qtde_batalhas]]&lt;=10,"Baixo",TabelaClean[[#This Row],[qtde_batalhas]]&gt;=26,"Alto",TabelaClean[[#This Row],[qtde_batalhas]]&lt;26,"Médio")</f>
        <v>Baixo</v>
      </c>
      <c r="S243" s="1" t="str">
        <f>IF(AND(TabelaClean[[#This Row],[nivel_risco]]="Alto",TabelaClean[[#This Row],[flag_inadimplente]]="Sim"),"Arriscado","Ok")</f>
        <v>Ok</v>
      </c>
      <c r="T243" s="26">
        <v>17000</v>
      </c>
      <c r="U243" s="81">
        <f>IF(AND(TabelaClean[[#This Row],[analise_risco]]="Arriscado",TabelaClean[[#This Row],[analise_credito]]="Reprovado"),0,IF(TabelaClean[[#This Row],[status]]="Ativo",TabelaClean[[#This Row],[valor_solicitado]]*1.08,0))</f>
        <v>18360</v>
      </c>
      <c r="W243" s="1"/>
      <c r="Y243" t="s">
        <v>809</v>
      </c>
      <c r="Z243" t="str">
        <f t="shared" si="3"/>
        <v>Null</v>
      </c>
      <c r="AE243" t="s">
        <v>186</v>
      </c>
      <c r="AF243" t="str">
        <f>TEXT(AE243,"000\.000\.000\-00")</f>
        <v>000.000.249-00</v>
      </c>
      <c r="AH243" s="15" t="s">
        <v>127</v>
      </c>
      <c r="AJ243" s="22" t="s">
        <v>487</v>
      </c>
      <c r="AK243">
        <v>17800</v>
      </c>
      <c r="AM243" s="20">
        <v>9000</v>
      </c>
      <c r="AN243">
        <v>9000</v>
      </c>
      <c r="AO243">
        <v>9000</v>
      </c>
      <c r="BB243" s="26">
        <v>23000</v>
      </c>
      <c r="BC243" s="81">
        <f>IF(AND(TabelaClean[[#This Row],[analise_risco]]="Arriscado",TabelaClean[[#This Row],[analise_credito]]="Reprovado"),0,IF(TabelaClean[[#This Row],[status]]="Ativo",TabelaClean[[#This Row],[valor_solicitado]]*1.08,0))</f>
        <v>18360</v>
      </c>
    </row>
    <row r="244" spans="1:55">
      <c r="A244" s="24" t="s">
        <v>76</v>
      </c>
      <c r="B244" s="17" t="s">
        <v>106</v>
      </c>
      <c r="C244" s="25" t="s">
        <v>107</v>
      </c>
      <c r="D244" s="54">
        <v>28</v>
      </c>
      <c r="E244" s="30">
        <v>35830</v>
      </c>
      <c r="F244" s="24" t="str">
        <f>TabelaClean[[#This Row],[CidadeCPF]]</f>
        <v>Lannisporto</v>
      </c>
      <c r="G244" s="17" t="str">
        <f>TabelaClean[[#This Row],[RegiaoCPF]]</f>
        <v>Oeste</v>
      </c>
      <c r="H244" s="17" t="str">
        <f>_xlfn.XLOOKUP(TabelaClean[[#This Row],[cpf]],TabelaDirty[cpfclean],TabelaDirty[cidade])</f>
        <v>Lannisporto</v>
      </c>
      <c r="I244" s="17" t="str">
        <f>_xlfn.XLOOKUP(TabelaClean[[#This Row],[cpf]],TabelaDirty[cpfclean],TabelaDirty[regiao])</f>
        <v>Oeste</v>
      </c>
      <c r="J244" s="17" t="str">
        <f>PROPER(TabelaClean[[#This Row],[Coluna1]])</f>
        <v>Oeste</v>
      </c>
      <c r="K244" s="17" t="e">
        <f>_xlfn.TEXTBEFORE(TabelaClean[[#This Row],[CidadeCPF]]," | ")</f>
        <v>#N/A</v>
      </c>
      <c r="L244" s="24" t="e">
        <f>_xlfn.TEXTAFTER(TabelaClean[[#This Row],[CidadeCPF]]," | ")</f>
        <v>#N/A</v>
      </c>
      <c r="M244" s="26">
        <v>8600</v>
      </c>
      <c r="N244" s="78">
        <v>19000</v>
      </c>
      <c r="O244" s="1" t="s">
        <v>51</v>
      </c>
      <c r="P24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4" s="84">
        <v>4</v>
      </c>
      <c r="R244" s="1" t="str" cm="1">
        <f t="array" ref="R244">_xlfn.IFS(TabelaClean[[#This Row],[qtde_batalhas]]&lt;=10,"Baixo",TabelaClean[[#This Row],[qtde_batalhas]]&gt;=26,"Alto",TabelaClean[[#This Row],[qtde_batalhas]]&lt;26,"Médio")</f>
        <v>Baixo</v>
      </c>
      <c r="S244" s="1" t="str">
        <f>IF(AND(TabelaClean[[#This Row],[nivel_risco]]="Alto",TabelaClean[[#This Row],[flag_inadimplente]]="Sim"),"Arriscado","Ok")</f>
        <v>Ok</v>
      </c>
      <c r="T244" s="26">
        <v>32500</v>
      </c>
      <c r="U244" s="81">
        <f>IF(AND(TabelaClean[[#This Row],[analise_risco]]="Arriscado",TabelaClean[[#This Row],[analise_credito]]="Reprovado"),0,IF(TabelaClean[[#This Row],[status]]="Ativo",TabelaClean[[#This Row],[valor_solicitado]]*1.08,0))</f>
        <v>35100</v>
      </c>
      <c r="W244" s="1"/>
      <c r="Y244" t="s">
        <v>149</v>
      </c>
      <c r="Z244" t="str">
        <f t="shared" si="3"/>
        <v>Campina</v>
      </c>
      <c r="AE244" t="s">
        <v>460</v>
      </c>
      <c r="AF244" t="str">
        <f>TEXT(AE244,"000\.000\.000\-00")</f>
        <v>000.000.250-00</v>
      </c>
      <c r="AH244" s="15" t="s">
        <v>83</v>
      </c>
      <c r="AJ244" s="22" t="s">
        <v>123</v>
      </c>
      <c r="AK244">
        <v>23000</v>
      </c>
      <c r="AM244" s="21">
        <v>19000</v>
      </c>
      <c r="AN244">
        <v>19000</v>
      </c>
      <c r="AO244">
        <v>19000</v>
      </c>
      <c r="BB244" s="26">
        <v>8600</v>
      </c>
      <c r="BC244" s="81">
        <f>IF(AND(TabelaClean[[#This Row],[analise_risco]]="Arriscado",TabelaClean[[#This Row],[analise_credito]]="Reprovado"),0,IF(TabelaClean[[#This Row],[status]]="Ativo",TabelaClean[[#This Row],[valor_solicitado]]*1.08,0))</f>
        <v>35100</v>
      </c>
    </row>
    <row r="245" spans="1:55">
      <c r="A245" s="24" t="s">
        <v>76</v>
      </c>
      <c r="B245" s="17" t="s">
        <v>768</v>
      </c>
      <c r="C245" s="25" t="s">
        <v>769</v>
      </c>
      <c r="D245" s="54">
        <v>43</v>
      </c>
      <c r="E245" s="30">
        <v>30437</v>
      </c>
      <c r="F245" s="24" t="str">
        <f>TabelaClean[[#This Row],[CidadeCPF]]</f>
        <v>Porto Real</v>
      </c>
      <c r="G245" s="17" t="str">
        <f>TabelaClean[[#This Row],[RegiaoCPF]]</f>
        <v>Terras Da Coroa</v>
      </c>
      <c r="H245" s="17" t="str">
        <f>_xlfn.XLOOKUP(TabelaClean[[#This Row],[cpf]],TabelaDirty[cpfclean],TabelaDirty[cidade])</f>
        <v>Porto Real</v>
      </c>
      <c r="I245" s="17" t="str">
        <f>_xlfn.XLOOKUP(TabelaClean[[#This Row],[cpf]],TabelaDirty[cpfclean],TabelaDirty[regiao])</f>
        <v>Terras da Coroa</v>
      </c>
      <c r="J245" s="17" t="str">
        <f>PROPER(TabelaClean[[#This Row],[Coluna1]])</f>
        <v>Terras Da Coroa</v>
      </c>
      <c r="K245" s="17" t="e">
        <f>_xlfn.TEXTBEFORE(TabelaClean[[#This Row],[CidadeCPF]]," | ")</f>
        <v>#N/A</v>
      </c>
      <c r="L245" s="24" t="e">
        <f>_xlfn.TEXTAFTER(TabelaClean[[#This Row],[CidadeCPF]]," | ")</f>
        <v>#N/A</v>
      </c>
      <c r="M245" s="26">
        <v>14600</v>
      </c>
      <c r="N245" s="78">
        <v>18500</v>
      </c>
      <c r="O245" s="1" t="s">
        <v>51</v>
      </c>
      <c r="P24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5" s="84">
        <v>22</v>
      </c>
      <c r="R245" s="1" t="str" cm="1">
        <f t="array" ref="R245">_xlfn.IFS(TabelaClean[[#This Row],[qtde_batalhas]]&lt;=10,"Baixo",TabelaClean[[#This Row],[qtde_batalhas]]&gt;=26,"Alto",TabelaClean[[#This Row],[qtde_batalhas]]&lt;26,"Médio")</f>
        <v>Médio</v>
      </c>
      <c r="S245" s="1" t="str">
        <f>IF(AND(TabelaClean[[#This Row],[nivel_risco]]="Alto",TabelaClean[[#This Row],[flag_inadimplente]]="Sim"),"Arriscado","Ok")</f>
        <v>Ok</v>
      </c>
      <c r="T245" s="26">
        <v>16500</v>
      </c>
      <c r="U245" s="81">
        <f>IF(AND(TabelaClean[[#This Row],[analise_risco]]="Arriscado",TabelaClean[[#This Row],[analise_credito]]="Reprovado"),0,IF(TabelaClean[[#This Row],[status]]="Ativo",TabelaClean[[#This Row],[valor_solicitado]]*1.08,0))</f>
        <v>17820</v>
      </c>
      <c r="W245" s="1"/>
      <c r="Y245" t="s">
        <v>809</v>
      </c>
      <c r="Z245" t="str">
        <f t="shared" si="3"/>
        <v>Null</v>
      </c>
      <c r="AE245" t="s">
        <v>259</v>
      </c>
      <c r="AF245" t="str">
        <f>TEXT(AE245,"000\.000\.000\-00")</f>
        <v>000.000.251-00</v>
      </c>
      <c r="AH245" s="15" t="s">
        <v>154</v>
      </c>
      <c r="AJ245" s="22">
        <v>14300</v>
      </c>
      <c r="AK245">
        <v>14300</v>
      </c>
      <c r="AM245" s="20">
        <v>32500</v>
      </c>
      <c r="AN245">
        <v>32500</v>
      </c>
      <c r="AO245">
        <v>32500</v>
      </c>
      <c r="BB245" s="26">
        <v>14600</v>
      </c>
      <c r="BC245" s="81">
        <f>IF(AND(TabelaClean[[#This Row],[analise_risco]]="Arriscado",TabelaClean[[#This Row],[analise_credito]]="Reprovado"),0,IF(TabelaClean[[#This Row],[status]]="Ativo",TabelaClean[[#This Row],[valor_solicitado]]*1.08,0))</f>
        <v>17820</v>
      </c>
    </row>
    <row r="246" spans="1:55">
      <c r="A246" s="24" t="s">
        <v>76</v>
      </c>
      <c r="B246" s="17" t="s">
        <v>609</v>
      </c>
      <c r="C246" s="25" t="s">
        <v>942</v>
      </c>
      <c r="D246" s="54">
        <v>74</v>
      </c>
      <c r="E246" s="30">
        <v>19131</v>
      </c>
      <c r="F246" s="24" t="str">
        <f>TabelaClean[[#This Row],[CidadeCPF]]</f>
        <v>Porto Real</v>
      </c>
      <c r="G246" s="17" t="str">
        <f>TabelaClean[[#This Row],[RegiaoCPF]]</f>
        <v>Terras Da Coroa</v>
      </c>
      <c r="H246" s="17" t="str">
        <f>_xlfn.XLOOKUP(TabelaClean[[#This Row],[cpf]],TabelaDirty[cpfclean],TabelaDirty[cidade])</f>
        <v>Porto Real</v>
      </c>
      <c r="I246" s="17" t="str">
        <f>_xlfn.XLOOKUP(TabelaClean[[#This Row],[cpf]],TabelaDirty[cpfclean],TabelaDirty[regiao])</f>
        <v>terras da coroa</v>
      </c>
      <c r="J246" s="17" t="str">
        <f>PROPER(TabelaClean[[#This Row],[Coluna1]])</f>
        <v>Terras Da Coroa</v>
      </c>
      <c r="K246" s="17" t="e">
        <f>_xlfn.TEXTBEFORE(TabelaClean[[#This Row],[CidadeCPF]]," | ")</f>
        <v>#N/A</v>
      </c>
      <c r="L246" s="24" t="e">
        <f>_xlfn.TEXTAFTER(TabelaClean[[#This Row],[CidadeCPF]]," | ")</f>
        <v>#N/A</v>
      </c>
      <c r="M246" s="26">
        <v>20700</v>
      </c>
      <c r="N246" s="78">
        <v>17500</v>
      </c>
      <c r="O246" s="1" t="s">
        <v>51</v>
      </c>
      <c r="P24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6" s="84">
        <v>35</v>
      </c>
      <c r="R246" s="1" t="str" cm="1">
        <f t="array" ref="R246">_xlfn.IFS(TabelaClean[[#This Row],[qtde_batalhas]]&lt;=10,"Baixo",TabelaClean[[#This Row],[qtde_batalhas]]&gt;=26,"Alto",TabelaClean[[#This Row],[qtde_batalhas]]&lt;26,"Médio")</f>
        <v>Alto</v>
      </c>
      <c r="S246" s="1" t="str">
        <f>IF(AND(TabelaClean[[#This Row],[nivel_risco]]="Alto",TabelaClean[[#This Row],[flag_inadimplente]]="Sim"),"Arriscado","Ok")</f>
        <v>Arriscado</v>
      </c>
      <c r="T246" s="26">
        <v>65000</v>
      </c>
      <c r="U246" s="81">
        <f>IF(AND(TabelaClean[[#This Row],[analise_risco]]="Arriscado",TabelaClean[[#This Row],[analise_credito]]="Reprovado"),0,IF(TabelaClean[[#This Row],[status]]="Ativo",TabelaClean[[#This Row],[valor_solicitado]]*1.08,0))</f>
        <v>70200</v>
      </c>
      <c r="W246" s="1"/>
      <c r="Y246" t="s">
        <v>809</v>
      </c>
      <c r="Z246" t="str">
        <f t="shared" si="3"/>
        <v>Null</v>
      </c>
      <c r="AE246" t="s">
        <v>798</v>
      </c>
      <c r="AF246" t="str">
        <f>TEXT(AE246,"000\.000\.000\-00")</f>
        <v>000.000.253-00</v>
      </c>
      <c r="AH246" s="15" t="s">
        <v>112</v>
      </c>
      <c r="AJ246" s="22">
        <v>18300</v>
      </c>
      <c r="AK246">
        <v>18300</v>
      </c>
      <c r="AM246" s="21">
        <v>41000</v>
      </c>
      <c r="AN246">
        <v>41000</v>
      </c>
      <c r="AO246">
        <v>41000</v>
      </c>
      <c r="BB246" s="26">
        <v>20700</v>
      </c>
      <c r="BC246" s="81">
        <f>IF(AND(TabelaClean[[#This Row],[analise_risco]]="Arriscado",TabelaClean[[#This Row],[analise_credito]]="Reprovado"),0,IF(TabelaClean[[#This Row],[status]]="Ativo",TabelaClean[[#This Row],[valor_solicitado]]*1.08,0))</f>
        <v>70200</v>
      </c>
    </row>
    <row r="247" spans="1:55">
      <c r="A247" s="24" t="s">
        <v>76</v>
      </c>
      <c r="B247" s="17" t="s">
        <v>310</v>
      </c>
      <c r="C247" s="25" t="s">
        <v>943</v>
      </c>
      <c r="D247" s="54">
        <v>68</v>
      </c>
      <c r="E247" s="30">
        <v>21162</v>
      </c>
      <c r="F247" s="24" t="str">
        <f>TabelaClean[[#This Row],[CidadeCPF]]</f>
        <v>Castelo Negro</v>
      </c>
      <c r="G247" s="17" t="str">
        <f>TabelaClean[[#This Row],[RegiaoCPF]]</f>
        <v>Norte</v>
      </c>
      <c r="H247" s="17" t="str">
        <f>_xlfn.XLOOKUP(TabelaClean[[#This Row],[cpf]],TabelaDirty[cpfclean],TabelaDirty[cidade])</f>
        <v>Castelo Negro</v>
      </c>
      <c r="I247" s="17" t="str">
        <f>_xlfn.XLOOKUP(TabelaClean[[#This Row],[cpf]],TabelaDirty[cpfclean],TabelaDirty[regiao])</f>
        <v>Norte</v>
      </c>
      <c r="J247" s="17" t="str">
        <f>PROPER(TabelaClean[[#This Row],[Coluna1]])</f>
        <v>Norte</v>
      </c>
      <c r="K247" s="17" t="e">
        <f>_xlfn.TEXTBEFORE(TabelaClean[[#This Row],[CidadeCPF]]," | ")</f>
        <v>#N/A</v>
      </c>
      <c r="L247" s="24" t="e">
        <f>_xlfn.TEXTAFTER(TabelaClean[[#This Row],[CidadeCPF]]," | ")</f>
        <v>#N/A</v>
      </c>
      <c r="M247" s="26">
        <v>11500</v>
      </c>
      <c r="N247" s="78">
        <v>17500</v>
      </c>
      <c r="O247" s="1" t="s">
        <v>50</v>
      </c>
      <c r="P24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7" s="84">
        <v>19</v>
      </c>
      <c r="R247" s="1" t="str" cm="1">
        <f t="array" ref="R247">_xlfn.IFS(TabelaClean[[#This Row],[qtde_batalhas]]&lt;=10,"Baixo",TabelaClean[[#This Row],[qtde_batalhas]]&gt;=26,"Alto",TabelaClean[[#This Row],[qtde_batalhas]]&lt;26,"Médio")</f>
        <v>Médio</v>
      </c>
      <c r="S247" s="1" t="str">
        <f>IF(AND(TabelaClean[[#This Row],[nivel_risco]]="Alto",TabelaClean[[#This Row],[flag_inadimplente]]="Sim"),"Arriscado","Ok")</f>
        <v>Ok</v>
      </c>
      <c r="T247" s="26">
        <v>26000</v>
      </c>
      <c r="U247" s="81">
        <f>IF(AND(TabelaClean[[#This Row],[analise_risco]]="Arriscado",TabelaClean[[#This Row],[analise_credito]]="Reprovado"),0,IF(TabelaClean[[#This Row],[status]]="Ativo",TabelaClean[[#This Row],[valor_solicitado]]*1.08,0))</f>
        <v>28080.000000000004</v>
      </c>
      <c r="W247" s="1"/>
      <c r="Y247" t="s">
        <v>809</v>
      </c>
      <c r="Z247" t="str">
        <f t="shared" si="3"/>
        <v>Null</v>
      </c>
      <c r="AE247" t="s">
        <v>470</v>
      </c>
      <c r="AF247" t="str">
        <f>TEXT(AE247,"000\.000\.000\-00")</f>
        <v>000.000.254-00</v>
      </c>
      <c r="AH247" s="15" t="s">
        <v>79</v>
      </c>
      <c r="AJ247" s="22">
        <v>26400</v>
      </c>
      <c r="AK247">
        <v>26400</v>
      </c>
      <c r="AM247" s="20">
        <v>9500</v>
      </c>
      <c r="AN247">
        <v>9500</v>
      </c>
      <c r="AO247">
        <v>9500</v>
      </c>
      <c r="BB247" s="26">
        <v>11500</v>
      </c>
      <c r="BC247" s="81">
        <f>IF(AND(TabelaClean[[#This Row],[analise_risco]]="Arriscado",TabelaClean[[#This Row],[analise_credito]]="Reprovado"),0,IF(TabelaClean[[#This Row],[status]]="Ativo",TabelaClean[[#This Row],[valor_solicitado]]*1.08,0))</f>
        <v>28080.000000000004</v>
      </c>
    </row>
    <row r="248" spans="1:55">
      <c r="A248" s="24" t="s">
        <v>76</v>
      </c>
      <c r="B248" s="17" t="s">
        <v>944</v>
      </c>
      <c r="C248" s="25" t="s">
        <v>945</v>
      </c>
      <c r="D248" s="54">
        <v>31</v>
      </c>
      <c r="E248" s="30">
        <v>34914</v>
      </c>
      <c r="F248" s="17" t="s">
        <v>112</v>
      </c>
      <c r="G248" s="17" t="s">
        <v>113</v>
      </c>
      <c r="H248" s="24">
        <v>20800</v>
      </c>
      <c r="I248" s="24">
        <v>17500</v>
      </c>
      <c r="J248" s="24" t="s">
        <v>50</v>
      </c>
      <c r="K248" s="24"/>
      <c r="L248" s="24"/>
      <c r="M248" s="26">
        <v>58000</v>
      </c>
      <c r="N248" s="78">
        <v>17500</v>
      </c>
      <c r="O248" s="1" t="s">
        <v>50</v>
      </c>
      <c r="P248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248" s="76" t="str" cm="1">
        <f t="array" ref="R248">_xlfn.IFS(TabelaClean[[#This Row],[qtde_batalhas]]&lt;=10,"Baixo",TabelaClean[[#This Row],[qtde_batalhas]]&gt;=26,"Alto",TabelaClean[[#This Row],[qtde_batalhas]]&lt;26,"Médio")</f>
        <v>Baixo</v>
      </c>
      <c r="S248" s="76" t="str">
        <f>IF(AND(TabelaClean[[#This Row],[nivel_risco]]="Alto",TabelaClean[[#This Row],[flag_inadimplente]]="Sim"),"Arriscado","Ok")</f>
        <v>Ok</v>
      </c>
      <c r="T248" s="26">
        <v>58000</v>
      </c>
      <c r="U248" s="81">
        <f>IF(AND(TabelaClean[[#This Row],[analise_risco]]="Arriscado",TabelaClean[[#This Row],[analise_credito]]="Reprovado"),0,IF(TabelaClean[[#This Row],[status]]="Ativo",TabelaClean[[#This Row],[valor_solicitado]]*1.08,0))</f>
        <v>62640.000000000007</v>
      </c>
      <c r="W248" s="1"/>
      <c r="Y248" t="s">
        <v>809</v>
      </c>
      <c r="Z248" t="str">
        <f t="shared" si="3"/>
        <v>Null</v>
      </c>
      <c r="AE248" t="s">
        <v>595</v>
      </c>
      <c r="AF248" t="str">
        <f>TEXT(AE248,"000\.000\.000\-00")</f>
        <v>000.000.256-00</v>
      </c>
      <c r="AH248" s="15" t="s">
        <v>242</v>
      </c>
      <c r="AJ248" s="22">
        <v>20600</v>
      </c>
      <c r="AK248">
        <v>20600</v>
      </c>
      <c r="AM248" s="21">
        <v>52500</v>
      </c>
      <c r="AN248">
        <v>52500</v>
      </c>
      <c r="AO248">
        <v>52500</v>
      </c>
      <c r="BB248" s="26">
        <v>58000</v>
      </c>
      <c r="BC248" s="81">
        <f>IF(AND(TabelaClean[[#This Row],[analise_risco]]="Arriscado",TabelaClean[[#This Row],[analise_credito]]="Reprovado"),0,IF(TabelaClean[[#This Row],[status]]="Ativo",TabelaClean[[#This Row],[valor_solicitado]]*1.08,0))</f>
        <v>62640.000000000007</v>
      </c>
    </row>
    <row r="249" spans="1:55">
      <c r="A249" s="24" t="s">
        <v>76</v>
      </c>
      <c r="B249" s="17" t="s">
        <v>944</v>
      </c>
      <c r="C249" s="25" t="s">
        <v>945</v>
      </c>
      <c r="D249" s="54">
        <v>31</v>
      </c>
      <c r="E249" s="30">
        <v>34914</v>
      </c>
      <c r="F249" s="25" t="s">
        <v>112</v>
      </c>
      <c r="G249" s="25" t="s">
        <v>113</v>
      </c>
      <c r="H249" s="24">
        <v>20800</v>
      </c>
      <c r="I249" s="24">
        <v>17500</v>
      </c>
      <c r="J249" s="24" t="s">
        <v>50</v>
      </c>
      <c r="K249" s="24">
        <v>35</v>
      </c>
      <c r="L249" s="24"/>
      <c r="M249" s="26">
        <v>58000</v>
      </c>
      <c r="N249" s="78">
        <v>17500</v>
      </c>
      <c r="O249" s="1" t="s">
        <v>50</v>
      </c>
      <c r="P249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49" s="84">
        <v>35</v>
      </c>
      <c r="R249" s="76" t="str" cm="1">
        <f t="array" ref="R249">_xlfn.IFS(TabelaClean[[#This Row],[qtde_batalhas]]&lt;=10,"Baixo",TabelaClean[[#This Row],[qtde_batalhas]]&gt;=26,"Alto",TabelaClean[[#This Row],[qtde_batalhas]]&lt;26,"Médio")</f>
        <v>Alto</v>
      </c>
      <c r="S249" s="76" t="str">
        <f>IF(AND(TabelaClean[[#This Row],[nivel_risco]]="Alto",TabelaClean[[#This Row],[flag_inadimplente]]="Sim"),"Arriscado","Ok")</f>
        <v>Ok</v>
      </c>
      <c r="T249" s="26">
        <v>58000</v>
      </c>
      <c r="U249" s="81">
        <f>IF(AND(TabelaClean[[#This Row],[analise_risco]]="Arriscado",TabelaClean[[#This Row],[analise_credito]]="Reprovado"),0,IF(TabelaClean[[#This Row],[status]]="Ativo",TabelaClean[[#This Row],[valor_solicitado]]*1.08,0))</f>
        <v>62640.000000000007</v>
      </c>
      <c r="W249" s="1"/>
      <c r="Y249" t="s">
        <v>809</v>
      </c>
      <c r="Z249" t="str">
        <f t="shared" si="3"/>
        <v>Null</v>
      </c>
      <c r="AE249" t="s">
        <v>468</v>
      </c>
      <c r="AF249" t="str">
        <f>TEXT(AE249,"000\.000\.000\-00")</f>
        <v>000.000.258-00</v>
      </c>
      <c r="AH249" s="15" t="s">
        <v>172</v>
      </c>
      <c r="AJ249" s="22">
        <v>29700</v>
      </c>
      <c r="AK249">
        <v>29700</v>
      </c>
      <c r="AM249" s="20">
        <v>12000</v>
      </c>
      <c r="AN249">
        <v>12000</v>
      </c>
      <c r="AO249">
        <v>12000</v>
      </c>
      <c r="BB249" s="26">
        <v>58000</v>
      </c>
      <c r="BC249" s="81">
        <f>IF(AND(TabelaClean[[#This Row],[analise_risco]]="Arriscado",TabelaClean[[#This Row],[analise_credito]]="Reprovado"),0,IF(TabelaClean[[#This Row],[status]]="Ativo",TabelaClean[[#This Row],[valor_solicitado]]*1.08,0))</f>
        <v>62640.000000000007</v>
      </c>
    </row>
    <row r="250" spans="1:55">
      <c r="A250" s="24" t="s">
        <v>76</v>
      </c>
      <c r="B250" s="17" t="s">
        <v>609</v>
      </c>
      <c r="C250" t="str">
        <f>_xlfn.XLOOKUP(TabelaClean[[#This Row],[nome]],Base_Dirty!$B:$B,Base_Dirty!D:D)</f>
        <v>000.000.193-00</v>
      </c>
      <c r="D250" s="54">
        <f>_xlfn.XLOOKUP(TabelaClean[[#This Row],[nome]],Base_Dirty!B:B,Base_Dirty!E:E)</f>
        <v>74</v>
      </c>
      <c r="E250" s="30">
        <v>74</v>
      </c>
      <c r="F250" s="50" t="s">
        <v>223</v>
      </c>
      <c r="G250" s="25" t="s">
        <v>413</v>
      </c>
      <c r="H250" s="24" t="s">
        <v>331</v>
      </c>
      <c r="I250" s="24">
        <v>20700</v>
      </c>
      <c r="J250" s="24">
        <v>17500</v>
      </c>
      <c r="K250" s="24" t="s">
        <v>50</v>
      </c>
      <c r="L250" s="24">
        <v>35</v>
      </c>
      <c r="M250" s="23">
        <f>_xlfn.XLOOKUP(TabelaClean[[#This Row],[nome]],Base_Dirty!$B:$B,Base_Dirty!I:I)</f>
        <v>20700</v>
      </c>
      <c r="N250" s="78">
        <f>_xlfn.XLOOKUP(TabelaClean[[#This Row],[nome]],Base_Dirty!$B:$B,Base_Dirty!J:J)</f>
        <v>17500</v>
      </c>
      <c r="O250" s="79" t="s">
        <v>50</v>
      </c>
      <c r="P25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0" s="84">
        <f>_xlfn.XLOOKUP(TabelaClean[[#This Row],[nome]],Base_Dirty!$B:$B,Base_Dirty!L:L)</f>
        <v>35</v>
      </c>
      <c r="R250" s="76" t="str" cm="1">
        <f t="array" ref="R250">_xlfn.IFS(TabelaClean[[#This Row],[qtde_batalhas]]&lt;=10,"Baixo",TabelaClean[[#This Row],[qtde_batalhas]]&gt;=26,"Alto",TabelaClean[[#This Row],[qtde_batalhas]]&lt;26,"Médio")</f>
        <v>Alto</v>
      </c>
      <c r="S250" s="76" t="str">
        <f>IF(AND(TabelaClean[[#This Row],[nivel_risco]]="Alto",TabelaClean[[#This Row],[flag_inadimplente]]="Sim"),"Arriscado","Ok")</f>
        <v>Ok</v>
      </c>
      <c r="T250" s="26">
        <f>_xlfn.XLOOKUP(TabelaClean[[#This Row],[nome]],Base_Dirty!$B:$B,Base_Dirty!O:O)</f>
        <v>65000</v>
      </c>
      <c r="U250" s="81">
        <f>IF(AND(TabelaClean[[#This Row],[analise_risco]]="Arriscado",TabelaClean[[#This Row],[analise_credito]]="Reprovado"),0,IF(TabelaClean[[#This Row],[status]]="Ativo",TabelaClean[[#This Row],[valor_solicitado]]*1.08,0))</f>
        <v>70200</v>
      </c>
      <c r="W250" s="1"/>
      <c r="Y250" t="s">
        <v>809</v>
      </c>
      <c r="Z250" t="str">
        <f t="shared" si="3"/>
        <v>Null</v>
      </c>
      <c r="AE250" t="s">
        <v>442</v>
      </c>
      <c r="AF250" t="str">
        <f>TEXT(AE250,"000\.000\.000\-00")</f>
        <v>000.000.259-00</v>
      </c>
      <c r="AH250" s="15" t="s">
        <v>183</v>
      </c>
      <c r="AJ250" s="22" t="s">
        <v>671</v>
      </c>
      <c r="AK250">
        <v>27300</v>
      </c>
      <c r="AM250" s="21">
        <v>1500</v>
      </c>
      <c r="AN250">
        <v>1500</v>
      </c>
      <c r="AO250">
        <v>1500</v>
      </c>
      <c r="BB250" s="23">
        <f>_xlfn.XLOOKUP(TabelaClean[[#This Row],[nome]],Base_Dirty!$B:$B,Base_Dirty!AX:AX)</f>
        <v>0</v>
      </c>
      <c r="BC250" s="81">
        <f>IF(AND(TabelaClean[[#This Row],[analise_risco]]="Arriscado",TabelaClean[[#This Row],[analise_credito]]="Reprovado"),0,IF(TabelaClean[[#This Row],[status]]="Ativo",TabelaClean[[#This Row],[valor_solicitado]]*1.08,0))</f>
        <v>70200</v>
      </c>
    </row>
    <row r="251" spans="1:55">
      <c r="A251" s="24" t="s">
        <v>76</v>
      </c>
      <c r="B251" s="17" t="s">
        <v>609</v>
      </c>
      <c r="C251" t="str">
        <f>_xlfn.XLOOKUP(TabelaClean[[#This Row],[nome]],Base_Dirty!$B:$B,Base_Dirty!D:D)</f>
        <v>000.000.193-00</v>
      </c>
      <c r="D251" s="54">
        <f>_xlfn.XLOOKUP(TabelaClean[[#This Row],[nome]],Base_Dirty!B:B,Base_Dirty!E:E)</f>
        <v>74</v>
      </c>
      <c r="E251" s="30">
        <v>74</v>
      </c>
      <c r="F251" s="50" t="s">
        <v>223</v>
      </c>
      <c r="G251" s="25" t="s">
        <v>413</v>
      </c>
      <c r="H251" s="24" t="s">
        <v>331</v>
      </c>
      <c r="I251" s="24">
        <v>20700</v>
      </c>
      <c r="J251" s="24">
        <v>17500</v>
      </c>
      <c r="K251" s="24" t="s">
        <v>50</v>
      </c>
      <c r="L251" s="24">
        <v>35</v>
      </c>
      <c r="M251" s="23">
        <f>_xlfn.XLOOKUP(TabelaClean[[#This Row],[nome]],Base_Dirty!$B:$B,Base_Dirty!I:I)</f>
        <v>20700</v>
      </c>
      <c r="N251" s="78">
        <f>_xlfn.XLOOKUP(TabelaClean[[#This Row],[nome]],Base_Dirty!$B:$B,Base_Dirty!J:J)</f>
        <v>17500</v>
      </c>
      <c r="O251" s="79" t="s">
        <v>50</v>
      </c>
      <c r="P25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1" s="84">
        <f>_xlfn.XLOOKUP(TabelaClean[[#This Row],[nome]],Base_Dirty!$B:$B,Base_Dirty!L:L)</f>
        <v>35</v>
      </c>
      <c r="R251" s="76" t="str" cm="1">
        <f t="array" ref="R251">_xlfn.IFS(TabelaClean[[#This Row],[qtde_batalhas]]&lt;=10,"Baixo",TabelaClean[[#This Row],[qtde_batalhas]]&gt;=26,"Alto",TabelaClean[[#This Row],[qtde_batalhas]]&lt;26,"Médio")</f>
        <v>Alto</v>
      </c>
      <c r="S251" s="76" t="str">
        <f>IF(AND(TabelaClean[[#This Row],[nivel_risco]]="Alto",TabelaClean[[#This Row],[flag_inadimplente]]="Sim"),"Arriscado","Ok")</f>
        <v>Ok</v>
      </c>
      <c r="T251" s="26">
        <f>_xlfn.XLOOKUP(TabelaClean[[#This Row],[nome]],Base_Dirty!$B:$B,Base_Dirty!O:O)</f>
        <v>65000</v>
      </c>
      <c r="U251" s="81">
        <f>IF(AND(TabelaClean[[#This Row],[analise_risco]]="Arriscado",TabelaClean[[#This Row],[analise_credito]]="Reprovado"),0,IF(TabelaClean[[#This Row],[status]]="Ativo",TabelaClean[[#This Row],[valor_solicitado]]*1.08,0))</f>
        <v>70200</v>
      </c>
      <c r="W251" s="1"/>
      <c r="Y251" t="s">
        <v>155</v>
      </c>
      <c r="Z251" t="str">
        <f t="shared" si="3"/>
        <v>Norte</v>
      </c>
      <c r="AE251" t="s">
        <v>580</v>
      </c>
      <c r="AF251" t="str">
        <f>TEXT(AE251,"000\.000\.000\-00")</f>
        <v>000.000.260-00</v>
      </c>
      <c r="AH251" s="15" t="s">
        <v>154</v>
      </c>
      <c r="AJ251" s="22">
        <v>8500</v>
      </c>
      <c r="AK251">
        <v>8500</v>
      </c>
      <c r="AM251" s="20">
        <v>39500</v>
      </c>
      <c r="AN251">
        <v>39500</v>
      </c>
      <c r="AO251">
        <v>39500</v>
      </c>
      <c r="BB251" s="23">
        <f>_xlfn.XLOOKUP(TabelaClean[[#This Row],[nome]],Base_Dirty!$B:$B,Base_Dirty!AX:AX)</f>
        <v>0</v>
      </c>
      <c r="BC251" s="81">
        <f>IF(AND(TabelaClean[[#This Row],[analise_risco]]="Arriscado",TabelaClean[[#This Row],[analise_credito]]="Reprovado"),0,IF(TabelaClean[[#This Row],[status]]="Ativo",TabelaClean[[#This Row],[valor_solicitado]]*1.08,0))</f>
        <v>70200</v>
      </c>
    </row>
    <row r="252" spans="1:55">
      <c r="A252" s="24" t="s">
        <v>76</v>
      </c>
      <c r="B252" s="17" t="s">
        <v>469</v>
      </c>
      <c r="C252" s="25" t="s">
        <v>470</v>
      </c>
      <c r="D252" s="54">
        <v>51</v>
      </c>
      <c r="E252" s="30">
        <v>27505</v>
      </c>
      <c r="F252" s="17" t="str">
        <f>TabelaClean[[#This Row],[CidadeClean]]</f>
        <v>Atalaia da Água Cinzenta</v>
      </c>
      <c r="G252" s="17" t="str">
        <f>TabelaClean[[#This Row],[RegiaoClean]]</f>
        <v>Gargalo</v>
      </c>
      <c r="H252" s="17" t="str">
        <f>_xlfn.XLOOKUP(TabelaClean[[#This Row],[cpf]],TabelaDirty[cpfclean],TabelaDirty[cidade])</f>
        <v>Atalaia da Água Cinzenta | Gargalo</v>
      </c>
      <c r="I252" s="17">
        <f>_xlfn.XLOOKUP(TabelaClean[[#This Row],[cpf]],TabelaDirty[cpfclean],TabelaDirty[regiao])</f>
        <v>0</v>
      </c>
      <c r="J252" s="17" t="s">
        <v>456</v>
      </c>
      <c r="K252" s="17" t="str">
        <f>_xlfn.TEXTBEFORE(TabelaClean[[#This Row],[CidadeCPF]]," | ")</f>
        <v>Atalaia da Água Cinzenta</v>
      </c>
      <c r="L252" s="24" t="str">
        <f>_xlfn.TEXTAFTER(TabelaClean[[#This Row],[CidadeCPF]]," | ")</f>
        <v>Gargalo</v>
      </c>
      <c r="M252" s="26">
        <v>7200</v>
      </c>
      <c r="N252" s="78">
        <v>17500</v>
      </c>
      <c r="O252" s="1" t="s">
        <v>51</v>
      </c>
      <c r="P25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2" s="84">
        <v>40</v>
      </c>
      <c r="R252" s="1" t="str" cm="1">
        <f t="array" ref="R252">_xlfn.IFS(TabelaClean[[#This Row],[qtde_batalhas]]&lt;=10,"Baixo",TabelaClean[[#This Row],[qtde_batalhas]]&gt;=26,"Alto",TabelaClean[[#This Row],[qtde_batalhas]]&lt;26,"Médio")</f>
        <v>Alto</v>
      </c>
      <c r="S252" s="1" t="str">
        <f>IF(AND(TabelaClean[[#This Row],[nivel_risco]]="Alto",TabelaClean[[#This Row],[flag_inadimplente]]="Sim"),"Arriscado","Ok")</f>
        <v>Arriscado</v>
      </c>
      <c r="T252" s="26">
        <v>5500</v>
      </c>
      <c r="U252" s="81">
        <f>IF(AND(TabelaClean[[#This Row],[analise_risco]]="Arriscado",TabelaClean[[#This Row],[analise_credito]]="Reprovado"),0,IF(TabelaClean[[#This Row],[status]]="Ativo",TabelaClean[[#This Row],[valor_solicitado]]*1.08,0))</f>
        <v>5940</v>
      </c>
      <c r="W252" s="1"/>
      <c r="Y252" t="s">
        <v>456</v>
      </c>
      <c r="Z252" t="str">
        <f t="shared" si="3"/>
        <v>Gargalo</v>
      </c>
      <c r="AE252" t="s">
        <v>720</v>
      </c>
      <c r="AF252" t="str">
        <f>TEXT(AE252,"000\.000\.000\-00")</f>
        <v>000.000.261-00</v>
      </c>
      <c r="AH252" s="15" t="s">
        <v>223</v>
      </c>
      <c r="AJ252" s="22">
        <v>18100</v>
      </c>
      <c r="AK252">
        <v>18100</v>
      </c>
      <c r="AM252" s="21">
        <v>0</v>
      </c>
      <c r="AN252">
        <v>0</v>
      </c>
      <c r="AO252">
        <v>0</v>
      </c>
      <c r="BB252" s="26">
        <v>7200</v>
      </c>
      <c r="BC252" s="81">
        <f>IF(AND(TabelaClean[[#This Row],[analise_risco]]="Arriscado",TabelaClean[[#This Row],[analise_credito]]="Reprovado"),0,IF(TabelaClean[[#This Row],[status]]="Ativo",TabelaClean[[#This Row],[valor_solicitado]]*1.08,0))</f>
        <v>5940</v>
      </c>
    </row>
    <row r="253" spans="1:55">
      <c r="A253" s="24" t="s">
        <v>76</v>
      </c>
      <c r="B253" s="17" t="s">
        <v>341</v>
      </c>
      <c r="C253" s="25" t="s">
        <v>342</v>
      </c>
      <c r="D253" s="54">
        <v>34</v>
      </c>
      <c r="E253" s="30">
        <v>33835</v>
      </c>
      <c r="F253" s="17" t="str">
        <f>TabelaClean[[#This Row],[CidadeClean]]</f>
        <v>Jardim de Cima</v>
      </c>
      <c r="G253" s="17" t="str">
        <f>TabelaClean[[#This Row],[RegiaoClean]]</f>
        <v>Campina</v>
      </c>
      <c r="H253" s="17" t="str">
        <f>_xlfn.XLOOKUP(TabelaClean[[#This Row],[cpf]],TabelaDirty[cpfclean],TabelaDirty[cidade])</f>
        <v>Jardim de Cima | Campina</v>
      </c>
      <c r="I253" s="17">
        <f>_xlfn.XLOOKUP(TabelaClean[[#This Row],[cpf]],TabelaDirty[cpfclean],TabelaDirty[regiao])</f>
        <v>0</v>
      </c>
      <c r="J253" s="17" t="s">
        <v>149</v>
      </c>
      <c r="K253" s="17" t="str">
        <f>_xlfn.TEXTBEFORE(TabelaClean[[#This Row],[CidadeCPF]]," | ")</f>
        <v>Jardim de Cima</v>
      </c>
      <c r="L253" s="24" t="str">
        <f>_xlfn.TEXTAFTER(TabelaClean[[#This Row],[CidadeCPF]]," | ")</f>
        <v>Campina</v>
      </c>
      <c r="M253" s="26">
        <v>5100</v>
      </c>
      <c r="N253" s="78">
        <v>17000</v>
      </c>
      <c r="O253" s="1" t="s">
        <v>50</v>
      </c>
      <c r="P25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3" s="84">
        <v>3</v>
      </c>
      <c r="R253" s="1" t="str" cm="1">
        <f t="array" ref="R253">_xlfn.IFS(TabelaClean[[#This Row],[qtde_batalhas]]&lt;=10,"Baixo",TabelaClean[[#This Row],[qtde_batalhas]]&gt;=26,"Alto",TabelaClean[[#This Row],[qtde_batalhas]]&lt;26,"Médio")</f>
        <v>Baixo</v>
      </c>
      <c r="S253" s="1" t="str">
        <f>IF(AND(TabelaClean[[#This Row],[nivel_risco]]="Alto",TabelaClean[[#This Row],[flag_inadimplente]]="Sim"),"Arriscado","Ok")</f>
        <v>Ok</v>
      </c>
      <c r="T253" s="26">
        <v>4500</v>
      </c>
      <c r="U253" s="81">
        <f>IF(AND(TabelaClean[[#This Row],[analise_risco]]="Arriscado",TabelaClean[[#This Row],[analise_credito]]="Reprovado"),0,IF(TabelaClean[[#This Row],[status]]="Ativo",TabelaClean[[#This Row],[valor_solicitado]]*1.08,0))</f>
        <v>4860</v>
      </c>
      <c r="W253" s="1"/>
      <c r="Y253" t="s">
        <v>809</v>
      </c>
      <c r="Z253" t="str">
        <f t="shared" si="3"/>
        <v>Null</v>
      </c>
      <c r="AE253" t="s">
        <v>675</v>
      </c>
      <c r="AF253" t="str">
        <f>TEXT(AE253,"000\.000\.000\-00")</f>
        <v>000.000.263-00</v>
      </c>
      <c r="AH253" s="15" t="s">
        <v>103</v>
      </c>
      <c r="AJ253" s="22">
        <v>21700</v>
      </c>
      <c r="AK253">
        <v>21700</v>
      </c>
      <c r="AM253" s="20">
        <v>31000</v>
      </c>
      <c r="AN253">
        <v>31000</v>
      </c>
      <c r="AO253">
        <v>31000</v>
      </c>
      <c r="BB253" s="26">
        <v>5100</v>
      </c>
      <c r="BC253" s="81">
        <f>IF(AND(TabelaClean[[#This Row],[analise_risco]]="Arriscado",TabelaClean[[#This Row],[analise_credito]]="Reprovado"),0,IF(TabelaClean[[#This Row],[status]]="Ativo",TabelaClean[[#This Row],[valor_solicitado]]*1.08,0))</f>
        <v>4860</v>
      </c>
    </row>
    <row r="254" spans="1:55">
      <c r="A254" s="24" t="s">
        <v>76</v>
      </c>
      <c r="B254" s="17" t="s">
        <v>702</v>
      </c>
      <c r="C254" s="25" t="s">
        <v>703</v>
      </c>
      <c r="D254" s="54">
        <v>19</v>
      </c>
      <c r="E254" s="30">
        <v>39016</v>
      </c>
      <c r="F254" s="24" t="str">
        <f>TabelaClean[[#This Row],[CidadeCPF]]</f>
        <v>Pyke</v>
      </c>
      <c r="G254" s="17" t="str">
        <f>TabelaClean[[#This Row],[RegiaoCPF]]</f>
        <v>Ilhas De Ferro</v>
      </c>
      <c r="H254" s="17" t="str">
        <f>_xlfn.XLOOKUP(TabelaClean[[#This Row],[cpf]],TabelaDirty[cpfclean],TabelaDirty[cidade])</f>
        <v>Pyke</v>
      </c>
      <c r="I254" s="17" t="str">
        <f>_xlfn.XLOOKUP(TabelaClean[[#This Row],[cpf]],TabelaDirty[cpfclean],TabelaDirty[regiao])</f>
        <v>ILHAS DE FERRO</v>
      </c>
      <c r="J254" s="17" t="str">
        <f>PROPER(TabelaClean[[#This Row],[Coluna1]])</f>
        <v>Ilhas De Ferro</v>
      </c>
      <c r="K254" s="17" t="e">
        <f>_xlfn.TEXTBEFORE(TabelaClean[[#This Row],[CidadeCPF]]," | ")</f>
        <v>#N/A</v>
      </c>
      <c r="L254" s="24" t="e">
        <f>_xlfn.TEXTAFTER(TabelaClean[[#This Row],[CidadeCPF]]," | ")</f>
        <v>#N/A</v>
      </c>
      <c r="M254" s="26">
        <v>14900</v>
      </c>
      <c r="N254" s="78">
        <v>17000</v>
      </c>
      <c r="O254" s="1" t="s">
        <v>50</v>
      </c>
      <c r="P25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4" s="84">
        <v>20</v>
      </c>
      <c r="R254" s="1" t="str" cm="1">
        <f t="array" ref="R254">_xlfn.IFS(TabelaClean[[#This Row],[qtde_batalhas]]&lt;=10,"Baixo",TabelaClean[[#This Row],[qtde_batalhas]]&gt;=26,"Alto",TabelaClean[[#This Row],[qtde_batalhas]]&lt;26,"Médio")</f>
        <v>Médio</v>
      </c>
      <c r="S254" s="1" t="str">
        <f>IF(AND(TabelaClean[[#This Row],[nivel_risco]]="Alto",TabelaClean[[#This Row],[flag_inadimplente]]="Sim"),"Arriscado","Ok")</f>
        <v>Ok</v>
      </c>
      <c r="T254" s="26">
        <v>29500</v>
      </c>
      <c r="U254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  <c r="W254" s="1"/>
      <c r="Y254" t="s">
        <v>142</v>
      </c>
      <c r="Z254" t="str">
        <f t="shared" si="3"/>
        <v>Norte</v>
      </c>
      <c r="AE254" t="s">
        <v>614</v>
      </c>
      <c r="AF254" t="str">
        <f>TEXT(AE254,"000\.000\.000\-00")</f>
        <v>000.000.265-00</v>
      </c>
      <c r="AH254" s="15" t="s">
        <v>103</v>
      </c>
      <c r="AJ254" s="22">
        <v>20500</v>
      </c>
      <c r="AK254">
        <v>20500</v>
      </c>
      <c r="AM254" s="21">
        <v>0</v>
      </c>
      <c r="AN254">
        <v>0</v>
      </c>
      <c r="AO254">
        <v>0</v>
      </c>
      <c r="BB254" s="26">
        <v>14900</v>
      </c>
      <c r="BC254" s="81">
        <f>IF(AND(TabelaClean[[#This Row],[analise_risco]]="Arriscado",TabelaClean[[#This Row],[analise_credito]]="Reprovado"),0,IF(TabelaClean[[#This Row],[status]]="Ativo",TabelaClean[[#This Row],[valor_solicitado]]*1.08,0))</f>
        <v>31860.000000000004</v>
      </c>
    </row>
    <row r="255" spans="1:55">
      <c r="A255" s="24" t="s">
        <v>76</v>
      </c>
      <c r="B255" s="17" t="s">
        <v>739</v>
      </c>
      <c r="C255" s="25" t="s">
        <v>740</v>
      </c>
      <c r="D255" s="54">
        <v>68</v>
      </c>
      <c r="E255" s="30">
        <v>21145</v>
      </c>
      <c r="F255" s="24" t="str">
        <f>TabelaClean[[#This Row],[CidadeCPF]]</f>
        <v>Ponta Tempestade</v>
      </c>
      <c r="G255" s="17" t="str">
        <f>TabelaClean[[#This Row],[RegiaoCPF]]</f>
        <v>Terras Da Tempestade</v>
      </c>
      <c r="H255" s="17" t="str">
        <f>_xlfn.XLOOKUP(TabelaClean[[#This Row],[cpf]],TabelaDirty[cpfclean],TabelaDirty[cidade])</f>
        <v>Ponta Tempestade</v>
      </c>
      <c r="I255" s="17" t="str">
        <f>_xlfn.XLOOKUP(TabelaClean[[#This Row],[cpf]],TabelaDirty[cpfclean],TabelaDirty[regiao])</f>
        <v>Terras da Tempestade</v>
      </c>
      <c r="J255" s="17" t="str">
        <f>PROPER(TabelaClean[[#This Row],[Coluna1]])</f>
        <v>Terras Da Tempestade</v>
      </c>
      <c r="K255" s="17" t="e">
        <f>_xlfn.TEXTBEFORE(TabelaClean[[#This Row],[CidadeCPF]]," | ")</f>
        <v>#N/A</v>
      </c>
      <c r="L255" s="24" t="e">
        <f>_xlfn.TEXTAFTER(TabelaClean[[#This Row],[CidadeCPF]]," | ")</f>
        <v>#N/A</v>
      </c>
      <c r="M255" s="26">
        <v>24500</v>
      </c>
      <c r="N255" s="78">
        <v>16500</v>
      </c>
      <c r="O255" s="1" t="s">
        <v>51</v>
      </c>
      <c r="P25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5" s="84">
        <v>22</v>
      </c>
      <c r="R255" s="1" t="str" cm="1">
        <f t="array" ref="R255">_xlfn.IFS(TabelaClean[[#This Row],[qtde_batalhas]]&lt;=10,"Baixo",TabelaClean[[#This Row],[qtde_batalhas]]&gt;=26,"Alto",TabelaClean[[#This Row],[qtde_batalhas]]&lt;26,"Médio")</f>
        <v>Médio</v>
      </c>
      <c r="S255" s="1" t="str">
        <f>IF(AND(TabelaClean[[#This Row],[nivel_risco]]="Alto",TabelaClean[[#This Row],[flag_inadimplente]]="Sim"),"Arriscado","Ok")</f>
        <v>Ok</v>
      </c>
      <c r="T255" s="26">
        <v>34500</v>
      </c>
      <c r="U255" s="81">
        <f>IF(AND(TabelaClean[[#This Row],[analise_risco]]="Arriscado",TabelaClean[[#This Row],[analise_credito]]="Reprovado"),0,IF(TabelaClean[[#This Row],[status]]="Ativo",TabelaClean[[#This Row],[valor_solicitado]]*1.08,0))</f>
        <v>37260</v>
      </c>
      <c r="W255" s="1"/>
      <c r="Y255" t="s">
        <v>809</v>
      </c>
      <c r="Z255" t="str">
        <f t="shared" si="3"/>
        <v>Null</v>
      </c>
      <c r="AE255" t="s">
        <v>588</v>
      </c>
      <c r="AF255" t="str">
        <f>TEXT(AE255,"000\.000\.000\-00")</f>
        <v>000.000.266-00</v>
      </c>
      <c r="AH255" s="15" t="s">
        <v>223</v>
      </c>
      <c r="AJ255" s="22">
        <v>21300</v>
      </c>
      <c r="AK255">
        <v>21300</v>
      </c>
      <c r="AM255" s="20">
        <v>79500</v>
      </c>
      <c r="AN255">
        <v>79500</v>
      </c>
      <c r="AO255">
        <v>79500</v>
      </c>
      <c r="BB255" s="26">
        <v>24500</v>
      </c>
      <c r="BC255" s="81">
        <f>IF(AND(TabelaClean[[#This Row],[analise_risco]]="Arriscado",TabelaClean[[#This Row],[analise_credito]]="Reprovado"),0,IF(TabelaClean[[#This Row],[status]]="Ativo",TabelaClean[[#This Row],[valor_solicitado]]*1.08,0))</f>
        <v>37260</v>
      </c>
    </row>
    <row r="256" spans="1:55">
      <c r="A256" s="24" t="s">
        <v>76</v>
      </c>
      <c r="B256" s="17" t="s">
        <v>301</v>
      </c>
      <c r="C256" s="25" t="s">
        <v>821</v>
      </c>
      <c r="D256" s="54">
        <v>64</v>
      </c>
      <c r="E256" s="30">
        <v>22836</v>
      </c>
      <c r="F256" s="24" t="str">
        <f>TabelaClean[[#This Row],[CidadeCPF]]</f>
        <v>Solar do Entardecer</v>
      </c>
      <c r="G256" s="17" t="str">
        <f>TabelaClean[[#This Row],[RegiaoCPF]]</f>
        <v>Terras Da Tempestade</v>
      </c>
      <c r="H256" s="17" t="str">
        <f>_xlfn.XLOOKUP(TabelaClean[[#This Row],[cpf]],TabelaDirty[cpfclean],TabelaDirty[cidade])</f>
        <v>Solar do Entardecer</v>
      </c>
      <c r="I256" s="17" t="str">
        <f>_xlfn.XLOOKUP(TabelaClean[[#This Row],[cpf]],TabelaDirty[cpfclean],TabelaDirty[regiao])</f>
        <v>Terras Da Tempestade</v>
      </c>
      <c r="J256" s="17" t="str">
        <f>PROPER(TabelaClean[[#This Row],[Coluna1]])</f>
        <v>Terras Da Tempestade</v>
      </c>
      <c r="K256" s="17" t="e">
        <f>_xlfn.TEXTBEFORE(TabelaClean[[#This Row],[CidadeCPF]]," | ")</f>
        <v>#N/A</v>
      </c>
      <c r="L256" s="24" t="e">
        <f>_xlfn.TEXTAFTER(TabelaClean[[#This Row],[CidadeCPF]]," | ")</f>
        <v>#N/A</v>
      </c>
      <c r="M256" s="26">
        <v>24300</v>
      </c>
      <c r="N256" s="78">
        <v>16500</v>
      </c>
      <c r="O256" s="1" t="s">
        <v>51</v>
      </c>
      <c r="P25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6" s="84">
        <v>24</v>
      </c>
      <c r="R256" s="1" t="str" cm="1">
        <f t="array" ref="R256">_xlfn.IFS(TabelaClean[[#This Row],[qtde_batalhas]]&lt;=10,"Baixo",TabelaClean[[#This Row],[qtde_batalhas]]&gt;=26,"Alto",TabelaClean[[#This Row],[qtde_batalhas]]&lt;26,"Médio")</f>
        <v>Médio</v>
      </c>
      <c r="S256" s="1" t="str">
        <f>IF(AND(TabelaClean[[#This Row],[nivel_risco]]="Alto",TabelaClean[[#This Row],[flag_inadimplente]]="Sim"),"Arriscado","Ok")</f>
        <v>Ok</v>
      </c>
      <c r="T256" s="26">
        <v>57000</v>
      </c>
      <c r="U256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  <c r="W256" s="1"/>
      <c r="Y256" t="s">
        <v>809</v>
      </c>
      <c r="Z256" t="str">
        <f t="shared" si="3"/>
        <v>Null</v>
      </c>
      <c r="AE256" t="s">
        <v>795</v>
      </c>
      <c r="AF256" t="str">
        <f>TEXT(AE256,"000\.000\.000\-00")</f>
        <v>000.000.269-00</v>
      </c>
      <c r="AH256" s="15" t="s">
        <v>127</v>
      </c>
      <c r="AJ256" s="22" t="s">
        <v>184</v>
      </c>
      <c r="AK256">
        <v>0</v>
      </c>
      <c r="AM256" s="21">
        <v>19500</v>
      </c>
      <c r="AN256">
        <v>19500</v>
      </c>
      <c r="AO256">
        <v>19500</v>
      </c>
      <c r="BB256" s="26">
        <v>24300</v>
      </c>
      <c r="BC256" s="81">
        <f>IF(AND(TabelaClean[[#This Row],[analise_risco]]="Arriscado",TabelaClean[[#This Row],[analise_credito]]="Reprovado"),0,IF(TabelaClean[[#This Row],[status]]="Ativo",TabelaClean[[#This Row],[valor_solicitado]]*1.08,0))</f>
        <v>61560.000000000007</v>
      </c>
    </row>
    <row r="257" spans="1:55">
      <c r="A257" s="24" t="s">
        <v>76</v>
      </c>
      <c r="B257" s="17" t="s">
        <v>726</v>
      </c>
      <c r="C257" s="25" t="s">
        <v>847</v>
      </c>
      <c r="D257" s="54">
        <v>44</v>
      </c>
      <c r="E257" s="30">
        <v>29991</v>
      </c>
      <c r="F257" s="24" t="str">
        <f>TabelaClean[[#This Row],[CidadeCPF]]</f>
        <v>Porto Real</v>
      </c>
      <c r="G257" s="17" t="str">
        <f>TabelaClean[[#This Row],[RegiaoCPF]]</f>
        <v>Terra Da Coroa</v>
      </c>
      <c r="H257" s="17" t="str">
        <f>_xlfn.XLOOKUP(TabelaClean[[#This Row],[cpf]],TabelaDirty[cpfclean],TabelaDirty[cidade])</f>
        <v>Porto Real</v>
      </c>
      <c r="I257" s="17" t="s">
        <v>946</v>
      </c>
      <c r="J257" s="17" t="str">
        <f>PROPER(TabelaClean[[#This Row],[Coluna1]])</f>
        <v>Terra Da Coroa</v>
      </c>
      <c r="K257" s="17" t="e">
        <f>_xlfn.TEXTBEFORE(TabelaClean[[#This Row],[CidadeCPF]]," | ")</f>
        <v>#N/A</v>
      </c>
      <c r="L257" s="24" t="e">
        <f>_xlfn.TEXTAFTER(TabelaClean[[#This Row],[CidadeCPF]]," | ")</f>
        <v>#N/A</v>
      </c>
      <c r="M257" s="26">
        <v>6700</v>
      </c>
      <c r="N257" s="78">
        <v>16500</v>
      </c>
      <c r="O257" s="1" t="s">
        <v>51</v>
      </c>
      <c r="P25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7" s="84">
        <v>38</v>
      </c>
      <c r="R257" s="1" t="str" cm="1">
        <f t="array" ref="R257">_xlfn.IFS(TabelaClean[[#This Row],[qtde_batalhas]]&lt;=10,"Baixo",TabelaClean[[#This Row],[qtde_batalhas]]&gt;=26,"Alto",TabelaClean[[#This Row],[qtde_batalhas]]&lt;26,"Médio")</f>
        <v>Alto</v>
      </c>
      <c r="S257" s="1" t="str">
        <f>IF(AND(TabelaClean[[#This Row],[nivel_risco]]="Alto",TabelaClean[[#This Row],[flag_inadimplente]]="Sim"),"Arriscado","Ok")</f>
        <v>Arriscado</v>
      </c>
      <c r="T257" s="26">
        <v>15500</v>
      </c>
      <c r="U257" s="81">
        <f>IF(AND(TabelaClean[[#This Row],[analise_risco]]="Arriscado",TabelaClean[[#This Row],[analise_credito]]="Reprovado"),0,IF(TabelaClean[[#This Row],[status]]="Ativo",TabelaClean[[#This Row],[valor_solicitado]]*1.08,0))</f>
        <v>16740</v>
      </c>
      <c r="W257" s="1"/>
      <c r="Y257" t="s">
        <v>135</v>
      </c>
      <c r="Z257" t="str">
        <f t="shared" si="3"/>
        <v>Terras Da Tempestade</v>
      </c>
      <c r="AE257" t="s">
        <v>249</v>
      </c>
      <c r="AF257" t="str">
        <f>TEXT(AE257,"000\.000\.000\-00")</f>
        <v>000.000.270-00</v>
      </c>
      <c r="AH257" s="15" t="s">
        <v>210</v>
      </c>
      <c r="AJ257" s="22">
        <v>7100</v>
      </c>
      <c r="AK257">
        <v>7100</v>
      </c>
      <c r="AM257" s="20">
        <v>58000</v>
      </c>
      <c r="AN257">
        <v>58000</v>
      </c>
      <c r="AO257">
        <v>58000</v>
      </c>
      <c r="BB257" s="26">
        <v>6700</v>
      </c>
      <c r="BC257" s="81">
        <f>IF(AND(TabelaClean[[#This Row],[analise_risco]]="Arriscado",TabelaClean[[#This Row],[analise_credito]]="Reprovado"),0,IF(TabelaClean[[#This Row],[status]]="Ativo",TabelaClean[[#This Row],[valor_solicitado]]*1.08,0))</f>
        <v>16740</v>
      </c>
    </row>
    <row r="258" spans="1:55">
      <c r="A258" s="24" t="s">
        <v>76</v>
      </c>
      <c r="B258" s="17" t="s">
        <v>238</v>
      </c>
      <c r="C258" s="25" t="s">
        <v>239</v>
      </c>
      <c r="D258" s="54">
        <v>70</v>
      </c>
      <c r="E258" s="30">
        <v>20570</v>
      </c>
      <c r="F258" s="24" t="str">
        <f>TabelaClean[[#This Row],[CidadeCPF]]</f>
        <v>Braavos</v>
      </c>
      <c r="G258" s="17" t="str">
        <f>TabelaClean[[#This Row],[RegiaoCPF]]</f>
        <v>Essos</v>
      </c>
      <c r="H258" s="17" t="str">
        <f>_xlfn.XLOOKUP(TabelaClean[[#This Row],[cpf]],TabelaDirty[cpfclean],TabelaDirty[cidade])</f>
        <v>Braavos</v>
      </c>
      <c r="I258" s="17" t="str">
        <f>_xlfn.XLOOKUP(TabelaClean[[#This Row],[cpf]],TabelaDirty[cpfclean],TabelaDirty[regiao])</f>
        <v>Essos</v>
      </c>
      <c r="J258" s="17" t="str">
        <f>PROPER(TabelaClean[[#This Row],[Coluna1]])</f>
        <v>Essos</v>
      </c>
      <c r="K258" s="17" t="e">
        <f>_xlfn.TEXTBEFORE(TabelaClean[[#This Row],[CidadeCPF]]," | ")</f>
        <v>#N/A</v>
      </c>
      <c r="L258" s="24" t="e">
        <f>_xlfn.TEXTAFTER(TabelaClean[[#This Row],[CidadeCPF]]," | ")</f>
        <v>#N/A</v>
      </c>
      <c r="M258" s="26">
        <v>16300</v>
      </c>
      <c r="N258" s="78">
        <v>16500</v>
      </c>
      <c r="O258" s="1" t="s">
        <v>50</v>
      </c>
      <c r="P25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8" s="84">
        <v>25</v>
      </c>
      <c r="R258" s="1" t="str" cm="1">
        <f t="array" ref="R258">_xlfn.IFS(TabelaClean[[#This Row],[qtde_batalhas]]&lt;=10,"Baixo",TabelaClean[[#This Row],[qtde_batalhas]]&gt;=26,"Alto",TabelaClean[[#This Row],[qtde_batalhas]]&lt;26,"Médio")</f>
        <v>Médio</v>
      </c>
      <c r="S258" s="1" t="str">
        <f>IF(AND(TabelaClean[[#This Row],[nivel_risco]]="Alto",TabelaClean[[#This Row],[flag_inadimplente]]="Sim"),"Arriscado","Ok")</f>
        <v>Ok</v>
      </c>
      <c r="T258" s="26">
        <v>65500</v>
      </c>
      <c r="U258" s="81">
        <f>IF(AND(TabelaClean[[#This Row],[analise_risco]]="Arriscado",TabelaClean[[#This Row],[analise_credito]]="Reprovado"),0,IF(TabelaClean[[#This Row],[status]]="Ativo",TabelaClean[[#This Row],[valor_solicitado]]*1.08,0))</f>
        <v>70740</v>
      </c>
      <c r="W258" s="1"/>
      <c r="Y258" t="s">
        <v>809</v>
      </c>
      <c r="Z258" t="str">
        <f t="shared" si="3"/>
        <v>Null</v>
      </c>
      <c r="AE258" t="s">
        <v>117</v>
      </c>
      <c r="AF258" t="str">
        <f>TEXT(AE258,"000\.000\.000\-00")</f>
        <v>000.000.274-00</v>
      </c>
      <c r="AH258" s="15" t="s">
        <v>172</v>
      </c>
      <c r="AJ258" s="22">
        <v>21200</v>
      </c>
      <c r="AK258">
        <v>21200</v>
      </c>
      <c r="AM258" s="21">
        <v>75000</v>
      </c>
      <c r="AN258">
        <v>75000</v>
      </c>
      <c r="AO258">
        <v>75000</v>
      </c>
      <c r="BB258" s="26">
        <v>16300</v>
      </c>
      <c r="BC258" s="81">
        <f>IF(AND(TabelaClean[[#This Row],[analise_risco]]="Arriscado",TabelaClean[[#This Row],[analise_credito]]="Reprovado"),0,IF(TabelaClean[[#This Row],[status]]="Ativo",TabelaClean[[#This Row],[valor_solicitado]]*1.08,0))</f>
        <v>70740</v>
      </c>
    </row>
    <row r="259" spans="1:55">
      <c r="A259" s="29" t="s">
        <v>809</v>
      </c>
      <c r="B259" s="17" t="s">
        <v>786</v>
      </c>
      <c r="C259" s="25" t="s">
        <v>787</v>
      </c>
      <c r="D259" s="54">
        <v>54</v>
      </c>
      <c r="E259" s="30">
        <v>26403</v>
      </c>
      <c r="F259" s="24" t="str">
        <f>TabelaClean[[#This Row],[CidadeCPF]]</f>
        <v>Monte Chifre</v>
      </c>
      <c r="G259" s="17" t="str">
        <f>TabelaClean[[#This Row],[RegiaoCPF]]</f>
        <v>Campina</v>
      </c>
      <c r="H259" s="17" t="str">
        <f>_xlfn.XLOOKUP(TabelaClean[[#This Row],[cpf]],TabelaDirty[cpfclean],TabelaDirty[cidade])</f>
        <v>Monte Chifre</v>
      </c>
      <c r="I259" s="17" t="str">
        <f>_xlfn.XLOOKUP(TabelaClean[[#This Row],[cpf]],TabelaDirty[cpfclean],TabelaDirty[regiao])</f>
        <v>Campina</v>
      </c>
      <c r="J259" s="17" t="str">
        <f>PROPER(TabelaClean[[#This Row],[Coluna1]])</f>
        <v>Campina</v>
      </c>
      <c r="K259" s="17" t="e">
        <f>_xlfn.TEXTBEFORE(TabelaClean[[#This Row],[CidadeCPF]]," | ")</f>
        <v>#N/A</v>
      </c>
      <c r="L259" s="24" t="e">
        <f>_xlfn.TEXTAFTER(TabelaClean[[#This Row],[CidadeCPF]]," | ")</f>
        <v>#N/A</v>
      </c>
      <c r="M259" s="26">
        <v>20800</v>
      </c>
      <c r="N259" s="78">
        <v>16000</v>
      </c>
      <c r="O259" s="1" t="s">
        <v>51</v>
      </c>
      <c r="P25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59" s="84">
        <v>32</v>
      </c>
      <c r="R259" s="1" t="str" cm="1">
        <f t="array" ref="R259">_xlfn.IFS(TabelaClean[[#This Row],[qtde_batalhas]]&lt;=10,"Baixo",TabelaClean[[#This Row],[qtde_batalhas]]&gt;=26,"Alto",TabelaClean[[#This Row],[qtde_batalhas]]&lt;26,"Médio")</f>
        <v>Alto</v>
      </c>
      <c r="S259" s="1" t="str">
        <f>IF(AND(TabelaClean[[#This Row],[nivel_risco]]="Alto",TabelaClean[[#This Row],[flag_inadimplente]]="Sim"),"Arriscado","Ok")</f>
        <v>Arriscado</v>
      </c>
      <c r="T259" s="26">
        <v>31500</v>
      </c>
      <c r="U259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59" s="1"/>
      <c r="Y259" t="s">
        <v>809</v>
      </c>
      <c r="Z259" t="str">
        <f t="shared" si="3"/>
        <v>Null</v>
      </c>
      <c r="AE259" t="s">
        <v>711</v>
      </c>
      <c r="AF259" t="str">
        <f>TEXT(AE259,"000\.000\.000\-00")</f>
        <v>000.000.275-00</v>
      </c>
      <c r="AH259" s="15" t="s">
        <v>210</v>
      </c>
      <c r="AJ259" s="22">
        <v>10500</v>
      </c>
      <c r="AK259">
        <v>10500</v>
      </c>
      <c r="AM259" s="20">
        <v>0</v>
      </c>
      <c r="AN259">
        <v>0</v>
      </c>
      <c r="AO259">
        <v>0</v>
      </c>
      <c r="BB259" s="26">
        <v>20800</v>
      </c>
      <c r="BC259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60" spans="1:55">
      <c r="A260" s="24" t="s">
        <v>76</v>
      </c>
      <c r="B260" s="17" t="s">
        <v>338</v>
      </c>
      <c r="C260" s="25" t="s">
        <v>947</v>
      </c>
      <c r="D260" s="54">
        <v>66</v>
      </c>
      <c r="E260" s="30">
        <v>22151</v>
      </c>
      <c r="F260" s="17" t="str">
        <f>TabelaClean[[#This Row],[CidadeClean]]</f>
        <v>Fosso Cailin</v>
      </c>
      <c r="G260" s="17" t="str">
        <f>TabelaClean[[#This Row],[RegiaoClean]]</f>
        <v>Norte</v>
      </c>
      <c r="H260" s="17" t="str">
        <f>_xlfn.XLOOKUP(TabelaClean[[#This Row],[cpf]],TabelaDirty[cpfclean],TabelaDirty[cidade])</f>
        <v>Fosso Cailin | Norte</v>
      </c>
      <c r="I260" s="17">
        <f>_xlfn.XLOOKUP(TabelaClean[[#This Row],[cpf]],TabelaDirty[cpfclean],TabelaDirty[regiao])</f>
        <v>0</v>
      </c>
      <c r="J260" s="17" t="s">
        <v>142</v>
      </c>
      <c r="K260" s="17" t="str">
        <f>_xlfn.TEXTBEFORE(TabelaClean[[#This Row],[CidadeCPF]]," | ")</f>
        <v>Fosso Cailin</v>
      </c>
      <c r="L260" s="24" t="str">
        <f>_xlfn.TEXTAFTER(TabelaClean[[#This Row],[CidadeCPF]]," | ")</f>
        <v>Norte</v>
      </c>
      <c r="M260" s="26">
        <v>28800</v>
      </c>
      <c r="N260" s="78">
        <v>16000</v>
      </c>
      <c r="O260" s="1" t="s">
        <v>51</v>
      </c>
      <c r="P26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0" s="84">
        <v>44</v>
      </c>
      <c r="R260" s="1" t="str" cm="1">
        <f t="array" ref="R260">_xlfn.IFS(TabelaClean[[#This Row],[qtde_batalhas]]&lt;=10,"Baixo",TabelaClean[[#This Row],[qtde_batalhas]]&gt;=26,"Alto",TabelaClean[[#This Row],[qtde_batalhas]]&lt;26,"Médio")</f>
        <v>Alto</v>
      </c>
      <c r="S260" s="1" t="str">
        <f>IF(AND(TabelaClean[[#This Row],[nivel_risco]]="Alto",TabelaClean[[#This Row],[flag_inadimplente]]="Sim"),"Arriscado","Ok")</f>
        <v>Arriscado</v>
      </c>
      <c r="T260" s="26">
        <v>59000</v>
      </c>
      <c r="U260" s="81">
        <f>IF(AND(TabelaClean[[#This Row],[analise_risco]]="Arriscado",TabelaClean[[#This Row],[analise_credito]]="Reprovado"),0,IF(TabelaClean[[#This Row],[status]]="Ativo",TabelaClean[[#This Row],[valor_solicitado]]*1.08,0))</f>
        <v>63720.000000000007</v>
      </c>
      <c r="W260" s="1"/>
      <c r="Y260" t="s">
        <v>176</v>
      </c>
      <c r="Z260" t="str">
        <f t="shared" ref="Z260:Z323" si="4">PROPER(Y260)</f>
        <v>Norte</v>
      </c>
      <c r="AE260" t="s">
        <v>335</v>
      </c>
      <c r="AF260" t="str">
        <f>TEXT(AE260,"000\.000\.000\-00")</f>
        <v>000.000.276-00</v>
      </c>
      <c r="AH260" s="15" t="s">
        <v>148</v>
      </c>
      <c r="AJ260" s="22">
        <v>24900</v>
      </c>
      <c r="AK260">
        <v>24900</v>
      </c>
      <c r="AM260" s="21">
        <v>0</v>
      </c>
      <c r="AN260">
        <v>0</v>
      </c>
      <c r="AO260">
        <v>0</v>
      </c>
      <c r="BB260" s="26">
        <v>28800</v>
      </c>
      <c r="BC260" s="81">
        <f>IF(AND(TabelaClean[[#This Row],[analise_risco]]="Arriscado",TabelaClean[[#This Row],[analise_credito]]="Reprovado"),0,IF(TabelaClean[[#This Row],[status]]="Ativo",TabelaClean[[#This Row],[valor_solicitado]]*1.08,0))</f>
        <v>63720.000000000007</v>
      </c>
    </row>
    <row r="261" spans="1:55">
      <c r="A261" s="24" t="s">
        <v>76</v>
      </c>
      <c r="B261" s="17" t="s">
        <v>770</v>
      </c>
      <c r="C261" s="25" t="s">
        <v>771</v>
      </c>
      <c r="D261" s="54">
        <v>19</v>
      </c>
      <c r="E261" s="30">
        <v>39209</v>
      </c>
      <c r="F261" s="24" t="str">
        <f>TabelaClean[[#This Row],[CidadeCPF]]</f>
        <v>Monte Chifre</v>
      </c>
      <c r="G261" s="17" t="str">
        <f>TabelaClean[[#This Row],[RegiaoCPF]]</f>
        <v>Campina</v>
      </c>
      <c r="H261" s="17" t="str">
        <f>_xlfn.XLOOKUP(TabelaClean[[#This Row],[cpf]],TabelaDirty[cpfclean],TabelaDirty[cidade])</f>
        <v>Monte Chifre</v>
      </c>
      <c r="I261" s="17" t="str">
        <f>_xlfn.XLOOKUP(TabelaClean[[#This Row],[cpf]],TabelaDirty[cpfclean],TabelaDirty[regiao])</f>
        <v>Campina</v>
      </c>
      <c r="J261" s="17" t="str">
        <f>PROPER(TabelaClean[[#This Row],[Coluna1]])</f>
        <v>Campina</v>
      </c>
      <c r="K261" s="17" t="e">
        <f>_xlfn.TEXTBEFORE(TabelaClean[[#This Row],[CidadeCPF]]," | ")</f>
        <v>#N/A</v>
      </c>
      <c r="L261" s="24" t="e">
        <f>_xlfn.TEXTAFTER(TabelaClean[[#This Row],[CidadeCPF]]," | ")</f>
        <v>#N/A</v>
      </c>
      <c r="M261" s="26">
        <v>7200</v>
      </c>
      <c r="N261" s="78">
        <v>16000</v>
      </c>
      <c r="O261" s="1" t="s">
        <v>50</v>
      </c>
      <c r="P26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1" s="84">
        <v>5</v>
      </c>
      <c r="R261" s="1" t="str" cm="1">
        <f t="array" ref="R261">_xlfn.IFS(TabelaClean[[#This Row],[qtde_batalhas]]&lt;=10,"Baixo",TabelaClean[[#This Row],[qtde_batalhas]]&gt;=26,"Alto",TabelaClean[[#This Row],[qtde_batalhas]]&lt;26,"Médio")</f>
        <v>Baixo</v>
      </c>
      <c r="S261" s="1" t="str">
        <f>IF(AND(TabelaClean[[#This Row],[nivel_risco]]="Alto",TabelaClean[[#This Row],[flag_inadimplente]]="Sim"),"Arriscado","Ok")</f>
        <v>Ok</v>
      </c>
      <c r="T261" s="26">
        <v>52000</v>
      </c>
      <c r="U261" s="81">
        <f>IF(AND(TabelaClean[[#This Row],[analise_risco]]="Arriscado",TabelaClean[[#This Row],[analise_credito]]="Reprovado"),0,IF(TabelaClean[[#This Row],[status]]="Ativo",TabelaClean[[#This Row],[valor_solicitado]]*1.08,0))</f>
        <v>56160.000000000007</v>
      </c>
      <c r="W261" s="1"/>
      <c r="Y261" t="s">
        <v>809</v>
      </c>
      <c r="Z261" t="str">
        <f t="shared" si="4"/>
        <v>Null</v>
      </c>
      <c r="AE261" t="s">
        <v>784</v>
      </c>
      <c r="AF261" t="str">
        <f>TEXT(AE261,"000\.000\.000\-00")</f>
        <v>000.000.281-00</v>
      </c>
      <c r="AH261" s="15" t="s">
        <v>83</v>
      </c>
      <c r="AJ261" s="22">
        <v>5500</v>
      </c>
      <c r="AK261">
        <v>5500</v>
      </c>
      <c r="AM261" s="20">
        <v>26000</v>
      </c>
      <c r="AN261">
        <v>26000</v>
      </c>
      <c r="AO261">
        <v>26000</v>
      </c>
      <c r="BB261" s="26">
        <v>7200</v>
      </c>
      <c r="BC261" s="81">
        <f>IF(AND(TabelaClean[[#This Row],[analise_risco]]="Arriscado",TabelaClean[[#This Row],[analise_credito]]="Reprovado"),0,IF(TabelaClean[[#This Row],[status]]="Ativo",TabelaClean[[#This Row],[valor_solicitado]]*1.08,0))</f>
        <v>56160.000000000007</v>
      </c>
    </row>
    <row r="262" spans="1:55">
      <c r="A262" s="24" t="s">
        <v>76</v>
      </c>
      <c r="B262" s="17" t="s">
        <v>411</v>
      </c>
      <c r="C262" s="25" t="s">
        <v>412</v>
      </c>
      <c r="D262" s="54">
        <v>73</v>
      </c>
      <c r="E262" s="30">
        <v>19314</v>
      </c>
      <c r="F262" s="24" t="str">
        <f>TabelaClean[[#This Row],[CidadeCPF]]</f>
        <v>Pedra do Dragão</v>
      </c>
      <c r="G262" s="17" t="str">
        <f>TabelaClean[[#This Row],[RegiaoCPF]]</f>
        <v>Terras Da Coroa</v>
      </c>
      <c r="H262" s="17" t="str">
        <f>_xlfn.XLOOKUP(TabelaClean[[#This Row],[cpf]],TabelaDirty[cpfclean],TabelaDirty[cidade])</f>
        <v>Pedra do Dragão</v>
      </c>
      <c r="I262" s="17" t="str">
        <f>_xlfn.XLOOKUP(TabelaClean[[#This Row],[cpf]],TabelaDirty[cpfclean],TabelaDirty[regiao])</f>
        <v>Terras Da Coroa</v>
      </c>
      <c r="J262" s="17" t="str">
        <f>PROPER(TabelaClean[[#This Row],[Coluna1]])</f>
        <v>Terras Da Coroa</v>
      </c>
      <c r="K262" s="17" t="e">
        <f>_xlfn.TEXTBEFORE(TabelaClean[[#This Row],[CidadeCPF]]," | ")</f>
        <v>#N/A</v>
      </c>
      <c r="L262" s="24" t="e">
        <f>_xlfn.TEXTAFTER(TabelaClean[[#This Row],[CidadeCPF]]," | ")</f>
        <v>#N/A</v>
      </c>
      <c r="M262" s="26">
        <v>6100</v>
      </c>
      <c r="N262" s="78">
        <v>16000</v>
      </c>
      <c r="O262" s="1" t="s">
        <v>50</v>
      </c>
      <c r="P26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2" s="84">
        <v>9</v>
      </c>
      <c r="R262" s="1" t="str" cm="1">
        <f t="array" ref="R262">_xlfn.IFS(TabelaClean[[#This Row],[qtde_batalhas]]&lt;=10,"Baixo",TabelaClean[[#This Row],[qtde_batalhas]]&gt;=26,"Alto",TabelaClean[[#This Row],[qtde_batalhas]]&lt;26,"Médio")</f>
        <v>Baixo</v>
      </c>
      <c r="S262" s="1" t="str">
        <f>IF(AND(TabelaClean[[#This Row],[nivel_risco]]="Alto",TabelaClean[[#This Row],[flag_inadimplente]]="Sim"),"Arriscado","Ok")</f>
        <v>Ok</v>
      </c>
      <c r="T262" s="26">
        <v>24500</v>
      </c>
      <c r="U262" s="81">
        <f>IF(AND(TabelaClean[[#This Row],[analise_risco]]="Arriscado",TabelaClean[[#This Row],[analise_credito]]="Reprovado"),0,IF(TabelaClean[[#This Row],[status]]="Ativo",TabelaClean[[#This Row],[valor_solicitado]]*1.08,0))</f>
        <v>26460</v>
      </c>
      <c r="W262" s="1"/>
      <c r="Y262" t="s">
        <v>100</v>
      </c>
      <c r="Z262" t="str">
        <f t="shared" si="4"/>
        <v>Vale</v>
      </c>
      <c r="AE262" t="s">
        <v>404</v>
      </c>
      <c r="AF262" t="str">
        <f>TEXT(AE262,"000\.000\.000\-00")</f>
        <v>000.000.282-00</v>
      </c>
      <c r="AH262" s="15" t="s">
        <v>138</v>
      </c>
      <c r="AJ262" s="22">
        <v>4100</v>
      </c>
      <c r="AK262">
        <v>4100</v>
      </c>
      <c r="AM262" s="21">
        <v>2000</v>
      </c>
      <c r="AN262">
        <v>2000</v>
      </c>
      <c r="AO262">
        <v>2000</v>
      </c>
      <c r="BB262" s="26">
        <v>6100</v>
      </c>
      <c r="BC262" s="81">
        <f>IF(AND(TabelaClean[[#This Row],[analise_risco]]="Arriscado",TabelaClean[[#This Row],[analise_credito]]="Reprovado"),0,IF(TabelaClean[[#This Row],[status]]="Ativo",TabelaClean[[#This Row],[valor_solicitado]]*1.08,0))</f>
        <v>26460</v>
      </c>
    </row>
    <row r="263" spans="1:55">
      <c r="A263" s="24" t="s">
        <v>81</v>
      </c>
      <c r="B263" s="17" t="s">
        <v>948</v>
      </c>
      <c r="C263" s="25" t="s">
        <v>949</v>
      </c>
      <c r="D263" s="54">
        <v>62</v>
      </c>
      <c r="E263" s="30">
        <v>23358</v>
      </c>
      <c r="F263" s="25" t="s">
        <v>950</v>
      </c>
      <c r="G263" s="25" t="s">
        <v>149</v>
      </c>
      <c r="H263" s="24">
        <v>14600</v>
      </c>
      <c r="I263" s="24">
        <v>15500</v>
      </c>
      <c r="J263" s="24"/>
      <c r="K263" s="24"/>
      <c r="L263" s="24"/>
      <c r="M263" s="26">
        <v>2500</v>
      </c>
      <c r="N263" s="78">
        <v>15500</v>
      </c>
      <c r="P26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R263" s="76" t="str" cm="1">
        <f t="array" ref="R263">_xlfn.IFS(TabelaClean[[#This Row],[qtde_batalhas]]&lt;=10,"Baixo",TabelaClean[[#This Row],[qtde_batalhas]]&gt;=26,"Alto",TabelaClean[[#This Row],[qtde_batalhas]]&lt;26,"Médio")</f>
        <v>Baixo</v>
      </c>
      <c r="S263" s="76" t="str">
        <f>IF(AND(TabelaClean[[#This Row],[nivel_risco]]="Alto",TabelaClean[[#This Row],[flag_inadimplente]]="Sim"),"Arriscado","Ok")</f>
        <v>Ok</v>
      </c>
      <c r="T263" s="26">
        <v>2500</v>
      </c>
      <c r="U26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63" s="1"/>
      <c r="Y263" t="s">
        <v>809</v>
      </c>
      <c r="Z263" t="str">
        <f t="shared" si="4"/>
        <v>Null</v>
      </c>
      <c r="AE263" t="s">
        <v>292</v>
      </c>
      <c r="AF263" t="str">
        <f>TEXT(AE263,"000\.000\.000\-00")</f>
        <v>000.000.283-00</v>
      </c>
      <c r="AH263" s="15" t="s">
        <v>154</v>
      </c>
      <c r="AJ263" s="22">
        <v>22100</v>
      </c>
      <c r="AK263">
        <v>22100</v>
      </c>
      <c r="AM263" s="20">
        <v>30500</v>
      </c>
      <c r="AN263">
        <v>30500</v>
      </c>
      <c r="AO263">
        <v>30500</v>
      </c>
      <c r="BB263" s="26">
        <v>2500</v>
      </c>
      <c r="BC26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64" spans="1:55">
      <c r="A264" s="24" t="s">
        <v>76</v>
      </c>
      <c r="B264" s="17" t="s">
        <v>299</v>
      </c>
      <c r="C264" s="25" t="s">
        <v>300</v>
      </c>
      <c r="D264" s="54">
        <v>40</v>
      </c>
      <c r="E264" s="30">
        <v>31647</v>
      </c>
      <c r="F264" s="24" t="str">
        <f>TabelaClean[[#This Row],[CidadeCPF]]</f>
        <v>Fosso Cailin</v>
      </c>
      <c r="G264" s="17" t="str">
        <f>TabelaClean[[#This Row],[RegiaoCPF]]</f>
        <v>Norte</v>
      </c>
      <c r="H264" s="17" t="str">
        <f>_xlfn.XLOOKUP(TabelaClean[[#This Row],[cpf]],TabelaDirty[cpfclean],TabelaDirty[cidade])</f>
        <v>Fosso Cailin</v>
      </c>
      <c r="I264" s="17" t="str">
        <f>_xlfn.XLOOKUP(TabelaClean[[#This Row],[cpf]],TabelaDirty[cpfclean],TabelaDirty[regiao])</f>
        <v>Norte</v>
      </c>
      <c r="J264" s="17" t="str">
        <f>PROPER(TabelaClean[[#This Row],[Coluna1]])</f>
        <v>Norte</v>
      </c>
      <c r="K264" s="17" t="e">
        <f>_xlfn.TEXTBEFORE(TabelaClean[[#This Row],[CidadeCPF]]," | ")</f>
        <v>#N/A</v>
      </c>
      <c r="L264" s="24" t="e">
        <f>_xlfn.TEXTAFTER(TabelaClean[[#This Row],[CidadeCPF]]," | ")</f>
        <v>#N/A</v>
      </c>
      <c r="M264" s="26">
        <v>18700</v>
      </c>
      <c r="N264" s="78">
        <v>15000</v>
      </c>
      <c r="O264" s="1" t="s">
        <v>51</v>
      </c>
      <c r="P26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4" s="84">
        <v>26</v>
      </c>
      <c r="R264" s="1" t="str" cm="1">
        <f t="array" ref="R264">_xlfn.IFS(TabelaClean[[#This Row],[qtde_batalhas]]&lt;=10,"Baixo",TabelaClean[[#This Row],[qtde_batalhas]]&gt;=26,"Alto",TabelaClean[[#This Row],[qtde_batalhas]]&lt;26,"Médio")</f>
        <v>Alto</v>
      </c>
      <c r="S264" s="1" t="str">
        <f>IF(AND(TabelaClean[[#This Row],[nivel_risco]]="Alto",TabelaClean[[#This Row],[flag_inadimplente]]="Sim"),"Arriscado","Ok")</f>
        <v>Arriscado</v>
      </c>
      <c r="T264" s="26">
        <v>89500</v>
      </c>
      <c r="U264" s="81">
        <f>IF(AND(TabelaClean[[#This Row],[analise_risco]]="Arriscado",TabelaClean[[#This Row],[analise_credito]]="Reprovado"),0,IF(TabelaClean[[#This Row],[status]]="Ativo",TabelaClean[[#This Row],[valor_solicitado]]*1.08,0))</f>
        <v>96660</v>
      </c>
      <c r="W264" s="1"/>
      <c r="Y264" t="s">
        <v>809</v>
      </c>
      <c r="Z264" t="str">
        <f t="shared" si="4"/>
        <v>Null</v>
      </c>
      <c r="AE264" t="s">
        <v>229</v>
      </c>
      <c r="AF264" t="str">
        <f>TEXT(AE264,"000\.000\.000\-00")</f>
        <v>000.000.284-00</v>
      </c>
      <c r="AH264" s="15" t="s">
        <v>138</v>
      </c>
      <c r="AJ264" s="22">
        <v>9900</v>
      </c>
      <c r="AK264">
        <v>9900</v>
      </c>
      <c r="AM264" s="21">
        <v>3500</v>
      </c>
      <c r="AN264">
        <v>3500</v>
      </c>
      <c r="AO264">
        <v>3500</v>
      </c>
      <c r="BB264" s="26">
        <v>18700</v>
      </c>
      <c r="BC264" s="81">
        <f>IF(AND(TabelaClean[[#This Row],[analise_risco]]="Arriscado",TabelaClean[[#This Row],[analise_credito]]="Reprovado"),0,IF(TabelaClean[[#This Row],[status]]="Ativo",TabelaClean[[#This Row],[valor_solicitado]]*1.08,0))</f>
        <v>96660</v>
      </c>
    </row>
    <row r="265" spans="1:55">
      <c r="A265" s="24" t="s">
        <v>76</v>
      </c>
      <c r="B265" s="17" t="s">
        <v>797</v>
      </c>
      <c r="C265" s="25" t="s">
        <v>798</v>
      </c>
      <c r="D265" s="54">
        <v>60</v>
      </c>
      <c r="E265" s="30">
        <v>24272</v>
      </c>
      <c r="F265" s="24" t="str">
        <f>TabelaClean[[#This Row],[CidadeCPF]]</f>
        <v>Monte Chifre</v>
      </c>
      <c r="G265" s="17" t="str">
        <f>TabelaClean[[#This Row],[RegiaoCPF]]</f>
        <v>Campina</v>
      </c>
      <c r="H265" s="17" t="str">
        <f>_xlfn.XLOOKUP(TabelaClean[[#This Row],[cpf]],TabelaDirty[cpfclean],TabelaDirty[cidade])</f>
        <v>Monte Chifre</v>
      </c>
      <c r="I265" s="17" t="str">
        <f>_xlfn.XLOOKUP(TabelaClean[[#This Row],[cpf]],TabelaDirty[cpfclean],TabelaDirty[regiao])</f>
        <v>CAMPINA</v>
      </c>
      <c r="J265" s="17" t="str">
        <f>PROPER(TabelaClean[[#This Row],[Coluna1]])</f>
        <v>Campina</v>
      </c>
      <c r="K265" s="17" t="e">
        <f>_xlfn.TEXTBEFORE(TabelaClean[[#This Row],[CidadeCPF]]," | ")</f>
        <v>#N/A</v>
      </c>
      <c r="L265" s="24" t="e">
        <f>_xlfn.TEXTAFTER(TabelaClean[[#This Row],[CidadeCPF]]," | ")</f>
        <v>#N/A</v>
      </c>
      <c r="M265" s="26">
        <v>17300</v>
      </c>
      <c r="N265" s="78">
        <v>15000</v>
      </c>
      <c r="O265" s="1" t="s">
        <v>51</v>
      </c>
      <c r="P26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5" s="84">
        <v>17</v>
      </c>
      <c r="R265" s="1" t="str" cm="1">
        <f t="array" ref="R265">_xlfn.IFS(TabelaClean[[#This Row],[qtde_batalhas]]&lt;=10,"Baixo",TabelaClean[[#This Row],[qtde_batalhas]]&gt;=26,"Alto",TabelaClean[[#This Row],[qtde_batalhas]]&lt;26,"Médio")</f>
        <v>Médio</v>
      </c>
      <c r="S265" s="1" t="str">
        <f>IF(AND(TabelaClean[[#This Row],[nivel_risco]]="Alto",TabelaClean[[#This Row],[flag_inadimplente]]="Sim"),"Arriscado","Ok")</f>
        <v>Ok</v>
      </c>
      <c r="T265" s="26">
        <v>69000</v>
      </c>
      <c r="U265" s="81">
        <f>IF(AND(TabelaClean[[#This Row],[analise_risco]]="Arriscado",TabelaClean[[#This Row],[analise_credito]]="Reprovado"),0,IF(TabelaClean[[#This Row],[status]]="Ativo",TabelaClean[[#This Row],[valor_solicitado]]*1.08,0))</f>
        <v>74520</v>
      </c>
      <c r="W265" s="1"/>
      <c r="Y265" t="s">
        <v>809</v>
      </c>
      <c r="Z265" t="str">
        <f t="shared" si="4"/>
        <v>Null</v>
      </c>
      <c r="AE265" t="s">
        <v>769</v>
      </c>
      <c r="AF265" t="str">
        <f>TEXT(AE265,"000\.000\.000\-00")</f>
        <v>000.000.286-00</v>
      </c>
      <c r="AH265" s="15" t="s">
        <v>154</v>
      </c>
      <c r="AJ265" s="22">
        <v>5000</v>
      </c>
      <c r="AK265">
        <v>5000</v>
      </c>
      <c r="AM265" s="20" t="s">
        <v>367</v>
      </c>
      <c r="AN265" t="s">
        <v>809</v>
      </c>
      <c r="AO265" t="s">
        <v>809</v>
      </c>
      <c r="BB265" s="26">
        <v>17300</v>
      </c>
      <c r="BC265" s="81">
        <f>IF(AND(TabelaClean[[#This Row],[analise_risco]]="Arriscado",TabelaClean[[#This Row],[analise_credito]]="Reprovado"),0,IF(TabelaClean[[#This Row],[status]]="Ativo",TabelaClean[[#This Row],[valor_solicitado]]*1.08,0))</f>
        <v>74520</v>
      </c>
    </row>
    <row r="266" spans="1:55">
      <c r="A266" s="24" t="s">
        <v>76</v>
      </c>
      <c r="B266" s="17" t="s">
        <v>951</v>
      </c>
      <c r="C266" s="25" t="s">
        <v>533</v>
      </c>
      <c r="D266" s="54">
        <v>23</v>
      </c>
      <c r="E266" s="30">
        <v>37530</v>
      </c>
      <c r="F266" s="17" t="str">
        <f>TabelaClean[[#This Row],[CidadeClean]]</f>
        <v>Pyke</v>
      </c>
      <c r="G266" s="17" t="str">
        <f>TabelaClean[[#This Row],[RegiaoClean]]</f>
        <v>Ilhas de Ferro</v>
      </c>
      <c r="H266" s="28" t="str">
        <f>_xlfn.XLOOKUP(TabelaClean[[#This Row],[cpf]],TabelaDirty[cpfclean],TabelaDirty[cidade])</f>
        <v>Pyke | Ilhas de Ferro</v>
      </c>
      <c r="I266" s="28">
        <f>_xlfn.XLOOKUP(TabelaClean[[#This Row],[cpf]],TabelaDirty[cpfclean],TabelaDirty[regiao])</f>
        <v>0</v>
      </c>
      <c r="J266" s="28" t="s">
        <v>132</v>
      </c>
      <c r="K266" s="28" t="str">
        <f>_xlfn.TEXTBEFORE(TabelaClean[[#This Row],[CidadeCPF]]," | ")</f>
        <v>Pyke</v>
      </c>
      <c r="L266" s="24" t="str">
        <f>_xlfn.TEXTAFTER(TabelaClean[[#This Row],[CidadeCPF]]," | ")</f>
        <v>Ilhas de Ferro</v>
      </c>
      <c r="M266" s="26">
        <v>10700</v>
      </c>
      <c r="N266" s="78">
        <v>15000</v>
      </c>
      <c r="O266" s="1" t="s">
        <v>50</v>
      </c>
      <c r="P26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6" s="84">
        <v>42</v>
      </c>
      <c r="R266" s="1" t="str" cm="1">
        <f t="array" ref="R266">_xlfn.IFS(TabelaClean[[#This Row],[qtde_batalhas]]&lt;=10,"Baixo",TabelaClean[[#This Row],[qtde_batalhas]]&gt;=26,"Alto",TabelaClean[[#This Row],[qtde_batalhas]]&lt;26,"Médio")</f>
        <v>Alto</v>
      </c>
      <c r="S266" s="1" t="str">
        <f>IF(AND(TabelaClean[[#This Row],[nivel_risco]]="Alto",TabelaClean[[#This Row],[flag_inadimplente]]="Sim"),"Arriscado","Ok")</f>
        <v>Ok</v>
      </c>
      <c r="T266" s="26">
        <v>81500</v>
      </c>
      <c r="U266" s="81">
        <f>IF(AND(TabelaClean[[#This Row],[analise_risco]]="Arriscado",TabelaClean[[#This Row],[analise_credito]]="Reprovado"),0,IF(TabelaClean[[#This Row],[status]]="Ativo",TabelaClean[[#This Row],[valor_solicitado]]*1.08,0))</f>
        <v>88020</v>
      </c>
      <c r="W266" s="1"/>
      <c r="Y266" t="s">
        <v>108</v>
      </c>
      <c r="Z266" t="str">
        <f t="shared" si="4"/>
        <v>Oeste</v>
      </c>
      <c r="AE266" t="s">
        <v>168</v>
      </c>
      <c r="AF266" t="str">
        <f>TEXT(AE266,"000\.000\.000\-00")</f>
        <v>000.000.287-00</v>
      </c>
      <c r="AH266" s="15" t="s">
        <v>169</v>
      </c>
      <c r="AJ266" s="22">
        <v>12600</v>
      </c>
      <c r="AK266">
        <v>12600</v>
      </c>
      <c r="AM266" s="21">
        <v>5500</v>
      </c>
      <c r="AN266">
        <v>5500</v>
      </c>
      <c r="AO266">
        <v>5500</v>
      </c>
      <c r="BB266" s="26">
        <v>10700</v>
      </c>
      <c r="BC266" s="81">
        <f>IF(AND(TabelaClean[[#This Row],[analise_risco]]="Arriscado",TabelaClean[[#This Row],[analise_credito]]="Reprovado"),0,IF(TabelaClean[[#This Row],[status]]="Ativo",TabelaClean[[#This Row],[valor_solicitado]]*1.08,0))</f>
        <v>88020</v>
      </c>
    </row>
    <row r="267" spans="1:55">
      <c r="A267" s="24" t="s">
        <v>81</v>
      </c>
      <c r="B267" s="17" t="s">
        <v>285</v>
      </c>
      <c r="C267" s="25" t="s">
        <v>286</v>
      </c>
      <c r="D267" s="54">
        <v>59</v>
      </c>
      <c r="E267" s="30">
        <v>24512</v>
      </c>
      <c r="F267" s="24" t="str">
        <f>TabelaClean[[#This Row],[CidadeCPF]]</f>
        <v>Monte Chifre</v>
      </c>
      <c r="G267" s="17" t="str">
        <f>TabelaClean[[#This Row],[RegiaoCPF]]</f>
        <v>Campina</v>
      </c>
      <c r="H267" s="17" t="str">
        <f>_xlfn.XLOOKUP(TabelaClean[[#This Row],[cpf]],TabelaDirty[cpfclean],TabelaDirty[cidade])</f>
        <v>Monte Chifre</v>
      </c>
      <c r="I267" s="17" t="str">
        <f>_xlfn.XLOOKUP(TabelaClean[[#This Row],[cpf]],TabelaDirty[cpfclean],TabelaDirty[regiao])</f>
        <v>CAMPINA</v>
      </c>
      <c r="J267" s="17" t="str">
        <f>PROPER(TabelaClean[[#This Row],[Coluna1]])</f>
        <v>Campina</v>
      </c>
      <c r="K267" s="17" t="e">
        <f>_xlfn.TEXTBEFORE(TabelaClean[[#This Row],[CidadeCPF]]," | ")</f>
        <v>#N/A</v>
      </c>
      <c r="L267" s="24" t="e">
        <f>_xlfn.TEXTAFTER(TabelaClean[[#This Row],[CidadeCPF]]," | ")</f>
        <v>#N/A</v>
      </c>
      <c r="M267" s="26">
        <v>6300</v>
      </c>
      <c r="N267" s="78">
        <v>15000</v>
      </c>
      <c r="O267" s="1" t="s">
        <v>50</v>
      </c>
      <c r="P26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7" s="84">
        <v>42</v>
      </c>
      <c r="R267" s="1" t="str" cm="1">
        <f t="array" ref="R267">_xlfn.IFS(TabelaClean[[#This Row],[qtde_batalhas]]&lt;=10,"Baixo",TabelaClean[[#This Row],[qtde_batalhas]]&gt;=26,"Alto",TabelaClean[[#This Row],[qtde_batalhas]]&lt;26,"Médio")</f>
        <v>Alto</v>
      </c>
      <c r="S267" s="1" t="str">
        <f>IF(AND(TabelaClean[[#This Row],[nivel_risco]]="Alto",TabelaClean[[#This Row],[flag_inadimplente]]="Sim"),"Arriscado","Ok")</f>
        <v>Ok</v>
      </c>
      <c r="T267" s="26">
        <v>8500</v>
      </c>
      <c r="U26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67" s="1"/>
      <c r="Y267" t="s">
        <v>809</v>
      </c>
      <c r="Z267" t="str">
        <f t="shared" si="4"/>
        <v>Null</v>
      </c>
      <c r="AE267" t="s">
        <v>231</v>
      </c>
      <c r="AF267" t="str">
        <f>TEXT(AE267,"000\.000\.000\-00")</f>
        <v>000.000.288-00</v>
      </c>
      <c r="AH267" s="14" t="s">
        <v>378</v>
      </c>
      <c r="AI267" t="e" cm="1" vm="1">
        <f t="array" aca="1" ref="AI267" ca="1">_xlfn.TEXTSPLIT(AH267," | ")</f>
        <v>#VALUE!</v>
      </c>
      <c r="AJ267" s="22">
        <v>3400</v>
      </c>
      <c r="AK267">
        <v>3400</v>
      </c>
      <c r="AL267" t="s">
        <v>139</v>
      </c>
      <c r="AM267" s="20">
        <v>0</v>
      </c>
      <c r="AN267">
        <v>0</v>
      </c>
      <c r="AO267">
        <v>0</v>
      </c>
      <c r="BB267" s="26">
        <v>6300</v>
      </c>
      <c r="BC26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68" spans="1:55">
      <c r="A268" s="24" t="s">
        <v>81</v>
      </c>
      <c r="B268" s="17" t="s">
        <v>952</v>
      </c>
      <c r="C268" s="25" t="s">
        <v>355</v>
      </c>
      <c r="D268" s="54">
        <v>30</v>
      </c>
      <c r="E268" s="30">
        <v>35200</v>
      </c>
      <c r="F268" s="24" t="str">
        <f>TabelaClean[[#This Row],[CidadeCPF]]</f>
        <v>Braavos</v>
      </c>
      <c r="G268" s="17" t="str">
        <f>TabelaClean[[#This Row],[RegiaoCPF]]</f>
        <v>Essos</v>
      </c>
      <c r="H268" s="17" t="str">
        <f>_xlfn.XLOOKUP(TabelaClean[[#This Row],[cpf]],TabelaDirty[cpfclean],TabelaDirty[cidade])</f>
        <v>Braavos</v>
      </c>
      <c r="I268" s="17" t="str">
        <f>_xlfn.XLOOKUP(TabelaClean[[#This Row],[cpf]],TabelaDirty[cpfclean],TabelaDirty[regiao])</f>
        <v>ESSOS</v>
      </c>
      <c r="J268" s="17" t="str">
        <f>PROPER(TabelaClean[[#This Row],[Coluna1]])</f>
        <v>Essos</v>
      </c>
      <c r="K268" s="17" t="e">
        <f>_xlfn.TEXTBEFORE(TabelaClean[[#This Row],[CidadeCPF]]," | ")</f>
        <v>#N/A</v>
      </c>
      <c r="L268" s="24" t="e">
        <f>_xlfn.TEXTAFTER(TabelaClean[[#This Row],[CidadeCPF]]," | ")</f>
        <v>#N/A</v>
      </c>
      <c r="M268" s="26">
        <v>26500</v>
      </c>
      <c r="N268" s="78">
        <v>14500</v>
      </c>
      <c r="O268" s="1" t="s">
        <v>51</v>
      </c>
      <c r="P26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8" s="84">
        <v>15</v>
      </c>
      <c r="R268" s="1" t="str" cm="1">
        <f t="array" ref="R268">_xlfn.IFS(TabelaClean[[#This Row],[qtde_batalhas]]&lt;=10,"Baixo",TabelaClean[[#This Row],[qtde_batalhas]]&gt;=26,"Alto",TabelaClean[[#This Row],[qtde_batalhas]]&lt;26,"Médio")</f>
        <v>Médio</v>
      </c>
      <c r="S268" s="1" t="str">
        <f>IF(AND(TabelaClean[[#This Row],[nivel_risco]]="Alto",TabelaClean[[#This Row],[flag_inadimplente]]="Sim"),"Arriscado","Ok")</f>
        <v>Ok</v>
      </c>
      <c r="T268" s="26">
        <v>65500</v>
      </c>
      <c r="U26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68" s="1"/>
      <c r="Y268" t="s">
        <v>809</v>
      </c>
      <c r="Z268" t="str">
        <f t="shared" si="4"/>
        <v>Null</v>
      </c>
      <c r="AE268" t="s">
        <v>538</v>
      </c>
      <c r="AF268" t="str">
        <f>TEXT(AE268,"000\.000\.000\-00")</f>
        <v>000.000.289-00</v>
      </c>
      <c r="AH268" s="15" t="s">
        <v>89</v>
      </c>
      <c r="AJ268" s="22">
        <v>12500</v>
      </c>
      <c r="AK268">
        <v>12500</v>
      </c>
      <c r="AM268" s="21">
        <v>51500</v>
      </c>
      <c r="AN268">
        <v>51500</v>
      </c>
      <c r="AO268">
        <v>51500</v>
      </c>
      <c r="BB268" s="26">
        <v>26500</v>
      </c>
      <c r="BC26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69" spans="1:55">
      <c r="A269" s="24" t="s">
        <v>76</v>
      </c>
      <c r="B269" s="17" t="s">
        <v>116</v>
      </c>
      <c r="C269" s="25" t="s">
        <v>117</v>
      </c>
      <c r="D269" s="54">
        <v>34</v>
      </c>
      <c r="E269" s="30">
        <v>33624</v>
      </c>
      <c r="F269" s="24" t="str">
        <f>TabelaClean[[#This Row],[CidadeCPF]]</f>
        <v>Pyke</v>
      </c>
      <c r="G269" s="17" t="str">
        <f>TabelaClean[[#This Row],[RegiaoCPF]]</f>
        <v>Ilhas De Ferro</v>
      </c>
      <c r="H269" s="17" t="str">
        <f>_xlfn.XLOOKUP(TabelaClean[[#This Row],[cpf]],TabelaDirty[cpfclean],TabelaDirty[cidade])</f>
        <v>Pyke</v>
      </c>
      <c r="I269" s="17" t="str">
        <f>_xlfn.XLOOKUP(TabelaClean[[#This Row],[cpf]],TabelaDirty[cpfclean],TabelaDirty[regiao])</f>
        <v>ilhas de ferro</v>
      </c>
      <c r="J269" s="17" t="str">
        <f>PROPER(TabelaClean[[#This Row],[Coluna1]])</f>
        <v>Ilhas De Ferro</v>
      </c>
      <c r="K269" s="17" t="e">
        <f>_xlfn.TEXTBEFORE(TabelaClean[[#This Row],[CidadeCPF]]," | ")</f>
        <v>#N/A</v>
      </c>
      <c r="L269" s="24" t="e">
        <f>_xlfn.TEXTAFTER(TabelaClean[[#This Row],[CidadeCPF]]," | ")</f>
        <v>#N/A</v>
      </c>
      <c r="M269" s="26">
        <v>8000</v>
      </c>
      <c r="N269" s="78">
        <v>14500</v>
      </c>
      <c r="O269" s="1" t="s">
        <v>51</v>
      </c>
      <c r="P26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69" s="84">
        <v>9</v>
      </c>
      <c r="R269" s="1" t="str" cm="1">
        <f t="array" ref="R269">_xlfn.IFS(TabelaClean[[#This Row],[qtde_batalhas]]&lt;=10,"Baixo",TabelaClean[[#This Row],[qtde_batalhas]]&gt;=26,"Alto",TabelaClean[[#This Row],[qtde_batalhas]]&lt;26,"Médio")</f>
        <v>Baixo</v>
      </c>
      <c r="S269" s="1" t="str">
        <f>IF(AND(TabelaClean[[#This Row],[nivel_risco]]="Alto",TabelaClean[[#This Row],[flag_inadimplente]]="Sim"),"Arriscado","Ok")</f>
        <v>Ok</v>
      </c>
      <c r="T269" s="26">
        <v>17500</v>
      </c>
      <c r="U269" s="81">
        <f>IF(AND(TabelaClean[[#This Row],[analise_risco]]="Arriscado",TabelaClean[[#This Row],[analise_credito]]="Reprovado"),0,IF(TabelaClean[[#This Row],[status]]="Ativo",TabelaClean[[#This Row],[valor_solicitado]]*1.08,0))</f>
        <v>18900</v>
      </c>
      <c r="W269" s="1"/>
      <c r="Y269" t="s">
        <v>809</v>
      </c>
      <c r="Z269" t="str">
        <f t="shared" si="4"/>
        <v>Null</v>
      </c>
      <c r="AE269" t="s">
        <v>478</v>
      </c>
      <c r="AF269" t="str">
        <f>TEXT(AE269,"000\.000\.000\-00")</f>
        <v>000.000.291-00</v>
      </c>
      <c r="AH269" s="15" t="s">
        <v>183</v>
      </c>
      <c r="AJ269" s="22">
        <v>17600</v>
      </c>
      <c r="AK269">
        <v>17600</v>
      </c>
      <c r="AM269" s="20">
        <v>44000</v>
      </c>
      <c r="AN269">
        <v>44000</v>
      </c>
      <c r="AO269">
        <v>44000</v>
      </c>
      <c r="BB269" s="26">
        <v>8000</v>
      </c>
      <c r="BC269" s="81">
        <f>IF(AND(TabelaClean[[#This Row],[analise_risco]]="Arriscado",TabelaClean[[#This Row],[analise_credito]]="Reprovado"),0,IF(TabelaClean[[#This Row],[status]]="Ativo",TabelaClean[[#This Row],[valor_solicitado]]*1.08,0))</f>
        <v>18900</v>
      </c>
    </row>
    <row r="270" spans="1:55">
      <c r="A270" s="24" t="s">
        <v>81</v>
      </c>
      <c r="B270" s="17" t="s">
        <v>354</v>
      </c>
      <c r="C270" s="25" t="s">
        <v>795</v>
      </c>
      <c r="D270" s="54">
        <f>_xlfn.XLOOKUP(TabelaClean[[#This Row],[nome]],Base_Dirty!B:B,Base_Dirty!E:E)</f>
        <v>30</v>
      </c>
      <c r="E270" s="51">
        <f>_xlfn.XLOOKUP(TabelaClean[[#This Row],[nome]],Base_Dirty!$B:$B,Base_Dirty!F:F)</f>
        <v>35200</v>
      </c>
      <c r="F270" s="50" t="s">
        <v>127</v>
      </c>
      <c r="G270" s="25" t="s">
        <v>122</v>
      </c>
      <c r="H270" s="24" t="s">
        <v>256</v>
      </c>
      <c r="I270" s="24">
        <v>26500</v>
      </c>
      <c r="J270" s="24">
        <v>14500</v>
      </c>
      <c r="K270" s="24">
        <v>0</v>
      </c>
      <c r="L270" s="24">
        <v>15</v>
      </c>
      <c r="M270" s="23">
        <f>_xlfn.XLOOKUP(TabelaClean[[#This Row],[nome]],Base_Dirty!$B:$B,Base_Dirty!I:I)</f>
        <v>26500</v>
      </c>
      <c r="N270" s="78">
        <f>_xlfn.XLOOKUP(TabelaClean[[#This Row],[nome]],Base_Dirty!$B:$B,Base_Dirty!J:J)</f>
        <v>14500</v>
      </c>
      <c r="O270" s="79"/>
      <c r="P27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270" s="84">
        <f>_xlfn.XLOOKUP(TabelaClean[[#This Row],[nome]],Base_Dirty!$B:$B,Base_Dirty!L:L)</f>
        <v>15</v>
      </c>
      <c r="R270" s="76" t="str" cm="1">
        <f t="array" ref="R270">_xlfn.IFS(TabelaClean[[#This Row],[qtde_batalhas]]&lt;=10,"Baixo",TabelaClean[[#This Row],[qtde_batalhas]]&gt;=26,"Alto",TabelaClean[[#This Row],[qtde_batalhas]]&lt;26,"Médio")</f>
        <v>Médio</v>
      </c>
      <c r="S270" s="76" t="str">
        <f>IF(AND(TabelaClean[[#This Row],[nivel_risco]]="Alto",TabelaClean[[#This Row],[flag_inadimplente]]="Sim"),"Arriscado","Ok")</f>
        <v>Ok</v>
      </c>
      <c r="T270" s="26">
        <f>_xlfn.XLOOKUP(TabelaClean[[#This Row],[nome]],Base_Dirty!$B:$B,Base_Dirty!O:O)</f>
        <v>65500</v>
      </c>
      <c r="U27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70" s="1"/>
      <c r="Y270" t="s">
        <v>108</v>
      </c>
      <c r="Z270" t="str">
        <f t="shared" si="4"/>
        <v>Oeste</v>
      </c>
      <c r="AE270" t="s">
        <v>305</v>
      </c>
      <c r="AF270" t="str">
        <f>TEXT(AE270,"000\.000\.000\-00")</f>
        <v>000.000.293-00</v>
      </c>
      <c r="AH270" s="15" t="s">
        <v>183</v>
      </c>
      <c r="AJ270" s="22">
        <v>14200</v>
      </c>
      <c r="AK270">
        <v>14200</v>
      </c>
      <c r="AM270" s="21">
        <v>51000</v>
      </c>
      <c r="AN270">
        <v>51000</v>
      </c>
      <c r="AO270">
        <v>51000</v>
      </c>
      <c r="BB270" s="23">
        <f>_xlfn.XLOOKUP(TabelaClean[[#This Row],[nome]],Base_Dirty!$B:$B,Base_Dirty!AX:AX)</f>
        <v>0</v>
      </c>
      <c r="BC27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71" spans="1:55">
      <c r="A271" s="24" t="s">
        <v>81</v>
      </c>
      <c r="B271" s="17" t="s">
        <v>354</v>
      </c>
      <c r="C271" t="str">
        <f>_xlfn.XLOOKUP(TabelaClean[[#This Row],[nome]],Base_Dirty!$B:$B,Base_Dirty!D:D)</f>
        <v>000.000.027-00</v>
      </c>
      <c r="D271" s="54">
        <f>_xlfn.XLOOKUP(TabelaClean[[#This Row],[nome]],Base_Dirty!B:B,Base_Dirty!E:E)</f>
        <v>30</v>
      </c>
      <c r="E271" s="30">
        <v>30</v>
      </c>
      <c r="F271" s="50" t="s">
        <v>127</v>
      </c>
      <c r="G271" s="25" t="s">
        <v>122</v>
      </c>
      <c r="H271" s="24" t="s">
        <v>256</v>
      </c>
      <c r="I271" s="24">
        <v>26500</v>
      </c>
      <c r="J271" s="24">
        <v>14500</v>
      </c>
      <c r="K271" s="24">
        <v>0</v>
      </c>
      <c r="L271" s="24">
        <v>15</v>
      </c>
      <c r="M271" s="23">
        <f>_xlfn.XLOOKUP(TabelaClean[[#This Row],[nome]],Base_Dirty!$B:$B,Base_Dirty!I:I)</f>
        <v>26500</v>
      </c>
      <c r="N271" s="78">
        <f>_xlfn.XLOOKUP(TabelaClean[[#This Row],[nome]],Base_Dirty!$B:$B,Base_Dirty!J:J)</f>
        <v>14500</v>
      </c>
      <c r="O271" s="79"/>
      <c r="P27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271" s="84">
        <f>_xlfn.XLOOKUP(TabelaClean[[#This Row],[nome]],Base_Dirty!$B:$B,Base_Dirty!L:L)</f>
        <v>15</v>
      </c>
      <c r="R271" s="76" t="str" cm="1">
        <f t="array" ref="R271">_xlfn.IFS(TabelaClean[[#This Row],[qtde_batalhas]]&lt;=10,"Baixo",TabelaClean[[#This Row],[qtde_batalhas]]&gt;=26,"Alto",TabelaClean[[#This Row],[qtde_batalhas]]&lt;26,"Médio")</f>
        <v>Médio</v>
      </c>
      <c r="S271" s="76" t="str">
        <f>IF(AND(TabelaClean[[#This Row],[nivel_risco]]="Alto",TabelaClean[[#This Row],[flag_inadimplente]]="Sim"),"Arriscado","Ok")</f>
        <v>Ok</v>
      </c>
      <c r="T271" s="26">
        <f>_xlfn.XLOOKUP(TabelaClean[[#This Row],[nome]],Base_Dirty!$B:$B,Base_Dirty!O:O)</f>
        <v>65500</v>
      </c>
      <c r="U27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71" s="1"/>
      <c r="Y271" t="s">
        <v>90</v>
      </c>
      <c r="Z271" t="str">
        <f t="shared" si="4"/>
        <v>Terras Da Coroa</v>
      </c>
      <c r="AE271" t="s">
        <v>640</v>
      </c>
      <c r="AF271" t="str">
        <f>TEXT(AE271,"000\.000\.000\-00")</f>
        <v>000.000.296-00</v>
      </c>
      <c r="AH271" s="15" t="s">
        <v>148</v>
      </c>
      <c r="AJ271" s="22">
        <v>13800</v>
      </c>
      <c r="AK271">
        <v>13800</v>
      </c>
      <c r="AM271" s="20">
        <v>62000</v>
      </c>
      <c r="AN271">
        <v>62000</v>
      </c>
      <c r="AO271">
        <v>62000</v>
      </c>
      <c r="BB271" s="23">
        <f>_xlfn.XLOOKUP(TabelaClean[[#This Row],[nome]],Base_Dirty!$B:$B,Base_Dirty!AX:AX)</f>
        <v>0</v>
      </c>
      <c r="BC27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72" spans="1:55">
      <c r="A272" s="24" t="s">
        <v>76</v>
      </c>
      <c r="B272" s="17" t="s">
        <v>953</v>
      </c>
      <c r="C272" s="25" t="s">
        <v>400</v>
      </c>
      <c r="D272" s="54">
        <v>55</v>
      </c>
      <c r="E272" s="30">
        <v>25880</v>
      </c>
      <c r="F272" s="24" t="str">
        <f>TabelaClean[[#This Row],[CidadeCPF]]</f>
        <v>Ponta Tempestade</v>
      </c>
      <c r="G272" s="17" t="str">
        <f>TabelaClean[[#This Row],[RegiaoCPF]]</f>
        <v>Terras Da Tempestade</v>
      </c>
      <c r="H272" s="17" t="str">
        <f>_xlfn.XLOOKUP(TabelaClean[[#This Row],[cpf]],TabelaDirty[cpfclean],TabelaDirty[cidade])</f>
        <v>Ponta Tempestade</v>
      </c>
      <c r="I272" s="17" t="str">
        <f>_xlfn.XLOOKUP(TabelaClean[[#This Row],[cpf]],TabelaDirty[cpfclean],TabelaDirty[regiao])</f>
        <v>Terras da Tempestade</v>
      </c>
      <c r="J272" s="17" t="str">
        <f>PROPER(TabelaClean[[#This Row],[Coluna1]])</f>
        <v>Terras Da Tempestade</v>
      </c>
      <c r="K272" s="17" t="e">
        <f>_xlfn.TEXTBEFORE(TabelaClean[[#This Row],[CidadeCPF]]," | ")</f>
        <v>#N/A</v>
      </c>
      <c r="L272" s="24" t="e">
        <f>_xlfn.TEXTAFTER(TabelaClean[[#This Row],[CidadeCPF]]," | ")</f>
        <v>#N/A</v>
      </c>
      <c r="M272" s="26">
        <v>27500</v>
      </c>
      <c r="N272" s="78">
        <v>14000</v>
      </c>
      <c r="O272" s="1" t="s">
        <v>51</v>
      </c>
      <c r="P27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2" s="84">
        <v>3</v>
      </c>
      <c r="R272" s="1" t="str" cm="1">
        <f t="array" ref="R272">_xlfn.IFS(TabelaClean[[#This Row],[qtde_batalhas]]&lt;=10,"Baixo",TabelaClean[[#This Row],[qtde_batalhas]]&gt;=26,"Alto",TabelaClean[[#This Row],[qtde_batalhas]]&lt;26,"Médio")</f>
        <v>Baixo</v>
      </c>
      <c r="S272" s="1" t="str">
        <f>IF(AND(TabelaClean[[#This Row],[nivel_risco]]="Alto",TabelaClean[[#This Row],[flag_inadimplente]]="Sim"),"Arriscado","Ok")</f>
        <v>Ok</v>
      </c>
      <c r="T272" s="26">
        <v>11500</v>
      </c>
      <c r="U272" s="81">
        <f>IF(AND(TabelaClean[[#This Row],[analise_risco]]="Arriscado",TabelaClean[[#This Row],[analise_credito]]="Reprovado"),0,IF(TabelaClean[[#This Row],[status]]="Ativo",TabelaClean[[#This Row],[valor_solicitado]]*1.08,0))</f>
        <v>12420</v>
      </c>
      <c r="W272" s="1"/>
      <c r="Y272" t="s">
        <v>809</v>
      </c>
      <c r="Z272" t="str">
        <f t="shared" si="4"/>
        <v>Null</v>
      </c>
      <c r="AE272" t="s">
        <v>400</v>
      </c>
      <c r="AF272" t="str">
        <f>TEXT(AE272,"000\.000\.000\-00")</f>
        <v>000.000.297-00</v>
      </c>
      <c r="AH272" s="15" t="s">
        <v>103</v>
      </c>
      <c r="AJ272" s="22" t="s">
        <v>85</v>
      </c>
      <c r="AK272">
        <v>11000</v>
      </c>
      <c r="AM272" s="21">
        <v>76500</v>
      </c>
      <c r="AN272">
        <v>76500</v>
      </c>
      <c r="AO272">
        <v>76500</v>
      </c>
      <c r="BB272" s="26">
        <v>27500</v>
      </c>
      <c r="BC272" s="81">
        <f>IF(AND(TabelaClean[[#This Row],[analise_risco]]="Arriscado",TabelaClean[[#This Row],[analise_credito]]="Reprovado"),0,IF(TabelaClean[[#This Row],[status]]="Ativo",TabelaClean[[#This Row],[valor_solicitado]]*1.08,0))</f>
        <v>12420</v>
      </c>
    </row>
    <row r="273" spans="1:55">
      <c r="A273" s="24" t="s">
        <v>76</v>
      </c>
      <c r="B273" s="17" t="s">
        <v>557</v>
      </c>
      <c r="C273" s="25" t="s">
        <v>558</v>
      </c>
      <c r="D273" s="54">
        <v>72</v>
      </c>
      <c r="E273" s="30">
        <v>19800</v>
      </c>
      <c r="F273" s="24" t="str">
        <f>TabelaClean[[#This Row],[CidadeCPF]]</f>
        <v>Correrrio</v>
      </c>
      <c r="G273" s="17" t="str">
        <f>TabelaClean[[#This Row],[RegiaoCPF]]</f>
        <v>Terras Fluviais</v>
      </c>
      <c r="H273" s="17" t="str">
        <f>_xlfn.XLOOKUP(TabelaClean[[#This Row],[cpf]],TabelaDirty[cpfclean],TabelaDirty[cidade])</f>
        <v>Correrrio</v>
      </c>
      <c r="I273" s="17" t="str">
        <f>_xlfn.XLOOKUP(TabelaClean[[#This Row],[cpf]],TabelaDirty[cpfclean],TabelaDirty[regiao])</f>
        <v>Terras Fluviais</v>
      </c>
      <c r="J273" s="17" t="str">
        <f>PROPER(TabelaClean[[#This Row],[Coluna1]])</f>
        <v>Terras Fluviais</v>
      </c>
      <c r="K273" s="17" t="e">
        <f>_xlfn.TEXTBEFORE(TabelaClean[[#This Row],[CidadeCPF]]," | ")</f>
        <v>#N/A</v>
      </c>
      <c r="L273" s="24" t="e">
        <f>_xlfn.TEXTAFTER(TabelaClean[[#This Row],[CidadeCPF]]," | ")</f>
        <v>#N/A</v>
      </c>
      <c r="M273" s="26">
        <v>24300</v>
      </c>
      <c r="N273" s="78">
        <v>13500</v>
      </c>
      <c r="O273" s="1" t="s">
        <v>51</v>
      </c>
      <c r="P27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3" s="84">
        <v>33</v>
      </c>
      <c r="R273" s="1" t="str" cm="1">
        <f t="array" ref="R273">_xlfn.IFS(TabelaClean[[#This Row],[qtde_batalhas]]&lt;=10,"Baixo",TabelaClean[[#This Row],[qtde_batalhas]]&gt;=26,"Alto",TabelaClean[[#This Row],[qtde_batalhas]]&lt;26,"Médio")</f>
        <v>Alto</v>
      </c>
      <c r="S273" s="1" t="str">
        <f>IF(AND(TabelaClean[[#This Row],[nivel_risco]]="Alto",TabelaClean[[#This Row],[flag_inadimplente]]="Sim"),"Arriscado","Ok")</f>
        <v>Arriscado</v>
      </c>
      <c r="T273" s="26">
        <v>14500</v>
      </c>
      <c r="U273" s="81">
        <f>IF(AND(TabelaClean[[#This Row],[analise_risco]]="Arriscado",TabelaClean[[#This Row],[analise_credito]]="Reprovado"),0,IF(TabelaClean[[#This Row],[status]]="Ativo",TabelaClean[[#This Row],[valor_solicitado]]*1.08,0))</f>
        <v>15660.000000000002</v>
      </c>
      <c r="W273" s="1"/>
      <c r="Y273" t="s">
        <v>149</v>
      </c>
      <c r="Z273" t="str">
        <f t="shared" si="4"/>
        <v>Campina</v>
      </c>
      <c r="AE273" t="s">
        <v>724</v>
      </c>
      <c r="AF273" t="str">
        <f>TEXT(AE273,"000\.000\.000\-00")</f>
        <v>000.000.298-00</v>
      </c>
      <c r="AH273" s="15" t="s">
        <v>141</v>
      </c>
      <c r="AJ273" s="22">
        <v>5100</v>
      </c>
      <c r="AK273">
        <v>5100</v>
      </c>
      <c r="AM273" s="20">
        <v>17000</v>
      </c>
      <c r="AN273">
        <v>17000</v>
      </c>
      <c r="AO273">
        <v>17000</v>
      </c>
      <c r="BB273" s="26">
        <v>24300</v>
      </c>
      <c r="BC273" s="81">
        <f>IF(AND(TabelaClean[[#This Row],[analise_risco]]="Arriscado",TabelaClean[[#This Row],[analise_credito]]="Reprovado"),0,IF(TabelaClean[[#This Row],[status]]="Ativo",TabelaClean[[#This Row],[valor_solicitado]]*1.08,0))</f>
        <v>15660.000000000002</v>
      </c>
    </row>
    <row r="274" spans="1:55">
      <c r="A274" s="29" t="s">
        <v>809</v>
      </c>
      <c r="B274" s="17" t="s">
        <v>490</v>
      </c>
      <c r="C274" s="25" t="s">
        <v>491</v>
      </c>
      <c r="D274" s="54">
        <v>56</v>
      </c>
      <c r="E274" s="30">
        <v>25705</v>
      </c>
      <c r="F274" s="24" t="str">
        <f>TabelaClean[[#This Row],[CidadeCPF]]</f>
        <v>Porto Real</v>
      </c>
      <c r="G274" s="17" t="str">
        <f>TabelaClean[[#This Row],[RegiaoCPF]]</f>
        <v>Terras Da Coroa</v>
      </c>
      <c r="H274" s="17" t="str">
        <f>_xlfn.XLOOKUP(TabelaClean[[#This Row],[cpf]],TabelaDirty[cpfclean],TabelaDirty[cidade])</f>
        <v>Porto Real</v>
      </c>
      <c r="I274" s="17" t="str">
        <f>_xlfn.XLOOKUP(TabelaClean[[#This Row],[cpf]],TabelaDirty[cpfclean],TabelaDirty[regiao])</f>
        <v>Terras da Coroa</v>
      </c>
      <c r="J274" s="17" t="str">
        <f>PROPER(TabelaClean[[#This Row],[Coluna1]])</f>
        <v>Terras Da Coroa</v>
      </c>
      <c r="K274" s="17" t="e">
        <f>_xlfn.TEXTBEFORE(TabelaClean[[#This Row],[CidadeCPF]]," | ")</f>
        <v>#N/A</v>
      </c>
      <c r="L274" s="24" t="e">
        <f>_xlfn.TEXTAFTER(TabelaClean[[#This Row],[CidadeCPF]]," | ")</f>
        <v>#N/A</v>
      </c>
      <c r="M274" s="26">
        <v>11100</v>
      </c>
      <c r="N274" s="78">
        <v>13000</v>
      </c>
      <c r="O274" s="1" t="s">
        <v>50</v>
      </c>
      <c r="P27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4" s="84">
        <v>38</v>
      </c>
      <c r="R274" s="1" t="str" cm="1">
        <f t="array" ref="R274">_xlfn.IFS(TabelaClean[[#This Row],[qtde_batalhas]]&lt;=10,"Baixo",TabelaClean[[#This Row],[qtde_batalhas]]&gt;=26,"Alto",TabelaClean[[#This Row],[qtde_batalhas]]&lt;26,"Médio")</f>
        <v>Alto</v>
      </c>
      <c r="S274" s="1" t="str">
        <f>IF(AND(TabelaClean[[#This Row],[nivel_risco]]="Alto",TabelaClean[[#This Row],[flag_inadimplente]]="Sim"),"Arriscado","Ok")</f>
        <v>Ok</v>
      </c>
      <c r="T274" s="26">
        <v>88000</v>
      </c>
      <c r="U27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74" s="1"/>
      <c r="Y274" t="s">
        <v>809</v>
      </c>
      <c r="Z274" t="str">
        <f t="shared" si="4"/>
        <v>Null</v>
      </c>
      <c r="AE274" t="s">
        <v>510</v>
      </c>
      <c r="AF274" t="str">
        <f>TEXT(AE274,"000\.000\.000\-00")</f>
        <v>000.000.301-00</v>
      </c>
      <c r="AH274" s="15" t="s">
        <v>172</v>
      </c>
      <c r="AJ274" s="22">
        <v>8800</v>
      </c>
      <c r="AK274">
        <v>8800</v>
      </c>
      <c r="AM274" s="21">
        <v>66000</v>
      </c>
      <c r="AN274">
        <v>66000</v>
      </c>
      <c r="AO274">
        <v>66000</v>
      </c>
      <c r="BB274" s="26">
        <v>11100</v>
      </c>
      <c r="BC27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75" spans="1:55">
      <c r="A275" s="24" t="s">
        <v>76</v>
      </c>
      <c r="B275" s="17" t="s">
        <v>124</v>
      </c>
      <c r="C275" s="25" t="s">
        <v>125</v>
      </c>
      <c r="D275" s="54">
        <v>33</v>
      </c>
      <c r="E275" s="30">
        <v>34147</v>
      </c>
      <c r="F275" s="24" t="str">
        <f>TabelaClean[[#This Row],[CidadeCPF]]</f>
        <v>Meereen</v>
      </c>
      <c r="G275" s="17" t="str">
        <f>TabelaClean[[#This Row],[RegiaoCPF]]</f>
        <v>Essos</v>
      </c>
      <c r="H275" s="17" t="str">
        <f>_xlfn.XLOOKUP(TabelaClean[[#This Row],[cpf]],TabelaDirty[cpfclean],TabelaDirty[cidade])</f>
        <v>Meereen</v>
      </c>
      <c r="I275" s="17" t="str">
        <f>_xlfn.XLOOKUP(TabelaClean[[#This Row],[cpf]],TabelaDirty[cpfclean],TabelaDirty[regiao])</f>
        <v>Essos</v>
      </c>
      <c r="J275" s="17" t="str">
        <f>PROPER(TabelaClean[[#This Row],[Coluna1]])</f>
        <v>Essos</v>
      </c>
      <c r="K275" s="17" t="e">
        <f>_xlfn.TEXTBEFORE(TabelaClean[[#This Row],[CidadeCPF]]," | ")</f>
        <v>#N/A</v>
      </c>
      <c r="L275" s="24" t="e">
        <f>_xlfn.TEXTAFTER(TabelaClean[[#This Row],[CidadeCPF]]," | ")</f>
        <v>#N/A</v>
      </c>
      <c r="M275" s="26">
        <v>28700</v>
      </c>
      <c r="N275" s="78">
        <v>12500</v>
      </c>
      <c r="O275" s="1" t="s">
        <v>51</v>
      </c>
      <c r="P27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5" s="84">
        <v>41</v>
      </c>
      <c r="R275" s="1" t="str" cm="1">
        <f t="array" ref="R275">_xlfn.IFS(TabelaClean[[#This Row],[qtde_batalhas]]&lt;=10,"Baixo",TabelaClean[[#This Row],[qtde_batalhas]]&gt;=26,"Alto",TabelaClean[[#This Row],[qtde_batalhas]]&lt;26,"Médio")</f>
        <v>Alto</v>
      </c>
      <c r="S275" s="1" t="str">
        <f>IF(AND(TabelaClean[[#This Row],[nivel_risco]]="Alto",TabelaClean[[#This Row],[flag_inadimplente]]="Sim"),"Arriscado","Ok")</f>
        <v>Arriscado</v>
      </c>
      <c r="T275" s="26">
        <v>99500</v>
      </c>
      <c r="U275" s="81">
        <f>IF(AND(TabelaClean[[#This Row],[analise_risco]]="Arriscado",TabelaClean[[#This Row],[analise_credito]]="Reprovado"),0,IF(TabelaClean[[#This Row],[status]]="Ativo",TabelaClean[[#This Row],[valor_solicitado]]*1.08,0))</f>
        <v>107460</v>
      </c>
      <c r="W275" s="1"/>
      <c r="Y275" t="s">
        <v>108</v>
      </c>
      <c r="Z275" t="str">
        <f t="shared" si="4"/>
        <v>Oeste</v>
      </c>
      <c r="AE275" t="s">
        <v>738</v>
      </c>
      <c r="AF275" t="str">
        <f>TEXT(AE275,"000\.000\.000\-00")</f>
        <v>000.000.302-00</v>
      </c>
      <c r="AH275" s="15" t="s">
        <v>302</v>
      </c>
      <c r="AJ275" s="22">
        <v>9000</v>
      </c>
      <c r="AK275">
        <v>9000</v>
      </c>
      <c r="AM275" s="20">
        <v>66000</v>
      </c>
      <c r="AN275">
        <v>66000</v>
      </c>
      <c r="AO275">
        <v>66000</v>
      </c>
      <c r="BB275" s="26">
        <v>28700</v>
      </c>
      <c r="BC275" s="81">
        <f>IF(AND(TabelaClean[[#This Row],[analise_risco]]="Arriscado",TabelaClean[[#This Row],[analise_credito]]="Reprovado"),0,IF(TabelaClean[[#This Row],[status]]="Ativo",TabelaClean[[#This Row],[valor_solicitado]]*1.08,0))</f>
        <v>107460</v>
      </c>
    </row>
    <row r="276" spans="1:55">
      <c r="A276" s="24" t="s">
        <v>76</v>
      </c>
      <c r="B276" s="17" t="s">
        <v>799</v>
      </c>
      <c r="C276" s="25" t="s">
        <v>800</v>
      </c>
      <c r="D276" s="54">
        <v>49</v>
      </c>
      <c r="E276" s="30">
        <v>28136</v>
      </c>
      <c r="F276" s="24" t="str">
        <f>TabelaClean[[#This Row],[CidadeCPF]]</f>
        <v>Jardim de Cima</v>
      </c>
      <c r="G276" s="17" t="str">
        <f>TabelaClean[[#This Row],[RegiaoCPF]]</f>
        <v>Campina</v>
      </c>
      <c r="H276" s="17" t="str">
        <f>_xlfn.XLOOKUP(TabelaClean[[#This Row],[cpf]],TabelaDirty[cpfclean],TabelaDirty[cidade])</f>
        <v>Jardim de Cima</v>
      </c>
      <c r="I276" s="17" t="str">
        <f>_xlfn.XLOOKUP(TabelaClean[[#This Row],[cpf]],TabelaDirty[cpfclean],TabelaDirty[regiao])</f>
        <v>campina</v>
      </c>
      <c r="J276" s="17" t="str">
        <f>PROPER(TabelaClean[[#This Row],[Coluna1]])</f>
        <v>Campina</v>
      </c>
      <c r="K276" s="17" t="e">
        <f>_xlfn.TEXTBEFORE(TabelaClean[[#This Row],[CidadeCPF]]," | ")</f>
        <v>#N/A</v>
      </c>
      <c r="L276" s="24" t="e">
        <f>_xlfn.TEXTAFTER(TabelaClean[[#This Row],[CidadeCPF]]," | ")</f>
        <v>#N/A</v>
      </c>
      <c r="M276" s="26">
        <v>20300</v>
      </c>
      <c r="N276" s="78">
        <v>12000</v>
      </c>
      <c r="O276" s="1" t="s">
        <v>51</v>
      </c>
      <c r="P27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6" s="84">
        <v>27</v>
      </c>
      <c r="R276" s="1" t="str" cm="1">
        <f t="array" ref="R276">_xlfn.IFS(TabelaClean[[#This Row],[qtde_batalhas]]&lt;=10,"Baixo",TabelaClean[[#This Row],[qtde_batalhas]]&gt;=26,"Alto",TabelaClean[[#This Row],[qtde_batalhas]]&lt;26,"Médio")</f>
        <v>Alto</v>
      </c>
      <c r="S276" s="1" t="str">
        <f>IF(AND(TabelaClean[[#This Row],[nivel_risco]]="Alto",TabelaClean[[#This Row],[flag_inadimplente]]="Sim"),"Arriscado","Ok")</f>
        <v>Arriscado</v>
      </c>
      <c r="T276" s="26">
        <v>67500</v>
      </c>
      <c r="U276" s="81">
        <f>IF(AND(TabelaClean[[#This Row],[analise_risco]]="Arriscado",TabelaClean[[#This Row],[analise_credito]]="Reprovado"),0,IF(TabelaClean[[#This Row],[status]]="Ativo",TabelaClean[[#This Row],[valor_solicitado]]*1.08,0))</f>
        <v>72900</v>
      </c>
      <c r="W276" s="1"/>
      <c r="Y276" t="s">
        <v>809</v>
      </c>
      <c r="Z276" t="str">
        <f t="shared" si="4"/>
        <v>Null</v>
      </c>
      <c r="AE276" t="s">
        <v>569</v>
      </c>
      <c r="AF276" t="str">
        <f>TEXT(AE276,"000\.000\.000\-00")</f>
        <v>000.000.303-00</v>
      </c>
      <c r="AH276" s="15" t="s">
        <v>162</v>
      </c>
      <c r="AJ276" s="22">
        <v>27600</v>
      </c>
      <c r="AK276">
        <v>27600</v>
      </c>
      <c r="AM276" s="21">
        <v>37000</v>
      </c>
      <c r="AN276">
        <v>37000</v>
      </c>
      <c r="AO276">
        <v>37000</v>
      </c>
      <c r="BB276" s="26">
        <v>20300</v>
      </c>
      <c r="BC276" s="81">
        <f>IF(AND(TabelaClean[[#This Row],[analise_risco]]="Arriscado",TabelaClean[[#This Row],[analise_credito]]="Reprovado"),0,IF(TabelaClean[[#This Row],[status]]="Ativo",TabelaClean[[#This Row],[valor_solicitado]]*1.08,0))</f>
        <v>72900</v>
      </c>
    </row>
    <row r="277" spans="1:55">
      <c r="A277" s="24" t="s">
        <v>76</v>
      </c>
      <c r="B277" s="17" t="s">
        <v>583</v>
      </c>
      <c r="C277" s="25" t="s">
        <v>584</v>
      </c>
      <c r="D277" s="54">
        <v>27</v>
      </c>
      <c r="E277" s="30">
        <v>36288</v>
      </c>
      <c r="F277" s="24" t="str">
        <f>TabelaClean[[#This Row],[CidadeCPF]]</f>
        <v>Winterfell</v>
      </c>
      <c r="G277" s="17" t="str">
        <f>TabelaClean[[#This Row],[RegiaoCPF]]</f>
        <v>Norte</v>
      </c>
      <c r="H277" s="17" t="str">
        <f>_xlfn.XLOOKUP(TabelaClean[[#This Row],[cpf]],TabelaDirty[cpfclean],TabelaDirty[cidade])</f>
        <v>Winterfell</v>
      </c>
      <c r="I277" s="17" t="str">
        <f>_xlfn.XLOOKUP(TabelaClean[[#This Row],[cpf]],TabelaDirty[cpfclean],TabelaDirty[regiao])</f>
        <v>Norte</v>
      </c>
      <c r="J277" s="17" t="str">
        <f>PROPER(TabelaClean[[#This Row],[Coluna1]])</f>
        <v>Norte</v>
      </c>
      <c r="K277" s="17" t="e">
        <f>_xlfn.TEXTBEFORE(TabelaClean[[#This Row],[CidadeCPF]]," | ")</f>
        <v>#N/A</v>
      </c>
      <c r="L277" s="24" t="e">
        <f>_xlfn.TEXTAFTER(TabelaClean[[#This Row],[CidadeCPF]]," | ")</f>
        <v>#N/A</v>
      </c>
      <c r="M277" s="26">
        <v>29700</v>
      </c>
      <c r="N277" s="78">
        <v>12000</v>
      </c>
      <c r="O277" s="1" t="s">
        <v>51</v>
      </c>
      <c r="P27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7" s="84">
        <v>37</v>
      </c>
      <c r="R277" s="1" t="str" cm="1">
        <f t="array" ref="R277">_xlfn.IFS(TabelaClean[[#This Row],[qtde_batalhas]]&lt;=10,"Baixo",TabelaClean[[#This Row],[qtde_batalhas]]&gt;=26,"Alto",TabelaClean[[#This Row],[qtde_batalhas]]&lt;26,"Médio")</f>
        <v>Alto</v>
      </c>
      <c r="S277" s="1" t="str">
        <f>IF(AND(TabelaClean[[#This Row],[nivel_risco]]="Alto",TabelaClean[[#This Row],[flag_inadimplente]]="Sim"),"Arriscado","Ok")</f>
        <v>Arriscado</v>
      </c>
      <c r="T277" s="26">
        <v>49000</v>
      </c>
      <c r="U277" s="81">
        <f>IF(AND(TabelaClean[[#This Row],[analise_risco]]="Arriscado",TabelaClean[[#This Row],[analise_credito]]="Reprovado"),0,IF(TabelaClean[[#This Row],[status]]="Ativo",TabelaClean[[#This Row],[valor_solicitado]]*1.08,0))</f>
        <v>52920</v>
      </c>
      <c r="W277" s="1"/>
      <c r="Y277" t="s">
        <v>809</v>
      </c>
      <c r="Z277" t="str">
        <f t="shared" si="4"/>
        <v>Null</v>
      </c>
      <c r="AE277" t="s">
        <v>545</v>
      </c>
      <c r="AF277" t="str">
        <f>TEXT(AE277,"000\.000\.000\-00")</f>
        <v>000.000.304-00</v>
      </c>
      <c r="AH277" s="15" t="s">
        <v>79</v>
      </c>
      <c r="AJ277" s="22" t="s">
        <v>390</v>
      </c>
      <c r="AK277">
        <v>22900</v>
      </c>
      <c r="AM277" s="20">
        <v>65500</v>
      </c>
      <c r="AN277">
        <v>65500</v>
      </c>
      <c r="AO277">
        <v>65500</v>
      </c>
      <c r="BB277" s="26">
        <v>29700</v>
      </c>
      <c r="BC277" s="81">
        <f>IF(AND(TabelaClean[[#This Row],[analise_risco]]="Arriscado",TabelaClean[[#This Row],[analise_credito]]="Reprovado"),0,IF(TabelaClean[[#This Row],[status]]="Ativo",TabelaClean[[#This Row],[valor_solicitado]]*1.08,0))</f>
        <v>52920</v>
      </c>
    </row>
    <row r="278" spans="1:55">
      <c r="A278" s="24" t="s">
        <v>81</v>
      </c>
      <c r="B278" s="17" t="s">
        <v>599</v>
      </c>
      <c r="C278" s="25" t="s">
        <v>925</v>
      </c>
      <c r="D278" s="54">
        <v>55</v>
      </c>
      <c r="E278" s="30">
        <v>25895</v>
      </c>
      <c r="F278" s="24" t="str">
        <f>TabelaClean[[#This Row],[CidadeCPF]]</f>
        <v>Meereen</v>
      </c>
      <c r="G278" s="17" t="str">
        <f>TabelaClean[[#This Row],[RegiaoCPF]]</f>
        <v>Essos</v>
      </c>
      <c r="H278" s="17" t="str">
        <f>_xlfn.XLOOKUP(TabelaClean[[#This Row],[cpf]],TabelaDirty[cpfclean],TabelaDirty[cidade])</f>
        <v>Meereen</v>
      </c>
      <c r="I278" s="17" t="str">
        <f>_xlfn.XLOOKUP(TabelaClean[[#This Row],[cpf]],TabelaDirty[cpfclean],TabelaDirty[regiao])</f>
        <v>Essos</v>
      </c>
      <c r="J278" s="17" t="str">
        <f>PROPER(TabelaClean[[#This Row],[Coluna1]])</f>
        <v>Essos</v>
      </c>
      <c r="K278" s="17" t="e">
        <f>_xlfn.TEXTBEFORE(TabelaClean[[#This Row],[CidadeCPF]]," | ")</f>
        <v>#N/A</v>
      </c>
      <c r="L278" s="24" t="e">
        <f>_xlfn.TEXTAFTER(TabelaClean[[#This Row],[CidadeCPF]]," | ")</f>
        <v>#N/A</v>
      </c>
      <c r="M278" s="26">
        <v>6800</v>
      </c>
      <c r="N278" s="78">
        <v>12000</v>
      </c>
      <c r="O278" s="1" t="s">
        <v>50</v>
      </c>
      <c r="P27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8" s="84">
        <v>6</v>
      </c>
      <c r="R278" s="1" t="str" cm="1">
        <f t="array" ref="R278">_xlfn.IFS(TabelaClean[[#This Row],[qtde_batalhas]]&lt;=10,"Baixo",TabelaClean[[#This Row],[qtde_batalhas]]&gt;=26,"Alto",TabelaClean[[#This Row],[qtde_batalhas]]&lt;26,"Médio")</f>
        <v>Baixo</v>
      </c>
      <c r="S278" s="1" t="str">
        <f>IF(AND(TabelaClean[[#This Row],[nivel_risco]]="Alto",TabelaClean[[#This Row],[flag_inadimplente]]="Sim"),"Arriscado","Ok")</f>
        <v>Ok</v>
      </c>
      <c r="T278" s="26">
        <v>11000</v>
      </c>
      <c r="U27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78" s="1"/>
      <c r="Y278" t="s">
        <v>149</v>
      </c>
      <c r="Z278" t="str">
        <f t="shared" si="4"/>
        <v>Campina</v>
      </c>
      <c r="AE278" t="s">
        <v>178</v>
      </c>
      <c r="AF278" t="str">
        <f>TEXT(AE278,"000\.000\.000\-00")</f>
        <v>000.000.306-00</v>
      </c>
      <c r="AH278" s="15" t="s">
        <v>79</v>
      </c>
      <c r="AJ278" s="22">
        <v>7200</v>
      </c>
      <c r="AK278">
        <v>7200</v>
      </c>
      <c r="AM278" s="21">
        <v>16000</v>
      </c>
      <c r="AN278">
        <v>16000</v>
      </c>
      <c r="AO278">
        <v>16000</v>
      </c>
      <c r="BB278" s="26">
        <v>6800</v>
      </c>
      <c r="BC27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79" spans="1:55">
      <c r="A279" s="24" t="s">
        <v>76</v>
      </c>
      <c r="B279" s="17" t="s">
        <v>954</v>
      </c>
      <c r="C279" s="25" t="s">
        <v>800</v>
      </c>
      <c r="D279" s="54">
        <v>49</v>
      </c>
      <c r="E279" s="30">
        <v>28126</v>
      </c>
      <c r="F279" s="25" t="s">
        <v>955</v>
      </c>
      <c r="G279" s="25" t="s">
        <v>149</v>
      </c>
      <c r="H279" s="24">
        <v>20300</v>
      </c>
      <c r="I279" s="24">
        <v>12000</v>
      </c>
      <c r="J279" s="24" t="s">
        <v>51</v>
      </c>
      <c r="K279" s="24">
        <v>27</v>
      </c>
      <c r="L279" s="24"/>
      <c r="M279" s="26">
        <v>67500</v>
      </c>
      <c r="N279" s="78">
        <v>12000</v>
      </c>
      <c r="O279" s="1" t="s">
        <v>51</v>
      </c>
      <c r="P279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79" s="84">
        <v>27</v>
      </c>
      <c r="R279" s="76" t="str" cm="1">
        <f t="array" ref="R279">_xlfn.IFS(TabelaClean[[#This Row],[qtde_batalhas]]&lt;=10,"Baixo",TabelaClean[[#This Row],[qtde_batalhas]]&gt;=26,"Alto",TabelaClean[[#This Row],[qtde_batalhas]]&lt;26,"Médio")</f>
        <v>Alto</v>
      </c>
      <c r="S279" s="76" t="str">
        <f>IF(AND(TabelaClean[[#This Row],[nivel_risco]]="Alto",TabelaClean[[#This Row],[flag_inadimplente]]="Sim"),"Arriscado","Ok")</f>
        <v>Arriscado</v>
      </c>
      <c r="T279" s="26">
        <v>67500</v>
      </c>
      <c r="U279" s="81">
        <f>IF(AND(TabelaClean[[#This Row],[analise_risco]]="Arriscado",TabelaClean[[#This Row],[analise_credito]]="Reprovado"),0,IF(TabelaClean[[#This Row],[status]]="Ativo",TabelaClean[[#This Row],[valor_solicitado]]*1.08,0))</f>
        <v>72900</v>
      </c>
      <c r="W279" s="1"/>
      <c r="Y279" t="s">
        <v>122</v>
      </c>
      <c r="Z279" t="str">
        <f t="shared" si="4"/>
        <v>Essos</v>
      </c>
      <c r="AE279" t="s">
        <v>333</v>
      </c>
      <c r="AF279" t="str">
        <f>TEXT(AE279,"000\.000\.000\-00")</f>
        <v>000.000.308-00</v>
      </c>
      <c r="AH279" s="15" t="s">
        <v>79</v>
      </c>
      <c r="AJ279" s="22">
        <v>29200</v>
      </c>
      <c r="AK279">
        <v>29200</v>
      </c>
      <c r="AM279" s="20">
        <v>73500</v>
      </c>
      <c r="AN279">
        <v>73500</v>
      </c>
      <c r="AO279">
        <v>73500</v>
      </c>
      <c r="BB279" s="26">
        <v>67500</v>
      </c>
      <c r="BC279" s="81">
        <f>IF(AND(TabelaClean[[#This Row],[analise_risco]]="Arriscado",TabelaClean[[#This Row],[analise_credito]]="Reprovado"),0,IF(TabelaClean[[#This Row],[status]]="Ativo",TabelaClean[[#This Row],[valor_solicitado]]*1.08,0))</f>
        <v>72900</v>
      </c>
    </row>
    <row r="280" spans="1:55">
      <c r="A280" s="24" t="s">
        <v>76</v>
      </c>
      <c r="B280" s="17" t="s">
        <v>775</v>
      </c>
      <c r="C280" s="25" t="s">
        <v>776</v>
      </c>
      <c r="D280" s="54">
        <v>48</v>
      </c>
      <c r="E280" s="30">
        <v>28689</v>
      </c>
      <c r="F280" s="24" t="str">
        <f>TabelaClean[[#This Row],[CidadeCPF]]</f>
        <v>Ponta Tempestade</v>
      </c>
      <c r="G280" s="17" t="str">
        <f>TabelaClean[[#This Row],[RegiaoCPF]]</f>
        <v>Terras Da Tempestade</v>
      </c>
      <c r="H280" s="17" t="str">
        <f>_xlfn.XLOOKUP(TabelaClean[[#This Row],[cpf]],TabelaDirty[cpfclean],TabelaDirty[cidade])</f>
        <v>Ponta Tempestade</v>
      </c>
      <c r="I280" s="17" t="str">
        <f>_xlfn.XLOOKUP(TabelaClean[[#This Row],[cpf]],TabelaDirty[cpfclean],TabelaDirty[regiao])</f>
        <v>Terras da Tempestade</v>
      </c>
      <c r="J280" s="17" t="str">
        <f>PROPER(TabelaClean[[#This Row],[Coluna1]])</f>
        <v>Terras Da Tempestade</v>
      </c>
      <c r="K280" s="17" t="e">
        <f>_xlfn.TEXTBEFORE(TabelaClean[[#This Row],[CidadeCPF]]," | ")</f>
        <v>#N/A</v>
      </c>
      <c r="L280" s="24" t="e">
        <f>_xlfn.TEXTAFTER(TabelaClean[[#This Row],[CidadeCPF]]," | ")</f>
        <v>#N/A</v>
      </c>
      <c r="M280" s="26">
        <v>18700</v>
      </c>
      <c r="N280" s="78">
        <v>11000</v>
      </c>
      <c r="O280" s="1" t="s">
        <v>51</v>
      </c>
      <c r="P28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0" s="84">
        <v>28</v>
      </c>
      <c r="R280" s="1" t="str" cm="1">
        <f t="array" ref="R280">_xlfn.IFS(TabelaClean[[#This Row],[qtde_batalhas]]&lt;=10,"Baixo",TabelaClean[[#This Row],[qtde_batalhas]]&gt;=26,"Alto",TabelaClean[[#This Row],[qtde_batalhas]]&lt;26,"Médio")</f>
        <v>Alto</v>
      </c>
      <c r="S280" s="1" t="str">
        <f>IF(AND(TabelaClean[[#This Row],[nivel_risco]]="Alto",TabelaClean[[#This Row],[flag_inadimplente]]="Sim"),"Arriscado","Ok")</f>
        <v>Arriscado</v>
      </c>
      <c r="T280" s="26">
        <v>18000</v>
      </c>
      <c r="U280" s="81">
        <f>IF(AND(TabelaClean[[#This Row],[analise_risco]]="Arriscado",TabelaClean[[#This Row],[analise_credito]]="Reprovado"),0,IF(TabelaClean[[#This Row],[status]]="Ativo",TabelaClean[[#This Row],[valor_solicitado]]*1.08,0))</f>
        <v>19440</v>
      </c>
      <c r="W280" s="1"/>
      <c r="Y280" t="s">
        <v>809</v>
      </c>
      <c r="Z280" t="str">
        <f t="shared" si="4"/>
        <v>Null</v>
      </c>
      <c r="AE280" t="s">
        <v>246</v>
      </c>
      <c r="AF280" t="str">
        <f>TEXT(AE280,"000\.000\.000\-00")</f>
        <v>000.000.309-00</v>
      </c>
      <c r="AH280" s="15" t="s">
        <v>302</v>
      </c>
      <c r="AJ280" s="22">
        <v>7100</v>
      </c>
      <c r="AK280">
        <v>7100</v>
      </c>
      <c r="AM280" s="21">
        <v>61500</v>
      </c>
      <c r="AN280">
        <v>61500</v>
      </c>
      <c r="AO280">
        <v>61500</v>
      </c>
      <c r="BB280" s="26">
        <v>18700</v>
      </c>
      <c r="BC280" s="81">
        <f>IF(AND(TabelaClean[[#This Row],[analise_risco]]="Arriscado",TabelaClean[[#This Row],[analise_credito]]="Reprovado"),0,IF(TabelaClean[[#This Row],[status]]="Ativo",TabelaClean[[#This Row],[valor_solicitado]]*1.08,0))</f>
        <v>19440</v>
      </c>
    </row>
    <row r="281" spans="1:55">
      <c r="A281" s="24" t="s">
        <v>81</v>
      </c>
      <c r="B281" s="17" t="s">
        <v>347</v>
      </c>
      <c r="C281" s="25" t="s">
        <v>348</v>
      </c>
      <c r="D281" s="54">
        <v>59</v>
      </c>
      <c r="E281" s="30">
        <v>24554</v>
      </c>
      <c r="F281" s="24" t="str">
        <f>TabelaClean[[#This Row],[CidadeCPF]]</f>
        <v>Meereen</v>
      </c>
      <c r="G281" s="17" t="str">
        <f>TabelaClean[[#This Row],[RegiaoCPF]]</f>
        <v>Essos</v>
      </c>
      <c r="H281" s="17" t="str">
        <f>_xlfn.XLOOKUP(TabelaClean[[#This Row],[cpf]],TabelaDirty[cpfclean],TabelaDirty[cidade])</f>
        <v>Meereen</v>
      </c>
      <c r="I281" s="17" t="str">
        <f>_xlfn.XLOOKUP(TabelaClean[[#This Row],[cpf]],TabelaDirty[cpfclean],TabelaDirty[regiao])</f>
        <v>Essos</v>
      </c>
      <c r="J281" s="17" t="str">
        <f>PROPER(TabelaClean[[#This Row],[Coluna1]])</f>
        <v>Essos</v>
      </c>
      <c r="K281" s="17" t="e">
        <f>_xlfn.TEXTBEFORE(TabelaClean[[#This Row],[CidadeCPF]]," | ")</f>
        <v>#N/A</v>
      </c>
      <c r="L281" s="24" t="e">
        <f>_xlfn.TEXTAFTER(TabelaClean[[#This Row],[CidadeCPF]]," | ")</f>
        <v>#N/A</v>
      </c>
      <c r="M281" s="26">
        <v>15200</v>
      </c>
      <c r="N281" s="78">
        <v>11000</v>
      </c>
      <c r="O281" s="1" t="s">
        <v>51</v>
      </c>
      <c r="P28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1" s="84">
        <v>27</v>
      </c>
      <c r="R281" s="1" t="str" cm="1">
        <f t="array" ref="R281">_xlfn.IFS(TabelaClean[[#This Row],[qtde_batalhas]]&lt;=10,"Baixo",TabelaClean[[#This Row],[qtde_batalhas]]&gt;=26,"Alto",TabelaClean[[#This Row],[qtde_batalhas]]&lt;26,"Médio")</f>
        <v>Alto</v>
      </c>
      <c r="S281" s="1" t="str">
        <f>IF(AND(TabelaClean[[#This Row],[nivel_risco]]="Alto",TabelaClean[[#This Row],[flag_inadimplente]]="Sim"),"Arriscado","Ok")</f>
        <v>Arriscado</v>
      </c>
      <c r="T281" s="26">
        <v>87000</v>
      </c>
      <c r="U28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81" s="1"/>
      <c r="Y281" t="s">
        <v>809</v>
      </c>
      <c r="Z281" t="str">
        <f t="shared" si="4"/>
        <v>Null</v>
      </c>
      <c r="AE281" t="s">
        <v>407</v>
      </c>
      <c r="AF281" t="str">
        <f>TEXT(AE281,"000\.000\.000\-00")</f>
        <v>000.000.310-00</v>
      </c>
      <c r="AH281" s="15" t="s">
        <v>83</v>
      </c>
      <c r="AJ281" s="22">
        <v>27800</v>
      </c>
      <c r="AK281">
        <v>27800</v>
      </c>
      <c r="AM281" s="20">
        <v>52000</v>
      </c>
      <c r="AN281">
        <v>52000</v>
      </c>
      <c r="AO281">
        <v>52000</v>
      </c>
      <c r="BB281" s="26">
        <v>15200</v>
      </c>
      <c r="BC28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82" spans="1:55">
      <c r="A282" s="24" t="s">
        <v>81</v>
      </c>
      <c r="B282" s="17" t="s">
        <v>775</v>
      </c>
      <c r="C282" s="25" t="s">
        <v>956</v>
      </c>
      <c r="D282" s="54">
        <v>38</v>
      </c>
      <c r="E282" s="30" t="s">
        <v>957</v>
      </c>
      <c r="F282" s="25" t="s">
        <v>89</v>
      </c>
      <c r="G282" s="25" t="s">
        <v>413</v>
      </c>
      <c r="H282" s="24">
        <v>23600</v>
      </c>
      <c r="I282" s="24"/>
      <c r="J282" s="24" t="s">
        <v>50</v>
      </c>
      <c r="K282" s="24"/>
      <c r="L282" s="24"/>
      <c r="M282" s="26">
        <v>28500</v>
      </c>
      <c r="N282" s="78">
        <f>_xlfn.XLOOKUP(TabelaClean[[#This Row],[nome]],Base_Dirty!$B:$B,Base_Dirty!J:J)</f>
        <v>11000</v>
      </c>
      <c r="O282" s="1" t="s">
        <v>50</v>
      </c>
      <c r="P282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282" s="76" t="str" cm="1">
        <f t="array" ref="R282">_xlfn.IFS(TabelaClean[[#This Row],[qtde_batalhas]]&lt;=10,"Baixo",TabelaClean[[#This Row],[qtde_batalhas]]&gt;=26,"Alto",TabelaClean[[#This Row],[qtde_batalhas]]&lt;26,"Médio")</f>
        <v>Baixo</v>
      </c>
      <c r="S282" s="76" t="str">
        <f>IF(AND(TabelaClean[[#This Row],[nivel_risco]]="Alto",TabelaClean[[#This Row],[flag_inadimplente]]="Sim"),"Arriscado","Ok")</f>
        <v>Ok</v>
      </c>
      <c r="T282" s="26">
        <v>28500</v>
      </c>
      <c r="U28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82" s="1"/>
      <c r="Y282" t="s">
        <v>809</v>
      </c>
      <c r="Z282" t="str">
        <f t="shared" si="4"/>
        <v>Null</v>
      </c>
      <c r="AE282" t="s">
        <v>288</v>
      </c>
      <c r="AF282" t="str">
        <f>TEXT(AE282,"000\.000\.000\-00")</f>
        <v>000.000.311-00</v>
      </c>
      <c r="AH282" s="15" t="s">
        <v>172</v>
      </c>
      <c r="AJ282" s="22">
        <v>17400</v>
      </c>
      <c r="AK282">
        <v>17400</v>
      </c>
      <c r="AM282" s="21">
        <v>75500</v>
      </c>
      <c r="AN282">
        <v>75500</v>
      </c>
      <c r="AO282">
        <v>75500</v>
      </c>
      <c r="BB282" s="26">
        <v>28500</v>
      </c>
      <c r="BC28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83" spans="1:55">
      <c r="A283" s="24" t="s">
        <v>81</v>
      </c>
      <c r="B283" s="17" t="s">
        <v>778</v>
      </c>
      <c r="C283" s="25" t="s">
        <v>829</v>
      </c>
      <c r="D283" s="54">
        <v>53</v>
      </c>
      <c r="E283" s="30">
        <v>26744</v>
      </c>
      <c r="F283" s="24" t="str">
        <f>TabelaClean[[#This Row],[CidadeCPF]]</f>
        <v>Pyke</v>
      </c>
      <c r="G283" s="17" t="str">
        <f>TabelaClean[[#This Row],[RegiaoCPF]]</f>
        <v>Ilhas De Ferro</v>
      </c>
      <c r="H283" s="17" t="str">
        <f>_xlfn.XLOOKUP(TabelaClean[[#This Row],[cpf]],TabelaDirty[cpfclean],TabelaDirty[cidade])</f>
        <v>Pyke</v>
      </c>
      <c r="I283" s="17" t="str">
        <f>_xlfn.XLOOKUP(TabelaClean[[#This Row],[cpf]],TabelaDirty[cpfclean],TabelaDirty[regiao])</f>
        <v>Ilhas de Ferro</v>
      </c>
      <c r="J283" s="17" t="str">
        <f>PROPER(TabelaClean[[#This Row],[Coluna1]])</f>
        <v>Ilhas De Ferro</v>
      </c>
      <c r="K283" s="17" t="e">
        <f>_xlfn.TEXTBEFORE(TabelaClean[[#This Row],[CidadeCPF]]," | ")</f>
        <v>#N/A</v>
      </c>
      <c r="L283" s="24" t="e">
        <f>_xlfn.TEXTAFTER(TabelaClean[[#This Row],[CidadeCPF]]," | ")</f>
        <v>#N/A</v>
      </c>
      <c r="M283" s="26">
        <v>26400</v>
      </c>
      <c r="N283" s="78">
        <v>9500</v>
      </c>
      <c r="O283" s="1" t="s">
        <v>51</v>
      </c>
      <c r="P28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3" s="84">
        <v>21</v>
      </c>
      <c r="R283" s="1" t="str" cm="1">
        <f t="array" ref="R283">_xlfn.IFS(TabelaClean[[#This Row],[qtde_batalhas]]&lt;=10,"Baixo",TabelaClean[[#This Row],[qtde_batalhas]]&gt;=26,"Alto",TabelaClean[[#This Row],[qtde_batalhas]]&lt;26,"Médio")</f>
        <v>Médio</v>
      </c>
      <c r="S283" s="1" t="str">
        <f>IF(AND(TabelaClean[[#This Row],[nivel_risco]]="Alto",TabelaClean[[#This Row],[flag_inadimplente]]="Sim"),"Arriscado","Ok")</f>
        <v>Ok</v>
      </c>
      <c r="T283" s="26">
        <v>16000</v>
      </c>
      <c r="U28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83" s="1"/>
      <c r="Y283" t="s">
        <v>809</v>
      </c>
      <c r="Z283" t="str">
        <f t="shared" si="4"/>
        <v>Null</v>
      </c>
      <c r="AE283" t="s">
        <v>709</v>
      </c>
      <c r="AF283" t="str">
        <f>TEXT(AE283,"000\.000\.000\-00")</f>
        <v>000.000.312-00</v>
      </c>
      <c r="AH283" s="15" t="s">
        <v>242</v>
      </c>
      <c r="AJ283" s="22">
        <v>13400</v>
      </c>
      <c r="AK283">
        <v>13400</v>
      </c>
      <c r="AM283" s="20">
        <v>54000</v>
      </c>
      <c r="AN283">
        <v>54000</v>
      </c>
      <c r="AO283">
        <v>54000</v>
      </c>
      <c r="BB283" s="26">
        <v>26400</v>
      </c>
      <c r="BC28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84" spans="1:55">
      <c r="A284" s="24" t="s">
        <v>76</v>
      </c>
      <c r="B284" s="17" t="s">
        <v>793</v>
      </c>
      <c r="C284" s="25" t="s">
        <v>903</v>
      </c>
      <c r="D284" s="54">
        <v>67</v>
      </c>
      <c r="E284" s="30">
        <v>21689</v>
      </c>
      <c r="F284" s="24" t="str">
        <f>TabelaClean[[#This Row],[CidadeCPF]]</f>
        <v>Meereen</v>
      </c>
      <c r="G284" s="17" t="str">
        <f>TabelaClean[[#This Row],[RegiaoCPF]]</f>
        <v>Essos</v>
      </c>
      <c r="H284" s="17" t="str">
        <f>_xlfn.XLOOKUP(TabelaClean[[#This Row],[cpf]],TabelaDirty[cpfclean],TabelaDirty[cidade])</f>
        <v>Meereen</v>
      </c>
      <c r="I284" s="17" t="str">
        <f>_xlfn.XLOOKUP(TabelaClean[[#This Row],[cpf]],TabelaDirty[cpfclean],TabelaDirty[regiao])</f>
        <v>Essos</v>
      </c>
      <c r="J284" s="17" t="str">
        <f>PROPER(TabelaClean[[#This Row],[Coluna1]])</f>
        <v>Essos</v>
      </c>
      <c r="K284" s="17" t="e">
        <f>_xlfn.TEXTBEFORE(TabelaClean[[#This Row],[CidadeCPF]]," | ")</f>
        <v>#N/A</v>
      </c>
      <c r="L284" s="24" t="e">
        <f>_xlfn.TEXTAFTER(TabelaClean[[#This Row],[CidadeCPF]]," | ")</f>
        <v>#N/A</v>
      </c>
      <c r="M284" s="26">
        <v>10700</v>
      </c>
      <c r="N284" s="78">
        <v>9000</v>
      </c>
      <c r="O284" s="1" t="s">
        <v>51</v>
      </c>
      <c r="P28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4" s="84">
        <v>37</v>
      </c>
      <c r="R284" s="1" t="str" cm="1">
        <f t="array" ref="R284">_xlfn.IFS(TabelaClean[[#This Row],[qtde_batalhas]]&lt;=10,"Baixo",TabelaClean[[#This Row],[qtde_batalhas]]&gt;=26,"Alto",TabelaClean[[#This Row],[qtde_batalhas]]&lt;26,"Médio")</f>
        <v>Alto</v>
      </c>
      <c r="S284" s="1" t="str">
        <f>IF(AND(TabelaClean[[#This Row],[nivel_risco]]="Alto",TabelaClean[[#This Row],[flag_inadimplente]]="Sim"),"Arriscado","Ok")</f>
        <v>Arriscado</v>
      </c>
      <c r="T284" s="26">
        <v>53000</v>
      </c>
      <c r="U284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  <c r="W284" s="1"/>
      <c r="Y284" t="s">
        <v>331</v>
      </c>
      <c r="Z284" t="str">
        <f t="shared" si="4"/>
        <v>Terras Da Coroa</v>
      </c>
      <c r="AE284" t="s">
        <v>619</v>
      </c>
      <c r="AF284" t="str">
        <f>TEXT(AE284,"000\.000\.000\-00")</f>
        <v>000.000.313-00</v>
      </c>
      <c r="AH284" s="15" t="s">
        <v>79</v>
      </c>
      <c r="AJ284" s="22">
        <v>20700</v>
      </c>
      <c r="AK284">
        <v>20700</v>
      </c>
      <c r="AM284" s="21">
        <v>17500</v>
      </c>
      <c r="AN284">
        <v>17500</v>
      </c>
      <c r="AO284">
        <v>17500</v>
      </c>
      <c r="BB284" s="26">
        <v>10700</v>
      </c>
      <c r="BC284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</row>
    <row r="285" spans="1:55">
      <c r="A285" s="24" t="s">
        <v>76</v>
      </c>
      <c r="B285" s="17" t="s">
        <v>958</v>
      </c>
      <c r="C285" s="25" t="s">
        <v>831</v>
      </c>
      <c r="D285" s="54">
        <v>48</v>
      </c>
      <c r="E285" s="30">
        <v>28509</v>
      </c>
      <c r="F285" s="24" t="str">
        <f>TabelaClean[[#This Row],[CidadeCPF]]</f>
        <v>Harrenhal</v>
      </c>
      <c r="G285" s="17" t="str">
        <f>TabelaClean[[#This Row],[RegiaoCPF]]</f>
        <v>Terras Fluviais</v>
      </c>
      <c r="H285" s="17" t="str">
        <f>_xlfn.XLOOKUP(TabelaClean[[#This Row],[cpf]],TabelaDirty[cpfclean],TabelaDirty[cidade])</f>
        <v>Harrenhal</v>
      </c>
      <c r="I285" s="17" t="str">
        <f>_xlfn.XLOOKUP(TabelaClean[[#This Row],[cpf]],TabelaDirty[cpfclean],TabelaDirty[regiao])</f>
        <v>TERRAS FLUVIAIS</v>
      </c>
      <c r="J285" s="17" t="str">
        <f>PROPER(TabelaClean[[#This Row],[Coluna1]])</f>
        <v>Terras Fluviais</v>
      </c>
      <c r="K285" s="17" t="e">
        <f>_xlfn.TEXTBEFORE(TabelaClean[[#This Row],[CidadeCPF]]," | ")</f>
        <v>#N/A</v>
      </c>
      <c r="L285" s="24" t="e">
        <f>_xlfn.TEXTAFTER(TabelaClean[[#This Row],[CidadeCPF]]," | ")</f>
        <v>#N/A</v>
      </c>
      <c r="M285" s="26">
        <v>17800</v>
      </c>
      <c r="N285" s="78">
        <v>9000</v>
      </c>
      <c r="O285" s="1" t="s">
        <v>51</v>
      </c>
      <c r="P28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5" s="84">
        <v>28</v>
      </c>
      <c r="R285" s="1" t="str" cm="1">
        <f t="array" ref="R285">_xlfn.IFS(TabelaClean[[#This Row],[qtde_batalhas]]&lt;=10,"Baixo",TabelaClean[[#This Row],[qtde_batalhas]]&gt;=26,"Alto",TabelaClean[[#This Row],[qtde_batalhas]]&lt;26,"Médio")</f>
        <v>Alto</v>
      </c>
      <c r="S285" s="1" t="str">
        <f>IF(AND(TabelaClean[[#This Row],[nivel_risco]]="Alto",TabelaClean[[#This Row],[flag_inadimplente]]="Sim"),"Arriscado","Ok")</f>
        <v>Arriscado</v>
      </c>
      <c r="T285" s="26">
        <v>80000</v>
      </c>
      <c r="U285" s="81">
        <f>IF(AND(TabelaClean[[#This Row],[analise_risco]]="Arriscado",TabelaClean[[#This Row],[analise_credito]]="Reprovado"),0,IF(TabelaClean[[#This Row],[status]]="Ativo",TabelaClean[[#This Row],[valor_solicitado]]*1.08,0))</f>
        <v>86400</v>
      </c>
      <c r="W285" s="1"/>
      <c r="Y285" t="s">
        <v>809</v>
      </c>
      <c r="Z285" t="str">
        <f t="shared" si="4"/>
        <v>Null</v>
      </c>
      <c r="AE285" t="s">
        <v>398</v>
      </c>
      <c r="AF285" t="str">
        <f>TEXT(AE285,"000\.000\.000\-00")</f>
        <v>000.000.314-00</v>
      </c>
      <c r="AH285" s="15" t="s">
        <v>657</v>
      </c>
      <c r="AI285" t="e" cm="1" vm="1">
        <f t="array" aca="1" ref="AI285" ca="1">_xlfn.TEXTSPLIT(AH285," | ")</f>
        <v>#VALUE!</v>
      </c>
      <c r="AJ285" s="22">
        <v>10700</v>
      </c>
      <c r="AK285">
        <v>10700</v>
      </c>
      <c r="AL285" t="s">
        <v>108</v>
      </c>
      <c r="AM285" s="20" t="s">
        <v>608</v>
      </c>
      <c r="AN285" t="s">
        <v>809</v>
      </c>
      <c r="AO285" t="s">
        <v>809</v>
      </c>
      <c r="BB285" s="26">
        <v>17800</v>
      </c>
      <c r="BC285" s="81">
        <f>IF(AND(TabelaClean[[#This Row],[analise_risco]]="Arriscado",TabelaClean[[#This Row],[analise_credito]]="Reprovado"),0,IF(TabelaClean[[#This Row],[status]]="Ativo",TabelaClean[[#This Row],[valor_solicitado]]*1.08,0))</f>
        <v>86400</v>
      </c>
    </row>
    <row r="286" spans="1:55">
      <c r="A286" s="24" t="s">
        <v>76</v>
      </c>
      <c r="B286" s="17" t="s">
        <v>245</v>
      </c>
      <c r="C286" s="25" t="s">
        <v>246</v>
      </c>
      <c r="D286" s="54">
        <v>47</v>
      </c>
      <c r="E286" s="30">
        <v>28802</v>
      </c>
      <c r="F286" s="24" t="str">
        <f>TabelaClean[[#This Row],[CidadeCPF]]</f>
        <v>Atalaia da Água Cinzenta</v>
      </c>
      <c r="G286" s="17" t="str">
        <f>TabelaClean[[#This Row],[RegiaoCPF]]</f>
        <v>Gargalo</v>
      </c>
      <c r="H286" s="17" t="str">
        <f>_xlfn.XLOOKUP(TabelaClean[[#This Row],[cpf]],TabelaDirty[cpfclean],TabelaDirty[cidade])</f>
        <v>Atalaia da Água Cinzenta</v>
      </c>
      <c r="I286" s="17" t="str">
        <f>_xlfn.XLOOKUP(TabelaClean[[#This Row],[cpf]],TabelaDirty[cpfclean],TabelaDirty[regiao])</f>
        <v>GARGALO</v>
      </c>
      <c r="J286" s="17" t="str">
        <f>PROPER(TabelaClean[[#This Row],[Coluna1]])</f>
        <v>Gargalo</v>
      </c>
      <c r="K286" s="17" t="e">
        <f>_xlfn.TEXTBEFORE(TabelaClean[[#This Row],[CidadeCPF]]," | ")</f>
        <v>#N/A</v>
      </c>
      <c r="L286" s="24" t="e">
        <f>_xlfn.TEXTAFTER(TabelaClean[[#This Row],[CidadeCPF]]," | ")</f>
        <v>#N/A</v>
      </c>
      <c r="M286" s="26">
        <v>22700</v>
      </c>
      <c r="N286" s="78">
        <v>8500</v>
      </c>
      <c r="O286" s="1" t="s">
        <v>51</v>
      </c>
      <c r="P28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6" s="84">
        <v>35</v>
      </c>
      <c r="R286" s="1" t="str" cm="1">
        <f t="array" ref="R286">_xlfn.IFS(TabelaClean[[#This Row],[qtde_batalhas]]&lt;=10,"Baixo",TabelaClean[[#This Row],[qtde_batalhas]]&gt;=26,"Alto",TabelaClean[[#This Row],[qtde_batalhas]]&lt;26,"Médio")</f>
        <v>Alto</v>
      </c>
      <c r="S286" s="1" t="str">
        <f>IF(AND(TabelaClean[[#This Row],[nivel_risco]]="Alto",TabelaClean[[#This Row],[flag_inadimplente]]="Sim"),"Arriscado","Ok")</f>
        <v>Arriscado</v>
      </c>
      <c r="T286" s="26">
        <v>23500</v>
      </c>
      <c r="U286" s="81">
        <f>IF(AND(TabelaClean[[#This Row],[analise_risco]]="Arriscado",TabelaClean[[#This Row],[analise_credito]]="Reprovado"),0,IF(TabelaClean[[#This Row],[status]]="Ativo",TabelaClean[[#This Row],[valor_solicitado]]*1.08,0))</f>
        <v>25380</v>
      </c>
      <c r="W286" s="1"/>
      <c r="Y286" t="s">
        <v>809</v>
      </c>
      <c r="Z286" t="str">
        <f t="shared" si="4"/>
        <v>Null</v>
      </c>
      <c r="AE286" t="s">
        <v>647</v>
      </c>
      <c r="AF286" t="str">
        <f>TEXT(AE286,"000\.000\.000\-00")</f>
        <v>000.000.315-00</v>
      </c>
      <c r="AJ286" s="22">
        <v>19800</v>
      </c>
      <c r="AK286">
        <v>19800</v>
      </c>
      <c r="AM286" s="21">
        <v>78500</v>
      </c>
      <c r="AN286">
        <v>78500</v>
      </c>
      <c r="AO286">
        <v>78500</v>
      </c>
      <c r="BB286" s="26">
        <v>22700</v>
      </c>
      <c r="BC286" s="81">
        <f>IF(AND(TabelaClean[[#This Row],[analise_risco]]="Arriscado",TabelaClean[[#This Row],[analise_credito]]="Reprovado"),0,IF(TabelaClean[[#This Row],[status]]="Ativo",TabelaClean[[#This Row],[valor_solicitado]]*1.08,0))</f>
        <v>25380</v>
      </c>
    </row>
    <row r="287" spans="1:55">
      <c r="A287" s="24" t="s">
        <v>76</v>
      </c>
      <c r="B287" s="17" t="s">
        <v>94</v>
      </c>
      <c r="C287" s="25" t="s">
        <v>95</v>
      </c>
      <c r="D287" s="54">
        <v>63</v>
      </c>
      <c r="E287" s="30">
        <v>23156</v>
      </c>
      <c r="F287" s="17" t="str">
        <f>TabelaClean[[#This Row],[CidadeClean]]</f>
        <v>Pyke</v>
      </c>
      <c r="G287" s="17" t="str">
        <f>TabelaClean[[#This Row],[RegiaoClean]]</f>
        <v>Ilhas de Ferro</v>
      </c>
      <c r="H287" s="17" t="str">
        <f>_xlfn.XLOOKUP(TabelaClean[[#This Row],[cpf]],TabelaDirty[cpfclean],TabelaDirty[cidade])</f>
        <v>Pyke | Ilhas de Ferro</v>
      </c>
      <c r="I287" s="17">
        <f>_xlfn.XLOOKUP(TabelaClean[[#This Row],[cpf]],TabelaDirty[cpfclean],TabelaDirty[regiao])</f>
        <v>0</v>
      </c>
      <c r="J287" s="17" t="s">
        <v>132</v>
      </c>
      <c r="K287" s="17" t="str">
        <f>_xlfn.TEXTBEFORE(TabelaClean[[#This Row],[CidadeCPF]]," | ")</f>
        <v>Pyke</v>
      </c>
      <c r="L287" s="24" t="str">
        <f>_xlfn.TEXTAFTER(TabelaClean[[#This Row],[CidadeCPF]]," | ")</f>
        <v>Ilhas de Ferro</v>
      </c>
      <c r="M287" s="26">
        <v>10400</v>
      </c>
      <c r="N287" s="78">
        <v>8500</v>
      </c>
      <c r="O287" s="1" t="s">
        <v>51</v>
      </c>
      <c r="P28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7" s="84">
        <v>39</v>
      </c>
      <c r="R287" s="1" t="str" cm="1">
        <f t="array" ref="R287">_xlfn.IFS(TabelaClean[[#This Row],[qtde_batalhas]]&lt;=10,"Baixo",TabelaClean[[#This Row],[qtde_batalhas]]&gt;=26,"Alto",TabelaClean[[#This Row],[qtde_batalhas]]&lt;26,"Médio")</f>
        <v>Alto</v>
      </c>
      <c r="S287" s="1" t="str">
        <f>IF(AND(TabelaClean[[#This Row],[nivel_risco]]="Alto",TabelaClean[[#This Row],[flag_inadimplente]]="Sim"),"Arriscado","Ok")</f>
        <v>Arriscado</v>
      </c>
      <c r="T287" s="26">
        <v>36500</v>
      </c>
      <c r="U287" s="81">
        <f>IF(AND(TabelaClean[[#This Row],[analise_risco]]="Arriscado",TabelaClean[[#This Row],[analise_credito]]="Reprovado"),0,IF(TabelaClean[[#This Row],[status]]="Ativo",TabelaClean[[#This Row],[valor_solicitado]]*1.08,0))</f>
        <v>39420</v>
      </c>
      <c r="W287" s="1"/>
      <c r="Y287" t="s">
        <v>809</v>
      </c>
      <c r="Z287" t="str">
        <f t="shared" si="4"/>
        <v>Null</v>
      </c>
      <c r="AE287" t="s">
        <v>540</v>
      </c>
      <c r="AF287" t="str">
        <f>TEXT(AE287,"000\.000\.000\-00")</f>
        <v>000.000.316-00</v>
      </c>
      <c r="AJ287" s="22">
        <v>22700</v>
      </c>
      <c r="AK287">
        <v>22700</v>
      </c>
      <c r="AM287" s="20">
        <v>42500</v>
      </c>
      <c r="AN287">
        <v>42500</v>
      </c>
      <c r="AO287">
        <v>42500</v>
      </c>
      <c r="BB287" s="26">
        <v>10400</v>
      </c>
      <c r="BC287" s="81">
        <f>IF(AND(TabelaClean[[#This Row],[analise_risco]]="Arriscado",TabelaClean[[#This Row],[analise_credito]]="Reprovado"),0,IF(TabelaClean[[#This Row],[status]]="Ativo",TabelaClean[[#This Row],[valor_solicitado]]*1.08,0))</f>
        <v>39420</v>
      </c>
    </row>
    <row r="288" spans="1:55">
      <c r="A288" s="24" t="s">
        <v>76</v>
      </c>
      <c r="B288" s="17" t="s">
        <v>717</v>
      </c>
      <c r="C288" s="25" t="s">
        <v>718</v>
      </c>
      <c r="D288" s="54">
        <v>50</v>
      </c>
      <c r="E288" s="30">
        <v>27886</v>
      </c>
      <c r="F288" s="24" t="str">
        <f>TabelaClean[[#This Row],[CidadeCPF]]</f>
        <v>Dorne</v>
      </c>
      <c r="G288" s="17" t="str">
        <f>TabelaClean[[#This Row],[RegiaoCPF]]</f>
        <v>Dorne</v>
      </c>
      <c r="H288" s="17" t="str">
        <f>_xlfn.XLOOKUP(TabelaClean[[#This Row],[cpf]],TabelaDirty[cpfclean],TabelaDirty[cidade])</f>
        <v>Dorne</v>
      </c>
      <c r="I288" s="17" t="str">
        <f>_xlfn.XLOOKUP(TabelaClean[[#This Row],[cpf]],TabelaDirty[cpfclean],TabelaDirty[regiao])</f>
        <v>Dorne</v>
      </c>
      <c r="J288" s="17" t="str">
        <f>PROPER(TabelaClean[[#This Row],[Coluna1]])</f>
        <v>Dorne</v>
      </c>
      <c r="K288" s="17" t="e">
        <f>_xlfn.TEXTBEFORE(TabelaClean[[#This Row],[CidadeCPF]]," | ")</f>
        <v>#N/A</v>
      </c>
      <c r="L288" s="24" t="e">
        <f>_xlfn.TEXTAFTER(TabelaClean[[#This Row],[CidadeCPF]]," | ")</f>
        <v>#N/A</v>
      </c>
      <c r="M288" s="26">
        <v>16100</v>
      </c>
      <c r="N288" s="78">
        <v>8000</v>
      </c>
      <c r="O288" s="1" t="s">
        <v>51</v>
      </c>
      <c r="P28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8" s="84">
        <v>30</v>
      </c>
      <c r="R288" s="1" t="str" cm="1">
        <f t="array" ref="R288">_xlfn.IFS(TabelaClean[[#This Row],[qtde_batalhas]]&lt;=10,"Baixo",TabelaClean[[#This Row],[qtde_batalhas]]&gt;=26,"Alto",TabelaClean[[#This Row],[qtde_batalhas]]&lt;26,"Médio")</f>
        <v>Alto</v>
      </c>
      <c r="S288" s="1" t="str">
        <f>IF(AND(TabelaClean[[#This Row],[nivel_risco]]="Alto",TabelaClean[[#This Row],[flag_inadimplente]]="Sim"),"Arriscado","Ok")</f>
        <v>Arriscado</v>
      </c>
      <c r="T288" s="26">
        <v>27000</v>
      </c>
      <c r="U288" s="81">
        <f>IF(AND(TabelaClean[[#This Row],[analise_risco]]="Arriscado",TabelaClean[[#This Row],[analise_credito]]="Reprovado"),0,IF(TabelaClean[[#This Row],[status]]="Ativo",TabelaClean[[#This Row],[valor_solicitado]]*1.08,0))</f>
        <v>29160.000000000004</v>
      </c>
      <c r="W288" s="1"/>
      <c r="Y288" t="s">
        <v>139</v>
      </c>
      <c r="Z288" t="str">
        <f t="shared" si="4"/>
        <v>Terras Fluviais</v>
      </c>
      <c r="AE288" t="s">
        <v>99</v>
      </c>
      <c r="AF288" t="str">
        <f>TEXT(AE288,"000\.000\.000\-00")</f>
        <v>000.000.321-00</v>
      </c>
      <c r="AJ288" s="22">
        <v>14000</v>
      </c>
      <c r="AK288">
        <v>14000</v>
      </c>
      <c r="AM288" s="21">
        <v>0</v>
      </c>
      <c r="AN288">
        <v>0</v>
      </c>
      <c r="AO288">
        <v>0</v>
      </c>
      <c r="BB288" s="26">
        <v>16100</v>
      </c>
      <c r="BC288" s="81">
        <f>IF(AND(TabelaClean[[#This Row],[analise_risco]]="Arriscado",TabelaClean[[#This Row],[analise_credito]]="Reprovado"),0,IF(TabelaClean[[#This Row],[status]]="Ativo",TabelaClean[[#This Row],[valor_solicitado]]*1.08,0))</f>
        <v>29160.000000000004</v>
      </c>
    </row>
    <row r="289" spans="1:55">
      <c r="A289" s="24" t="s">
        <v>76</v>
      </c>
      <c r="B289" s="17" t="s">
        <v>773</v>
      </c>
      <c r="C289" s="25" t="s">
        <v>774</v>
      </c>
      <c r="D289" s="54">
        <v>44</v>
      </c>
      <c r="E289" s="30">
        <v>29892</v>
      </c>
      <c r="F289" s="24" t="str">
        <f>TabelaClean[[#This Row],[CidadeCPF]]</f>
        <v>Lannisporto</v>
      </c>
      <c r="G289" s="17" t="str">
        <f>TabelaClean[[#This Row],[RegiaoCPF]]</f>
        <v>Oeste</v>
      </c>
      <c r="H289" s="17" t="str">
        <f>_xlfn.XLOOKUP(TabelaClean[[#This Row],[cpf]],TabelaDirty[cpfclean],TabelaDirty[cidade])</f>
        <v>Lannisporto</v>
      </c>
      <c r="I289" s="17" t="str">
        <f>_xlfn.XLOOKUP(TabelaClean[[#This Row],[cpf]],TabelaDirty[cpfclean],TabelaDirty[regiao])</f>
        <v>Oeste</v>
      </c>
      <c r="J289" s="17" t="str">
        <f>PROPER(TabelaClean[[#This Row],[Coluna1]])</f>
        <v>Oeste</v>
      </c>
      <c r="K289" s="17" t="e">
        <f>_xlfn.TEXTBEFORE(TabelaClean[[#This Row],[CidadeCPF]]," | ")</f>
        <v>#N/A</v>
      </c>
      <c r="L289" s="24" t="e">
        <f>_xlfn.TEXTAFTER(TabelaClean[[#This Row],[CidadeCPF]]," | ")</f>
        <v>#N/A</v>
      </c>
      <c r="M289" s="26">
        <v>20600</v>
      </c>
      <c r="N289" s="78">
        <v>8000</v>
      </c>
      <c r="O289" s="1" t="s">
        <v>51</v>
      </c>
      <c r="P28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89" s="84">
        <v>39</v>
      </c>
      <c r="R289" s="1" t="str" cm="1">
        <f t="array" ref="R289">_xlfn.IFS(TabelaClean[[#This Row],[qtde_batalhas]]&lt;=10,"Baixo",TabelaClean[[#This Row],[qtde_batalhas]]&gt;=26,"Alto",TabelaClean[[#This Row],[qtde_batalhas]]&lt;26,"Médio")</f>
        <v>Alto</v>
      </c>
      <c r="S289" s="1" t="str">
        <f>IF(AND(TabelaClean[[#This Row],[nivel_risco]]="Alto",TabelaClean[[#This Row],[flag_inadimplente]]="Sim"),"Arriscado","Ok")</f>
        <v>Arriscado</v>
      </c>
      <c r="T289" s="26">
        <v>36000</v>
      </c>
      <c r="U289" s="81">
        <f>IF(AND(TabelaClean[[#This Row],[analise_risco]]="Arriscado",TabelaClean[[#This Row],[analise_credito]]="Reprovado"),0,IF(TabelaClean[[#This Row],[status]]="Ativo",TabelaClean[[#This Row],[valor_solicitado]]*1.08,0))</f>
        <v>38880</v>
      </c>
      <c r="W289" s="1"/>
      <c r="Y289" t="s">
        <v>809</v>
      </c>
      <c r="Z289" t="str">
        <f t="shared" si="4"/>
        <v>Null</v>
      </c>
      <c r="AE289" t="s">
        <v>571</v>
      </c>
      <c r="AF289" t="str">
        <f>TEXT(AE289,"000\.000\.000\-00")</f>
        <v>000.000.322-00</v>
      </c>
      <c r="AJ289" s="22">
        <v>13200</v>
      </c>
      <c r="AK289">
        <v>13200</v>
      </c>
      <c r="AM289" s="20" t="s">
        <v>92</v>
      </c>
      <c r="AN289" t="s">
        <v>809</v>
      </c>
      <c r="AO289" t="s">
        <v>809</v>
      </c>
      <c r="BB289" s="26">
        <v>20600</v>
      </c>
      <c r="BC289" s="81">
        <f>IF(AND(TabelaClean[[#This Row],[analise_risco]]="Arriscado",TabelaClean[[#This Row],[analise_credito]]="Reprovado"),0,IF(TabelaClean[[#This Row],[status]]="Ativo",TabelaClean[[#This Row],[valor_solicitado]]*1.08,0))</f>
        <v>38880</v>
      </c>
    </row>
    <row r="290" spans="1:55">
      <c r="A290" s="24" t="s">
        <v>76</v>
      </c>
      <c r="B290" s="17" t="s">
        <v>440</v>
      </c>
      <c r="C290" s="25" t="s">
        <v>836</v>
      </c>
      <c r="D290" s="54">
        <v>61</v>
      </c>
      <c r="E290" s="30">
        <v>23928</v>
      </c>
      <c r="F290" s="24" t="str">
        <f>TabelaClean[[#This Row],[CidadeCPF]]</f>
        <v>Solar do Entardecer</v>
      </c>
      <c r="G290" s="17" t="str">
        <f>TabelaClean[[#This Row],[RegiaoCPF]]</f>
        <v>Terras Da Tempestade</v>
      </c>
      <c r="H290" s="17" t="str">
        <f>_xlfn.XLOOKUP(TabelaClean[[#This Row],[cpf]],TabelaDirty[cpfclean],TabelaDirty[cidade])</f>
        <v>Solar do Entardecer</v>
      </c>
      <c r="I290" s="17" t="str">
        <f>_xlfn.XLOOKUP(TabelaClean[[#This Row],[cpf]],TabelaDirty[cpfclean],TabelaDirty[regiao])</f>
        <v>Terras da Tempestade</v>
      </c>
      <c r="J290" s="17" t="str">
        <f>PROPER(TabelaClean[[#This Row],[Coluna1]])</f>
        <v>Terras Da Tempestade</v>
      </c>
      <c r="K290" s="17" t="e">
        <f>_xlfn.TEXTBEFORE(TabelaClean[[#This Row],[CidadeCPF]]," | ")</f>
        <v>#N/A</v>
      </c>
      <c r="L290" s="24" t="e">
        <f>_xlfn.TEXTAFTER(TabelaClean[[#This Row],[CidadeCPF]]," | ")</f>
        <v>#N/A</v>
      </c>
      <c r="M290" s="26">
        <v>22900</v>
      </c>
      <c r="N290" s="78">
        <v>7500</v>
      </c>
      <c r="O290" s="1" t="s">
        <v>51</v>
      </c>
      <c r="P29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0" s="84">
        <v>12</v>
      </c>
      <c r="R290" s="1" t="str" cm="1">
        <f t="array" ref="R290">_xlfn.IFS(TabelaClean[[#This Row],[qtde_batalhas]]&lt;=10,"Baixo",TabelaClean[[#This Row],[qtde_batalhas]]&gt;=26,"Alto",TabelaClean[[#This Row],[qtde_batalhas]]&lt;26,"Médio")</f>
        <v>Médio</v>
      </c>
      <c r="S290" s="1" t="str">
        <f>IF(AND(TabelaClean[[#This Row],[nivel_risco]]="Alto",TabelaClean[[#This Row],[flag_inadimplente]]="Sim"),"Arriscado","Ok")</f>
        <v>Ok</v>
      </c>
      <c r="T290" s="26">
        <v>73000</v>
      </c>
      <c r="U290" s="81">
        <f>IF(AND(TabelaClean[[#This Row],[analise_risco]]="Arriscado",TabelaClean[[#This Row],[analise_credito]]="Reprovado"),0,IF(TabelaClean[[#This Row],[status]]="Ativo",TabelaClean[[#This Row],[valor_solicitado]]*1.08,0))</f>
        <v>78840</v>
      </c>
      <c r="W290" s="1"/>
      <c r="Y290" t="s">
        <v>809</v>
      </c>
      <c r="Z290" t="str">
        <f t="shared" si="4"/>
        <v>Null</v>
      </c>
      <c r="AE290" t="s">
        <v>282</v>
      </c>
      <c r="AF290" t="str">
        <f>TEXT(AE290,"000\.000\.000\-00")</f>
        <v>000.000.323-00</v>
      </c>
      <c r="AJ290" s="22">
        <v>30000</v>
      </c>
      <c r="AK290">
        <v>30000</v>
      </c>
      <c r="AM290" s="21">
        <v>27000</v>
      </c>
      <c r="AN290">
        <v>27000</v>
      </c>
      <c r="AO290">
        <v>27000</v>
      </c>
      <c r="BB290" s="26">
        <v>22900</v>
      </c>
      <c r="BC290" s="81">
        <f>IF(AND(TabelaClean[[#This Row],[analise_risco]]="Arriscado",TabelaClean[[#This Row],[analise_credito]]="Reprovado"),0,IF(TabelaClean[[#This Row],[status]]="Ativo",TabelaClean[[#This Row],[valor_solicitado]]*1.08,0))</f>
        <v>78840</v>
      </c>
    </row>
    <row r="291" spans="1:55">
      <c r="A291" s="24" t="s">
        <v>76</v>
      </c>
      <c r="B291" s="17" t="s">
        <v>506</v>
      </c>
      <c r="C291" s="25" t="s">
        <v>507</v>
      </c>
      <c r="D291" s="54">
        <v>45</v>
      </c>
      <c r="E291" s="30">
        <v>29769</v>
      </c>
      <c r="F291" s="24" t="str">
        <f>TabelaClean[[#This Row],[CidadeCPF]]</f>
        <v>Ponta Tempestade</v>
      </c>
      <c r="G291" s="17" t="str">
        <f>TabelaClean[[#This Row],[RegiaoCPF]]</f>
        <v>Terras Da Tempestade</v>
      </c>
      <c r="H291" s="17" t="str">
        <f>_xlfn.XLOOKUP(TabelaClean[[#This Row],[cpf]],TabelaDirty[cpfclean],TabelaDirty[cidade])</f>
        <v>Ponta Tempestade</v>
      </c>
      <c r="I291" s="17" t="str">
        <f>_xlfn.XLOOKUP(TabelaClean[[#This Row],[cpf]],TabelaDirty[cpfclean],TabelaDirty[regiao])</f>
        <v>terras da tempestade</v>
      </c>
      <c r="J291" s="17" t="str">
        <f>PROPER(TabelaClean[[#This Row],[Coluna1]])</f>
        <v>Terras Da Tempestade</v>
      </c>
      <c r="K291" s="17" t="e">
        <f>_xlfn.TEXTBEFORE(TabelaClean[[#This Row],[CidadeCPF]]," | ")</f>
        <v>#N/A</v>
      </c>
      <c r="L291" s="24" t="e">
        <f>_xlfn.TEXTAFTER(TabelaClean[[#This Row],[CidadeCPF]]," | ")</f>
        <v>#N/A</v>
      </c>
      <c r="M291" s="26">
        <v>24400</v>
      </c>
      <c r="N291" s="78">
        <v>7500</v>
      </c>
      <c r="O291" s="1" t="s">
        <v>51</v>
      </c>
      <c r="P29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1" s="84">
        <v>13</v>
      </c>
      <c r="R291" s="1" t="str" cm="1">
        <f t="array" ref="R291">_xlfn.IFS(TabelaClean[[#This Row],[qtde_batalhas]]&lt;=10,"Baixo",TabelaClean[[#This Row],[qtde_batalhas]]&gt;=26,"Alto",TabelaClean[[#This Row],[qtde_batalhas]]&lt;26,"Médio")</f>
        <v>Médio</v>
      </c>
      <c r="S291" s="1" t="str">
        <f>IF(AND(TabelaClean[[#This Row],[nivel_risco]]="Alto",TabelaClean[[#This Row],[flag_inadimplente]]="Sim"),"Arriscado","Ok")</f>
        <v>Ok</v>
      </c>
      <c r="T291" s="26">
        <v>95000</v>
      </c>
      <c r="U291" s="81">
        <f>IF(AND(TabelaClean[[#This Row],[analise_risco]]="Arriscado",TabelaClean[[#This Row],[analise_credito]]="Reprovado"),0,IF(TabelaClean[[#This Row],[status]]="Ativo",TabelaClean[[#This Row],[valor_solicitado]]*1.08,0))</f>
        <v>102600</v>
      </c>
      <c r="W291" s="1"/>
      <c r="Y291" t="s">
        <v>264</v>
      </c>
      <c r="Z291" t="str">
        <f t="shared" si="4"/>
        <v>Ilhas De Ferro</v>
      </c>
      <c r="AE291" t="s">
        <v>637</v>
      </c>
      <c r="AF291" t="str">
        <f>TEXT(AE291,"000\.000\.000\-00")</f>
        <v>000.000.324-00</v>
      </c>
      <c r="AJ291" s="22">
        <v>20200</v>
      </c>
      <c r="AK291">
        <v>20200</v>
      </c>
      <c r="AM291" s="20">
        <v>61000</v>
      </c>
      <c r="AN291">
        <v>61000</v>
      </c>
      <c r="AO291">
        <v>61000</v>
      </c>
      <c r="BB291" s="26">
        <v>24400</v>
      </c>
      <c r="BC291" s="81">
        <f>IF(AND(TabelaClean[[#This Row],[analise_risco]]="Arriscado",TabelaClean[[#This Row],[analise_credito]]="Reprovado"),0,IF(TabelaClean[[#This Row],[status]]="Ativo",TabelaClean[[#This Row],[valor_solicitado]]*1.08,0))</f>
        <v>102600</v>
      </c>
    </row>
    <row r="292" spans="1:55">
      <c r="A292" s="24" t="s">
        <v>76</v>
      </c>
      <c r="B292" s="17" t="s">
        <v>440</v>
      </c>
      <c r="C292" s="25" t="s">
        <v>798</v>
      </c>
      <c r="D292" s="54">
        <f>_xlfn.XLOOKUP(TabelaClean[[#This Row],[nome]],Base_Dirty!B:B,Base_Dirty!E:E)</f>
        <v>61</v>
      </c>
      <c r="E292" s="51">
        <f>_xlfn.XLOOKUP(TabelaClean[[#This Row],[nome]],Base_Dirty!$B:$B,Base_Dirty!F:F)</f>
        <v>23928</v>
      </c>
      <c r="F292" s="17" t="s">
        <v>302</v>
      </c>
      <c r="G292" s="17" t="s">
        <v>303</v>
      </c>
      <c r="H292" s="24" t="s">
        <v>84</v>
      </c>
      <c r="I292" s="24">
        <v>22900</v>
      </c>
      <c r="J292" s="24">
        <v>7500</v>
      </c>
      <c r="K292" s="24" t="s">
        <v>50</v>
      </c>
      <c r="L292" s="24">
        <v>12</v>
      </c>
      <c r="M292" s="23">
        <f>_xlfn.XLOOKUP(TabelaClean[[#This Row],[nome]],Base_Dirty!$B:$B,Base_Dirty!I:I)</f>
        <v>22900</v>
      </c>
      <c r="N292" s="78">
        <f>_xlfn.XLOOKUP(TabelaClean[[#This Row],[nome]],Base_Dirty!$B:$B,Base_Dirty!J:J)</f>
        <v>7500</v>
      </c>
      <c r="O292" s="79" t="s">
        <v>50</v>
      </c>
      <c r="P292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2" s="84">
        <f>_xlfn.XLOOKUP(TabelaClean[[#This Row],[nome]],Base_Dirty!$B:$B,Base_Dirty!L:L)</f>
        <v>12</v>
      </c>
      <c r="R292" s="76" t="str" cm="1">
        <f t="array" ref="R292">_xlfn.IFS(TabelaClean[[#This Row],[qtde_batalhas]]&lt;=10,"Baixo",TabelaClean[[#This Row],[qtde_batalhas]]&gt;=26,"Alto",TabelaClean[[#This Row],[qtde_batalhas]]&lt;26,"Médio")</f>
        <v>Médio</v>
      </c>
      <c r="S292" s="76" t="str">
        <f>IF(AND(TabelaClean[[#This Row],[nivel_risco]]="Alto",TabelaClean[[#This Row],[flag_inadimplente]]="Sim"),"Arriscado","Ok")</f>
        <v>Ok</v>
      </c>
      <c r="T292" s="26">
        <f>_xlfn.XLOOKUP(TabelaClean[[#This Row],[nome]],Base_Dirty!$B:$B,Base_Dirty!O:O)</f>
        <v>73000</v>
      </c>
      <c r="U292" s="81">
        <f>IF(AND(TabelaClean[[#This Row],[analise_risco]]="Arriscado",TabelaClean[[#This Row],[analise_credito]]="Reprovado"),0,IF(TabelaClean[[#This Row],[status]]="Ativo",TabelaClean[[#This Row],[valor_solicitado]]*1.08,0))</f>
        <v>78840</v>
      </c>
      <c r="W292" s="1"/>
      <c r="Y292" t="s">
        <v>809</v>
      </c>
      <c r="Z292" t="str">
        <f t="shared" si="4"/>
        <v>Null</v>
      </c>
      <c r="AE292" t="s">
        <v>500</v>
      </c>
      <c r="AF292" t="str">
        <f>TEXT(AE292,"000\.000\.000\-00")</f>
        <v>000.000.326-00</v>
      </c>
      <c r="AJ292" s="22">
        <v>28700</v>
      </c>
      <c r="AK292">
        <v>28700</v>
      </c>
      <c r="AM292" s="21">
        <v>12500</v>
      </c>
      <c r="AN292">
        <v>12500</v>
      </c>
      <c r="AO292">
        <v>12500</v>
      </c>
      <c r="BB292" s="23">
        <f>_xlfn.XLOOKUP(TabelaClean[[#This Row],[nome]],Base_Dirty!$B:$B,Base_Dirty!AX:AX)</f>
        <v>0</v>
      </c>
      <c r="BC292" s="81">
        <f>IF(AND(TabelaClean[[#This Row],[analise_risco]]="Arriscado",TabelaClean[[#This Row],[analise_credito]]="Reprovado"),0,IF(TabelaClean[[#This Row],[status]]="Ativo",TabelaClean[[#This Row],[valor_solicitado]]*1.08,0))</f>
        <v>78840</v>
      </c>
    </row>
    <row r="293" spans="1:55">
      <c r="A293" s="24" t="s">
        <v>76</v>
      </c>
      <c r="B293" s="17" t="s">
        <v>440</v>
      </c>
      <c r="C293" t="str">
        <f>_xlfn.XLOOKUP(TabelaClean[[#This Row],[nome]],Base_Dirty!$B:$B,Base_Dirty!D:D)</f>
        <v>000.000.369-00</v>
      </c>
      <c r="D293" s="54">
        <f>_xlfn.XLOOKUP(TabelaClean[[#This Row],[nome]],Base_Dirty!B:B,Base_Dirty!E:E)</f>
        <v>61</v>
      </c>
      <c r="E293" s="30">
        <v>61</v>
      </c>
      <c r="F293" s="17" t="s">
        <v>302</v>
      </c>
      <c r="G293" s="17" t="s">
        <v>303</v>
      </c>
      <c r="H293" s="24" t="s">
        <v>84</v>
      </c>
      <c r="I293" s="24">
        <v>22900</v>
      </c>
      <c r="J293" s="24">
        <v>7500</v>
      </c>
      <c r="K293" s="24" t="s">
        <v>50</v>
      </c>
      <c r="L293" s="24">
        <v>12</v>
      </c>
      <c r="M293" s="23">
        <f>_xlfn.XLOOKUP(TabelaClean[[#This Row],[nome]],Base_Dirty!$B:$B,Base_Dirty!I:I)</f>
        <v>22900</v>
      </c>
      <c r="N293" s="78">
        <f>_xlfn.XLOOKUP(TabelaClean[[#This Row],[nome]],Base_Dirty!$B:$B,Base_Dirty!J:J)</f>
        <v>7500</v>
      </c>
      <c r="O293" s="79" t="s">
        <v>50</v>
      </c>
      <c r="P29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3" s="84">
        <f>_xlfn.XLOOKUP(TabelaClean[[#This Row],[nome]],Base_Dirty!$B:$B,Base_Dirty!L:L)</f>
        <v>12</v>
      </c>
      <c r="R293" s="76" t="str" cm="1">
        <f t="array" ref="R293">_xlfn.IFS(TabelaClean[[#This Row],[qtde_batalhas]]&lt;=10,"Baixo",TabelaClean[[#This Row],[qtde_batalhas]]&gt;=26,"Alto",TabelaClean[[#This Row],[qtde_batalhas]]&lt;26,"Médio")</f>
        <v>Médio</v>
      </c>
      <c r="S293" s="76" t="str">
        <f>IF(AND(TabelaClean[[#This Row],[nivel_risco]]="Alto",TabelaClean[[#This Row],[flag_inadimplente]]="Sim"),"Arriscado","Ok")</f>
        <v>Ok</v>
      </c>
      <c r="T293" s="26">
        <f>_xlfn.XLOOKUP(TabelaClean[[#This Row],[nome]],Base_Dirty!$B:$B,Base_Dirty!O:O)</f>
        <v>73000</v>
      </c>
      <c r="U293" s="81">
        <f>IF(AND(TabelaClean[[#This Row],[analise_risco]]="Arriscado",TabelaClean[[#This Row],[analise_credito]]="Reprovado"),0,IF(TabelaClean[[#This Row],[status]]="Ativo",TabelaClean[[#This Row],[valor_solicitado]]*1.08,0))</f>
        <v>78840</v>
      </c>
      <c r="W293" s="1"/>
      <c r="Y293" t="s">
        <v>809</v>
      </c>
      <c r="Z293" t="str">
        <f t="shared" si="4"/>
        <v>Null</v>
      </c>
      <c r="AE293" t="s">
        <v>792</v>
      </c>
      <c r="AF293" t="str">
        <f>TEXT(AE293,"000\.000\.000\-00")</f>
        <v>000.000.329-00</v>
      </c>
      <c r="AJ293" s="22">
        <v>20000</v>
      </c>
      <c r="AK293">
        <v>20000</v>
      </c>
      <c r="AM293" s="20">
        <v>29500</v>
      </c>
      <c r="AN293">
        <v>29500</v>
      </c>
      <c r="AO293">
        <v>29500</v>
      </c>
      <c r="BB293" s="23">
        <f>_xlfn.XLOOKUP(TabelaClean[[#This Row],[nome]],Base_Dirty!$B:$B,Base_Dirty!AX:AX)</f>
        <v>0</v>
      </c>
      <c r="BC293" s="81">
        <f>IF(AND(TabelaClean[[#This Row],[analise_risco]]="Arriscado",TabelaClean[[#This Row],[analise_credito]]="Reprovado"),0,IF(TabelaClean[[#This Row],[status]]="Ativo",TabelaClean[[#This Row],[valor_solicitado]]*1.08,0))</f>
        <v>78840</v>
      </c>
    </row>
    <row r="294" spans="1:55">
      <c r="A294" s="24" t="s">
        <v>76</v>
      </c>
      <c r="B294" s="17" t="s">
        <v>582</v>
      </c>
      <c r="C294" s="25" t="s">
        <v>959</v>
      </c>
      <c r="D294" s="54">
        <v>67</v>
      </c>
      <c r="E294" s="30">
        <v>21619</v>
      </c>
      <c r="F294" s="24" t="str">
        <f>TabelaClean[[#This Row],[CidadeCPF]]</f>
        <v>Ponta Tempestade</v>
      </c>
      <c r="G294" s="17" t="str">
        <f>TabelaClean[[#This Row],[RegiaoCPF]]</f>
        <v>Terras Da Tempestade</v>
      </c>
      <c r="H294" s="17" t="str">
        <f>_xlfn.XLOOKUP(TabelaClean[[#This Row],[cpf]],TabelaDirty[cpfclean],TabelaDirty[cidade])</f>
        <v>Ponta Tempestade</v>
      </c>
      <c r="I294" s="17" t="str">
        <f>_xlfn.XLOOKUP(TabelaClean[[#This Row],[cpf]],TabelaDirty[cpfclean],TabelaDirty[regiao])</f>
        <v>TERRAS DA TEMPESTADE</v>
      </c>
      <c r="J294" s="17" t="str">
        <f>PROPER(TabelaClean[[#This Row],[Coluna1]])</f>
        <v>Terras Da Tempestade</v>
      </c>
      <c r="K294" s="17" t="e">
        <f>_xlfn.TEXTBEFORE(TabelaClean[[#This Row],[CidadeCPF]]," | ")</f>
        <v>#N/A</v>
      </c>
      <c r="L294" s="24" t="e">
        <f>_xlfn.TEXTAFTER(TabelaClean[[#This Row],[CidadeCPF]]," | ")</f>
        <v>#N/A</v>
      </c>
      <c r="M294" s="26">
        <v>20200</v>
      </c>
      <c r="N294" s="78">
        <v>6500</v>
      </c>
      <c r="O294" s="1" t="s">
        <v>51</v>
      </c>
      <c r="P29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4" s="84">
        <v>1</v>
      </c>
      <c r="R294" s="1" t="str" cm="1">
        <f t="array" ref="R294">_xlfn.IFS(TabelaClean[[#This Row],[qtde_batalhas]]&lt;=10,"Baixo",TabelaClean[[#This Row],[qtde_batalhas]]&gt;=26,"Alto",TabelaClean[[#This Row],[qtde_batalhas]]&lt;26,"Médio")</f>
        <v>Baixo</v>
      </c>
      <c r="S294" s="1" t="str">
        <f>IF(AND(TabelaClean[[#This Row],[nivel_risco]]="Alto",TabelaClean[[#This Row],[flag_inadimplente]]="Sim"),"Arriscado","Ok")</f>
        <v>Ok</v>
      </c>
      <c r="T294" s="26">
        <v>98500</v>
      </c>
      <c r="U294" s="81">
        <f>IF(AND(TabelaClean[[#This Row],[analise_risco]]="Arriscado",TabelaClean[[#This Row],[analise_credito]]="Reprovado"),0,IF(TabelaClean[[#This Row],[status]]="Ativo",TabelaClean[[#This Row],[valor_solicitado]]*1.08,0))</f>
        <v>106380</v>
      </c>
      <c r="W294" s="1"/>
      <c r="Y294" t="s">
        <v>809</v>
      </c>
      <c r="Z294" t="str">
        <f t="shared" si="4"/>
        <v>Null</v>
      </c>
      <c r="AE294" t="s">
        <v>548</v>
      </c>
      <c r="AF294" t="str">
        <f>TEXT(AE294,"000\.000\.000\-00")</f>
        <v>000.000.332-00</v>
      </c>
      <c r="AJ294" s="22">
        <v>12500</v>
      </c>
      <c r="AK294">
        <v>12500</v>
      </c>
      <c r="AM294" s="21">
        <v>44500</v>
      </c>
      <c r="AN294">
        <v>44500</v>
      </c>
      <c r="AO294">
        <v>44500</v>
      </c>
      <c r="BB294" s="26">
        <v>20200</v>
      </c>
      <c r="BC294" s="81">
        <f>IF(AND(TabelaClean[[#This Row],[analise_risco]]="Arriscado",TabelaClean[[#This Row],[analise_credito]]="Reprovado"),0,IF(TabelaClean[[#This Row],[status]]="Ativo",TabelaClean[[#This Row],[valor_solicitado]]*1.08,0))</f>
        <v>106380</v>
      </c>
    </row>
    <row r="295" spans="1:55">
      <c r="A295" s="24" t="s">
        <v>81</v>
      </c>
      <c r="B295" s="17" t="s">
        <v>960</v>
      </c>
      <c r="C295" s="25" t="s">
        <v>255</v>
      </c>
      <c r="D295" s="54">
        <v>67</v>
      </c>
      <c r="E295" s="30">
        <v>21512</v>
      </c>
      <c r="F295" s="24" t="str">
        <f>TabelaClean[[#This Row],[CidadeCPF]]</f>
        <v>Braavos</v>
      </c>
      <c r="G295" s="17" t="str">
        <f>TabelaClean[[#This Row],[RegiaoCPF]]</f>
        <v>Essos</v>
      </c>
      <c r="H295" s="17" t="str">
        <f>_xlfn.XLOOKUP(TabelaClean[[#This Row],[cpf]],TabelaDirty[cpfclean],TabelaDirty[cidade])</f>
        <v>Braavos</v>
      </c>
      <c r="I295" s="17" t="str">
        <f>_xlfn.XLOOKUP(TabelaClean[[#This Row],[cpf]],TabelaDirty[cpfclean],TabelaDirty[regiao])</f>
        <v>ESSOS</v>
      </c>
      <c r="J295" s="17" t="str">
        <f>PROPER(TabelaClean[[#This Row],[Coluna1]])</f>
        <v>Essos</v>
      </c>
      <c r="K295" s="17" t="e">
        <f>_xlfn.TEXTBEFORE(TabelaClean[[#This Row],[CidadeCPF]]," | ")</f>
        <v>#N/A</v>
      </c>
      <c r="L295" s="24" t="e">
        <f>_xlfn.TEXTAFTER(TabelaClean[[#This Row],[CidadeCPF]]," | ")</f>
        <v>#N/A</v>
      </c>
      <c r="M295" s="26">
        <v>3200</v>
      </c>
      <c r="N295" s="78">
        <v>6500</v>
      </c>
      <c r="O295" s="1" t="s">
        <v>50</v>
      </c>
      <c r="P29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5" s="84">
        <v>20</v>
      </c>
      <c r="R295" s="1" t="str" cm="1">
        <f t="array" ref="R295">_xlfn.IFS(TabelaClean[[#This Row],[qtde_batalhas]]&lt;=10,"Baixo",TabelaClean[[#This Row],[qtde_batalhas]]&gt;=26,"Alto",TabelaClean[[#This Row],[qtde_batalhas]]&lt;26,"Médio")</f>
        <v>Médio</v>
      </c>
      <c r="S295" s="1" t="str">
        <f>IF(AND(TabelaClean[[#This Row],[nivel_risco]]="Alto",TabelaClean[[#This Row],[flag_inadimplente]]="Sim"),"Arriscado","Ok")</f>
        <v>Ok</v>
      </c>
      <c r="T295" s="26">
        <v>52500</v>
      </c>
      <c r="U29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95" s="1"/>
      <c r="Y295" t="s">
        <v>809</v>
      </c>
      <c r="Z295" t="str">
        <f t="shared" si="4"/>
        <v>Null</v>
      </c>
      <c r="AE295" t="s">
        <v>219</v>
      </c>
      <c r="AF295" t="str">
        <f>TEXT(AE295,"000\.000\.000\-00")</f>
        <v>000.000.333-00</v>
      </c>
      <c r="AJ295" s="22">
        <v>20400</v>
      </c>
      <c r="AK295">
        <v>20400</v>
      </c>
      <c r="AM295" s="20">
        <v>0</v>
      </c>
      <c r="AN295">
        <v>0</v>
      </c>
      <c r="AO295">
        <v>0</v>
      </c>
      <c r="BB295" s="26">
        <v>3200</v>
      </c>
      <c r="BC29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96" spans="1:55">
      <c r="A296" s="24" t="s">
        <v>81</v>
      </c>
      <c r="B296" s="25" t="s">
        <v>134</v>
      </c>
      <c r="C296" s="25" t="s">
        <v>927</v>
      </c>
      <c r="D296" s="54">
        <v>55</v>
      </c>
      <c r="E296" s="30">
        <v>25892</v>
      </c>
      <c r="F296" s="24" t="str">
        <f>TabelaClean[[#This Row],[CidadeCPF]]</f>
        <v>Ponta Tempestade</v>
      </c>
      <c r="G296" s="17" t="str">
        <f>TabelaClean[[#This Row],[RegiaoCPF]]</f>
        <v>Terras Da Tempestade</v>
      </c>
      <c r="H296" s="17" t="str">
        <f>_xlfn.XLOOKUP(TabelaClean[[#This Row],[cpf]],TabelaDirty[cpfclean],TabelaDirty[cidade])</f>
        <v>Ponta Tempestade</v>
      </c>
      <c r="I296" s="17" t="str">
        <f>_xlfn.XLOOKUP(TabelaClean[[#This Row],[cpf]],TabelaDirty[cpfclean],TabelaDirty[regiao])</f>
        <v>TERRAS DA TEMPESTADE</v>
      </c>
      <c r="J296" s="17" t="str">
        <f>PROPER(TabelaClean[[#This Row],[Coluna1]])</f>
        <v>Terras Da Tempestade</v>
      </c>
      <c r="K296" s="17" t="e">
        <f>_xlfn.TEXTBEFORE(TabelaClean[[#This Row],[CidadeCPF]]," | ")</f>
        <v>#N/A</v>
      </c>
      <c r="L296" s="24" t="e">
        <f>_xlfn.TEXTAFTER(TabelaClean[[#This Row],[CidadeCPF]]," | ")</f>
        <v>#N/A</v>
      </c>
      <c r="M296" s="26">
        <v>5300</v>
      </c>
      <c r="N296" s="78">
        <v>6500</v>
      </c>
      <c r="O296" s="1" t="s">
        <v>50</v>
      </c>
      <c r="P29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6" s="84">
        <v>42</v>
      </c>
      <c r="R296" s="1" t="str" cm="1">
        <f t="array" ref="R296">_xlfn.IFS(TabelaClean[[#This Row],[qtde_batalhas]]&lt;=10,"Baixo",TabelaClean[[#This Row],[qtde_batalhas]]&gt;=26,"Alto",TabelaClean[[#This Row],[qtde_batalhas]]&lt;26,"Médio")</f>
        <v>Alto</v>
      </c>
      <c r="S296" s="1" t="str">
        <f>IF(AND(TabelaClean[[#This Row],[nivel_risco]]="Alto",TabelaClean[[#This Row],[flag_inadimplente]]="Sim"),"Arriscado","Ok")</f>
        <v>Ok</v>
      </c>
      <c r="T296" s="26">
        <v>96000</v>
      </c>
      <c r="U29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296" s="1"/>
      <c r="Y296" t="s">
        <v>809</v>
      </c>
      <c r="Z296" t="str">
        <f t="shared" si="4"/>
        <v>Null</v>
      </c>
      <c r="AE296" t="s">
        <v>317</v>
      </c>
      <c r="AF296" t="str">
        <f>TEXT(AE296,"000\.000\.000\-00")</f>
        <v>000.000.334-00</v>
      </c>
      <c r="AJ296" s="22">
        <v>27500</v>
      </c>
      <c r="AK296">
        <v>27500</v>
      </c>
      <c r="AM296" s="21">
        <v>14000</v>
      </c>
      <c r="AN296">
        <v>14000</v>
      </c>
      <c r="AO296">
        <v>14000</v>
      </c>
      <c r="BB296" s="26">
        <v>5300</v>
      </c>
      <c r="BC29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297" spans="1:55">
      <c r="A297" s="24" t="s">
        <v>76</v>
      </c>
      <c r="B297" s="17" t="s">
        <v>961</v>
      </c>
      <c r="C297" s="25" t="s">
        <v>192</v>
      </c>
      <c r="D297" s="54">
        <v>44</v>
      </c>
      <c r="E297" s="30">
        <v>29975</v>
      </c>
      <c r="F297" s="24" t="str">
        <f>TabelaClean[[#This Row],[CidadeCPF]]</f>
        <v>Lannisporto</v>
      </c>
      <c r="G297" s="17" t="str">
        <f>TabelaClean[[#This Row],[RegiaoCPF]]</f>
        <v>Oeste</v>
      </c>
      <c r="H297" s="17" t="str">
        <f>_xlfn.XLOOKUP(TabelaClean[[#This Row],[cpf]],TabelaDirty[cpfclean],TabelaDirty[cidade])</f>
        <v>Lannisporto</v>
      </c>
      <c r="I297" s="17" t="str">
        <f>_xlfn.XLOOKUP(TabelaClean[[#This Row],[cpf]],TabelaDirty[cpfclean],TabelaDirty[regiao])</f>
        <v>oeste</v>
      </c>
      <c r="J297" s="17" t="str">
        <f>PROPER(TabelaClean[[#This Row],[Coluna1]])</f>
        <v>Oeste</v>
      </c>
      <c r="K297" s="17" t="e">
        <f>_xlfn.TEXTBEFORE(TabelaClean[[#This Row],[CidadeCPF]]," | ")</f>
        <v>#N/A</v>
      </c>
      <c r="L297" s="24" t="e">
        <f>_xlfn.TEXTAFTER(TabelaClean[[#This Row],[CidadeCPF]]," | ")</f>
        <v>#N/A</v>
      </c>
      <c r="M297" s="26">
        <v>5300</v>
      </c>
      <c r="N297" s="78">
        <v>6000</v>
      </c>
      <c r="O297" s="1" t="s">
        <v>51</v>
      </c>
      <c r="P29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7" s="84">
        <v>1</v>
      </c>
      <c r="R297" s="1" t="str" cm="1">
        <f t="array" ref="R297">_xlfn.IFS(TabelaClean[[#This Row],[qtde_batalhas]]&lt;=10,"Baixo",TabelaClean[[#This Row],[qtde_batalhas]]&gt;=26,"Alto",TabelaClean[[#This Row],[qtde_batalhas]]&lt;26,"Médio")</f>
        <v>Baixo</v>
      </c>
      <c r="S297" s="1" t="str">
        <f>IF(AND(TabelaClean[[#This Row],[nivel_risco]]="Alto",TabelaClean[[#This Row],[flag_inadimplente]]="Sim"),"Arriscado","Ok")</f>
        <v>Ok</v>
      </c>
      <c r="T297" s="26">
        <v>4500</v>
      </c>
      <c r="U297" s="81">
        <f>IF(AND(TabelaClean[[#This Row],[analise_risco]]="Arriscado",TabelaClean[[#This Row],[analise_credito]]="Reprovado"),0,IF(TabelaClean[[#This Row],[status]]="Ativo",TabelaClean[[#This Row],[valor_solicitado]]*1.08,0))</f>
        <v>4860</v>
      </c>
      <c r="W297" s="1"/>
      <c r="Y297" t="s">
        <v>809</v>
      </c>
      <c r="Z297" t="str">
        <f t="shared" si="4"/>
        <v>Null</v>
      </c>
      <c r="AE297" t="s">
        <v>574</v>
      </c>
      <c r="AF297" t="str">
        <f>TEXT(AE297,"000\.000\.000\-00")</f>
        <v>000.000.335-00</v>
      </c>
      <c r="AJ297" s="22">
        <v>28900</v>
      </c>
      <c r="AK297">
        <v>28900</v>
      </c>
      <c r="AM297" s="20">
        <v>37000</v>
      </c>
      <c r="AN297">
        <v>37000</v>
      </c>
      <c r="AO297">
        <v>37000</v>
      </c>
      <c r="BB297" s="26">
        <v>5300</v>
      </c>
      <c r="BC297" s="81">
        <f>IF(AND(TabelaClean[[#This Row],[analise_risco]]="Arriscado",TabelaClean[[#This Row],[analise_credito]]="Reprovado"),0,IF(TabelaClean[[#This Row],[status]]="Ativo",TabelaClean[[#This Row],[valor_solicitado]]*1.08,0))</f>
        <v>4860</v>
      </c>
    </row>
    <row r="298" spans="1:55">
      <c r="A298" s="24" t="s">
        <v>76</v>
      </c>
      <c r="B298" s="17" t="s">
        <v>566</v>
      </c>
      <c r="C298" s="25" t="s">
        <v>567</v>
      </c>
      <c r="D298" s="54">
        <v>72</v>
      </c>
      <c r="E298" s="30">
        <v>19623</v>
      </c>
      <c r="F298" s="24" t="str">
        <f>TabelaClean[[#This Row],[CidadeCPF]]</f>
        <v>Lannisporto</v>
      </c>
      <c r="G298" s="17" t="str">
        <f>TabelaClean[[#This Row],[RegiaoCPF]]</f>
        <v>Oeste</v>
      </c>
      <c r="H298" s="17" t="str">
        <f>_xlfn.XLOOKUP(TabelaClean[[#This Row],[cpf]],TabelaDirty[cpfclean],TabelaDirty[cidade])</f>
        <v>Lannisporto</v>
      </c>
      <c r="I298" s="17" t="str">
        <f>_xlfn.XLOOKUP(TabelaClean[[#This Row],[cpf]],TabelaDirty[cpfclean],TabelaDirty[regiao])</f>
        <v>Oeste</v>
      </c>
      <c r="J298" s="17" t="str">
        <f>PROPER(TabelaClean[[#This Row],[Coluna1]])</f>
        <v>Oeste</v>
      </c>
      <c r="K298" s="17" t="e">
        <f>_xlfn.TEXTBEFORE(TabelaClean[[#This Row],[CidadeCPF]]," | ")</f>
        <v>#N/A</v>
      </c>
      <c r="L298" s="24" t="e">
        <f>_xlfn.TEXTAFTER(TabelaClean[[#This Row],[CidadeCPF]]," | ")</f>
        <v>#N/A</v>
      </c>
      <c r="M298" s="26">
        <v>12600</v>
      </c>
      <c r="N298" s="78">
        <v>5500</v>
      </c>
      <c r="O298" s="1" t="s">
        <v>51</v>
      </c>
      <c r="P29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8" s="84">
        <v>35</v>
      </c>
      <c r="R298" s="1" t="str" cm="1">
        <f t="array" ref="R298">_xlfn.IFS(TabelaClean[[#This Row],[qtde_batalhas]]&lt;=10,"Baixo",TabelaClean[[#This Row],[qtde_batalhas]]&gt;=26,"Alto",TabelaClean[[#This Row],[qtde_batalhas]]&lt;26,"Médio")</f>
        <v>Alto</v>
      </c>
      <c r="S298" s="1" t="str">
        <f>IF(AND(TabelaClean[[#This Row],[nivel_risco]]="Alto",TabelaClean[[#This Row],[flag_inadimplente]]="Sim"),"Arriscado","Ok")</f>
        <v>Arriscado</v>
      </c>
      <c r="T298" s="26">
        <v>21000</v>
      </c>
      <c r="U298" s="81">
        <f>IF(AND(TabelaClean[[#This Row],[analise_risco]]="Arriscado",TabelaClean[[#This Row],[analise_credito]]="Reprovado"),0,IF(TabelaClean[[#This Row],[status]]="Ativo",TabelaClean[[#This Row],[valor_solicitado]]*1.08,0))</f>
        <v>22680</v>
      </c>
      <c r="W298" s="1"/>
      <c r="Y298" t="s">
        <v>809</v>
      </c>
      <c r="Z298" t="str">
        <f t="shared" si="4"/>
        <v>Null</v>
      </c>
      <c r="AE298" t="s">
        <v>78</v>
      </c>
      <c r="AF298" t="str">
        <f>TEXT(AE298,"000\.000\.000\-00")</f>
        <v>000.000.336-00</v>
      </c>
      <c r="AJ298" s="22">
        <v>8700</v>
      </c>
      <c r="AK298">
        <v>8700</v>
      </c>
      <c r="AM298" s="21" t="s">
        <v>232</v>
      </c>
      <c r="AN298" t="s">
        <v>809</v>
      </c>
      <c r="AO298" t="s">
        <v>809</v>
      </c>
      <c r="BB298" s="26">
        <v>12600</v>
      </c>
      <c r="BC298" s="81">
        <f>IF(AND(TabelaClean[[#This Row],[analise_risco]]="Arriscado",TabelaClean[[#This Row],[analise_credito]]="Reprovado"),0,IF(TabelaClean[[#This Row],[status]]="Ativo",TabelaClean[[#This Row],[valor_solicitado]]*1.08,0))</f>
        <v>22680</v>
      </c>
    </row>
    <row r="299" spans="1:55">
      <c r="A299" s="24" t="s">
        <v>76</v>
      </c>
      <c r="B299" s="17" t="s">
        <v>565</v>
      </c>
      <c r="C299" s="25" t="s">
        <v>928</v>
      </c>
      <c r="D299" s="54">
        <v>35</v>
      </c>
      <c r="E299" s="30">
        <v>33440</v>
      </c>
      <c r="F299" s="24" t="str">
        <f>TabelaClean[[#This Row],[CidadeCPF]]</f>
        <v>Pyke</v>
      </c>
      <c r="G299" s="17" t="str">
        <f>TabelaClean[[#This Row],[RegiaoCPF]]</f>
        <v>Ilhas De Ferro</v>
      </c>
      <c r="H299" s="17" t="str">
        <f>_xlfn.XLOOKUP(TabelaClean[[#This Row],[cpf]],TabelaDirty[cpfclean],TabelaDirty[cidade])</f>
        <v>Pyke</v>
      </c>
      <c r="I299" s="17" t="str">
        <f>_xlfn.XLOOKUP(TabelaClean[[#This Row],[cpf]],TabelaDirty[cpfclean],TabelaDirty[regiao])</f>
        <v>ILHAS DE FERRO</v>
      </c>
      <c r="J299" s="17" t="str">
        <f>PROPER(TabelaClean[[#This Row],[Coluna1]])</f>
        <v>Ilhas De Ferro</v>
      </c>
      <c r="K299" s="17" t="e">
        <f>_xlfn.TEXTBEFORE(TabelaClean[[#This Row],[CidadeCPF]]," | ")</f>
        <v>#N/A</v>
      </c>
      <c r="L299" s="24" t="e">
        <f>_xlfn.TEXTAFTER(TabelaClean[[#This Row],[CidadeCPF]]," | ")</f>
        <v>#N/A</v>
      </c>
      <c r="M299" s="26">
        <v>2000</v>
      </c>
      <c r="N299" s="78">
        <v>5500</v>
      </c>
      <c r="O299" s="1" t="s">
        <v>50</v>
      </c>
      <c r="P29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299" s="84">
        <v>34</v>
      </c>
      <c r="R299" s="1" t="str" cm="1">
        <f t="array" ref="R299">_xlfn.IFS(TabelaClean[[#This Row],[qtde_batalhas]]&lt;=10,"Baixo",TabelaClean[[#This Row],[qtde_batalhas]]&gt;=26,"Alto",TabelaClean[[#This Row],[qtde_batalhas]]&lt;26,"Médio")</f>
        <v>Alto</v>
      </c>
      <c r="S299" s="1" t="str">
        <f>IF(AND(TabelaClean[[#This Row],[nivel_risco]]="Alto",TabelaClean[[#This Row],[flag_inadimplente]]="Sim"),"Arriscado","Ok")</f>
        <v>Ok</v>
      </c>
      <c r="T299" s="26">
        <v>71000</v>
      </c>
      <c r="U299" s="81">
        <f>IF(AND(TabelaClean[[#This Row],[analise_risco]]="Arriscado",TabelaClean[[#This Row],[analise_credito]]="Reprovado"),0,IF(TabelaClean[[#This Row],[status]]="Ativo",TabelaClean[[#This Row],[valor_solicitado]]*1.08,0))</f>
        <v>76680</v>
      </c>
      <c r="W299" s="1"/>
      <c r="Y299" t="s">
        <v>456</v>
      </c>
      <c r="Z299" t="str">
        <f t="shared" si="4"/>
        <v>Gargalo</v>
      </c>
      <c r="AE299" t="s">
        <v>234</v>
      </c>
      <c r="AF299" t="str">
        <f>TEXT(AE299,"000\.000\.000\-00")</f>
        <v>000.000.338-00</v>
      </c>
      <c r="AJ299" s="22">
        <v>15200</v>
      </c>
      <c r="AK299">
        <v>15200</v>
      </c>
      <c r="AM299" s="20">
        <v>67500</v>
      </c>
      <c r="AN299">
        <v>67500</v>
      </c>
      <c r="AO299">
        <v>67500</v>
      </c>
      <c r="BB299" s="26">
        <v>2000</v>
      </c>
      <c r="BC299" s="81">
        <f>IF(AND(TabelaClean[[#This Row],[analise_risco]]="Arriscado",TabelaClean[[#This Row],[analise_credito]]="Reprovado"),0,IF(TabelaClean[[#This Row],[status]]="Ativo",TabelaClean[[#This Row],[valor_solicitado]]*1.08,0))</f>
        <v>76680</v>
      </c>
    </row>
    <row r="300" spans="1:55">
      <c r="A300" s="24" t="s">
        <v>81</v>
      </c>
      <c r="B300" s="17" t="s">
        <v>140</v>
      </c>
      <c r="C300" s="25" t="s">
        <v>871</v>
      </c>
      <c r="D300" s="54">
        <v>43</v>
      </c>
      <c r="E300" s="30">
        <v>30391</v>
      </c>
      <c r="F300" s="24" t="str">
        <f>TabelaClean[[#This Row],[CidadeCPF]]</f>
        <v>Castelo Negro</v>
      </c>
      <c r="G300" s="17" t="str">
        <f>TabelaClean[[#This Row],[RegiaoCPF]]</f>
        <v>Norte</v>
      </c>
      <c r="H300" s="17" t="str">
        <f>_xlfn.XLOOKUP(TabelaClean[[#This Row],[cpf]],TabelaDirty[cpfclean],TabelaDirty[cidade])</f>
        <v>Castelo Negro</v>
      </c>
      <c r="I300" s="17" t="str">
        <f>_xlfn.XLOOKUP(TabelaClean[[#This Row],[cpf]],TabelaDirty[cpfclean],TabelaDirty[regiao])</f>
        <v>Norte</v>
      </c>
      <c r="J300" s="17" t="str">
        <f>PROPER(TabelaClean[[#This Row],[Coluna1]])</f>
        <v>Norte</v>
      </c>
      <c r="K300" s="17" t="e">
        <f>_xlfn.TEXTBEFORE(TabelaClean[[#This Row],[CidadeCPF]]," | ")</f>
        <v>#N/A</v>
      </c>
      <c r="L300" s="24" t="e">
        <f>_xlfn.TEXTAFTER(TabelaClean[[#This Row],[CidadeCPF]]," | ")</f>
        <v>#N/A</v>
      </c>
      <c r="M300" s="26">
        <v>7100</v>
      </c>
      <c r="N300" s="78">
        <v>5500</v>
      </c>
      <c r="O300" s="1" t="s">
        <v>50</v>
      </c>
      <c r="P30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0" s="84">
        <v>23</v>
      </c>
      <c r="R300" s="1" t="str" cm="1">
        <f t="array" ref="R300">_xlfn.IFS(TabelaClean[[#This Row],[qtde_batalhas]]&lt;=10,"Baixo",TabelaClean[[#This Row],[qtde_batalhas]]&gt;=26,"Alto",TabelaClean[[#This Row],[qtde_batalhas]]&lt;26,"Médio")</f>
        <v>Médio</v>
      </c>
      <c r="S300" s="1" t="str">
        <f>IF(AND(TabelaClean[[#This Row],[nivel_risco]]="Alto",TabelaClean[[#This Row],[flag_inadimplente]]="Sim"),"Arriscado","Ok")</f>
        <v>Ok</v>
      </c>
      <c r="T300" s="26">
        <v>67000</v>
      </c>
      <c r="U30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00" s="1"/>
      <c r="Y300" t="s">
        <v>809</v>
      </c>
      <c r="Z300" t="str">
        <f t="shared" si="4"/>
        <v>Null</v>
      </c>
      <c r="AE300" t="s">
        <v>212</v>
      </c>
      <c r="AF300" t="str">
        <f>TEXT(AE300,"000\.000\.000\-00")</f>
        <v>000.000.341-00</v>
      </c>
      <c r="AJ300" s="22" t="s">
        <v>785</v>
      </c>
      <c r="AK300">
        <v>11400</v>
      </c>
      <c r="AM300" s="21">
        <v>0</v>
      </c>
      <c r="AN300">
        <v>0</v>
      </c>
      <c r="AO300">
        <v>0</v>
      </c>
      <c r="BB300" s="26">
        <v>7100</v>
      </c>
      <c r="BC30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01" spans="1:55">
      <c r="A301" s="24" t="s">
        <v>76</v>
      </c>
      <c r="B301" s="17" t="s">
        <v>294</v>
      </c>
      <c r="C301" s="25" t="s">
        <v>295</v>
      </c>
      <c r="D301" s="54">
        <v>55</v>
      </c>
      <c r="E301" s="30">
        <v>25874</v>
      </c>
      <c r="F301" s="24" t="str">
        <f>TabelaClean[[#This Row],[CidadeCPF]]</f>
        <v>Dorne</v>
      </c>
      <c r="G301" s="17" t="str">
        <f>TabelaClean[[#This Row],[RegiaoCPF]]</f>
        <v>Dorne</v>
      </c>
      <c r="H301" s="17" t="str">
        <f>_xlfn.XLOOKUP(TabelaClean[[#This Row],[cpf]],TabelaDirty[cpfclean],TabelaDirty[cidade])</f>
        <v>Dorne</v>
      </c>
      <c r="I301" s="17" t="str">
        <f>_xlfn.XLOOKUP(TabelaClean[[#This Row],[cpf]],TabelaDirty[cpfclean],TabelaDirty[regiao])</f>
        <v>dorne</v>
      </c>
      <c r="J301" s="17" t="str">
        <f>PROPER(TabelaClean[[#This Row],[Coluna1]])</f>
        <v>Dorne</v>
      </c>
      <c r="K301" s="17" t="e">
        <f>_xlfn.TEXTBEFORE(TabelaClean[[#This Row],[CidadeCPF]]," | ")</f>
        <v>#N/A</v>
      </c>
      <c r="L301" s="24" t="e">
        <f>_xlfn.TEXTAFTER(TabelaClean[[#This Row],[CidadeCPF]]," | ")</f>
        <v>#N/A</v>
      </c>
      <c r="M301" s="26">
        <v>29100</v>
      </c>
      <c r="N301" s="78">
        <v>5500</v>
      </c>
      <c r="O301" s="1" t="s">
        <v>50</v>
      </c>
      <c r="P30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1" s="84">
        <v>11</v>
      </c>
      <c r="R301" s="1" t="str" cm="1">
        <f t="array" ref="R301">_xlfn.IFS(TabelaClean[[#This Row],[qtde_batalhas]]&lt;=10,"Baixo",TabelaClean[[#This Row],[qtde_batalhas]]&gt;=26,"Alto",TabelaClean[[#This Row],[qtde_batalhas]]&lt;26,"Médio")</f>
        <v>Médio</v>
      </c>
      <c r="S301" s="1" t="str">
        <f>IF(AND(TabelaClean[[#This Row],[nivel_risco]]="Alto",TabelaClean[[#This Row],[flag_inadimplente]]="Sim"),"Arriscado","Ok")</f>
        <v>Ok</v>
      </c>
      <c r="T301" s="26">
        <v>56000</v>
      </c>
      <c r="U301" s="81">
        <f>IF(AND(TabelaClean[[#This Row],[analise_risco]]="Arriscado",TabelaClean[[#This Row],[analise_credito]]="Reprovado"),0,IF(TabelaClean[[#This Row],[status]]="Ativo",TabelaClean[[#This Row],[valor_solicitado]]*1.08,0))</f>
        <v>60480.000000000007</v>
      </c>
      <c r="W301" s="1"/>
      <c r="Y301" t="s">
        <v>809</v>
      </c>
      <c r="Z301" t="str">
        <f t="shared" si="4"/>
        <v>Null</v>
      </c>
      <c r="AE301" t="s">
        <v>370</v>
      </c>
      <c r="AF301" t="str">
        <f>TEXT(AE301,"000\.000\.000\-00")</f>
        <v>000.000.342-00</v>
      </c>
      <c r="AJ301" s="22">
        <v>28600</v>
      </c>
      <c r="AK301">
        <v>28600</v>
      </c>
      <c r="AM301" s="20">
        <v>67500</v>
      </c>
      <c r="AN301">
        <v>67500</v>
      </c>
      <c r="AO301">
        <v>67500</v>
      </c>
      <c r="BB301" s="26">
        <v>29100</v>
      </c>
      <c r="BC301" s="81">
        <f>IF(AND(TabelaClean[[#This Row],[analise_risco]]="Arriscado",TabelaClean[[#This Row],[analise_credito]]="Reprovado"),0,IF(TabelaClean[[#This Row],[status]]="Ativo",TabelaClean[[#This Row],[valor_solicitado]]*1.08,0))</f>
        <v>60480.000000000007</v>
      </c>
    </row>
    <row r="302" spans="1:55">
      <c r="A302" s="24" t="s">
        <v>76</v>
      </c>
      <c r="B302" s="17" t="s">
        <v>561</v>
      </c>
      <c r="C302" s="25" t="s">
        <v>562</v>
      </c>
      <c r="D302" s="54">
        <v>22</v>
      </c>
      <c r="E302" s="30">
        <v>38079</v>
      </c>
      <c r="F302" s="24" t="str">
        <f>TabelaClean[[#This Row],[CidadeCPF]]</f>
        <v>Ponta Tempestade</v>
      </c>
      <c r="G302" s="17" t="str">
        <f>TabelaClean[[#This Row],[RegiaoCPF]]</f>
        <v>Terras Da Tempestade</v>
      </c>
      <c r="H302" s="17" t="str">
        <f>_xlfn.XLOOKUP(TabelaClean[[#This Row],[cpf]],TabelaDirty[cpfclean],TabelaDirty[cidade])</f>
        <v>Ponta Tempestade</v>
      </c>
      <c r="I302" s="17" t="str">
        <f>_xlfn.XLOOKUP(TabelaClean[[#This Row],[cpf]],TabelaDirty[cpfclean],TabelaDirty[regiao])</f>
        <v>Terras da Tempestade</v>
      </c>
      <c r="J302" s="17" t="str">
        <f>PROPER(TabelaClean[[#This Row],[Coluna1]])</f>
        <v>Terras Da Tempestade</v>
      </c>
      <c r="K302" s="17" t="e">
        <f>_xlfn.TEXTBEFORE(TabelaClean[[#This Row],[CidadeCPF]]," | ")</f>
        <v>#N/A</v>
      </c>
      <c r="L302" s="24" t="e">
        <f>_xlfn.TEXTAFTER(TabelaClean[[#This Row],[CidadeCPF]]," | ")</f>
        <v>#N/A</v>
      </c>
      <c r="M302" s="26">
        <v>9200</v>
      </c>
      <c r="N302" s="78">
        <v>5000</v>
      </c>
      <c r="O302" s="1" t="s">
        <v>50</v>
      </c>
      <c r="P30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2" s="84">
        <v>42</v>
      </c>
      <c r="R302" s="1" t="str" cm="1">
        <f t="array" ref="R302">_xlfn.IFS(TabelaClean[[#This Row],[qtde_batalhas]]&lt;=10,"Baixo",TabelaClean[[#This Row],[qtde_batalhas]]&gt;=26,"Alto",TabelaClean[[#This Row],[qtde_batalhas]]&lt;26,"Médio")</f>
        <v>Alto</v>
      </c>
      <c r="S302" s="1" t="str">
        <f>IF(AND(TabelaClean[[#This Row],[nivel_risco]]="Alto",TabelaClean[[#This Row],[flag_inadimplente]]="Sim"),"Arriscado","Ok")</f>
        <v>Ok</v>
      </c>
      <c r="T302" s="26">
        <v>63500</v>
      </c>
      <c r="U302" s="81">
        <f>IF(AND(TabelaClean[[#This Row],[analise_risco]]="Arriscado",TabelaClean[[#This Row],[analise_credito]]="Reprovado"),0,IF(TabelaClean[[#This Row],[status]]="Ativo",TabelaClean[[#This Row],[valor_solicitado]]*1.08,0))</f>
        <v>68580</v>
      </c>
      <c r="W302" s="1"/>
      <c r="Y302" t="s">
        <v>809</v>
      </c>
      <c r="Z302" t="str">
        <f t="shared" si="4"/>
        <v>Null</v>
      </c>
      <c r="AE302" t="s">
        <v>742</v>
      </c>
      <c r="AF302" t="str">
        <f>TEXT(AE302,"000\.000\.000\-00")</f>
        <v>000.000.345-00</v>
      </c>
      <c r="AJ302" s="22">
        <v>16900</v>
      </c>
      <c r="AK302">
        <v>16900</v>
      </c>
      <c r="AM302" s="21">
        <v>42500</v>
      </c>
      <c r="AN302">
        <v>42500</v>
      </c>
      <c r="AO302">
        <v>42500</v>
      </c>
      <c r="BB302" s="26">
        <v>9200</v>
      </c>
      <c r="BC302" s="81">
        <f>IF(AND(TabelaClean[[#This Row],[analise_risco]]="Arriscado",TabelaClean[[#This Row],[analise_credito]]="Reprovado"),0,IF(TabelaClean[[#This Row],[status]]="Ativo",TabelaClean[[#This Row],[valor_solicitado]]*1.08,0))</f>
        <v>68580</v>
      </c>
    </row>
    <row r="303" spans="1:55">
      <c r="A303" s="24" t="s">
        <v>81</v>
      </c>
      <c r="B303" s="17" t="s">
        <v>779</v>
      </c>
      <c r="C303" s="25" t="s">
        <v>780</v>
      </c>
      <c r="D303" s="54">
        <v>31</v>
      </c>
      <c r="E303" s="30">
        <v>34824</v>
      </c>
      <c r="F303" s="24" t="str">
        <f>TabelaClean[[#This Row],[CidadeCPF]]</f>
        <v>Solar do Entardecer</v>
      </c>
      <c r="G303" s="17" t="str">
        <f>TabelaClean[[#This Row],[RegiaoCPF]]</f>
        <v>Terras Da Tempestade</v>
      </c>
      <c r="H303" s="17" t="str">
        <f>_xlfn.XLOOKUP(TabelaClean[[#This Row],[cpf]],TabelaDirty[cpfclean],TabelaDirty[cidade])</f>
        <v>Solar do Entardecer</v>
      </c>
      <c r="I303" s="17" t="str">
        <f>_xlfn.XLOOKUP(TabelaClean[[#This Row],[cpf]],TabelaDirty[cpfclean],TabelaDirty[regiao])</f>
        <v>Terras da Tempestade</v>
      </c>
      <c r="J303" s="17" t="str">
        <f>PROPER(TabelaClean[[#This Row],[Coluna1]])</f>
        <v>Terras Da Tempestade</v>
      </c>
      <c r="K303" s="17" t="e">
        <f>_xlfn.TEXTBEFORE(TabelaClean[[#This Row],[CidadeCPF]]," | ")</f>
        <v>#N/A</v>
      </c>
      <c r="L303" s="24" t="e">
        <f>_xlfn.TEXTAFTER(TabelaClean[[#This Row],[CidadeCPF]]," | ")</f>
        <v>#N/A</v>
      </c>
      <c r="M303" s="26">
        <v>29500</v>
      </c>
      <c r="N303" s="78">
        <v>5000</v>
      </c>
      <c r="O303" s="1" t="s">
        <v>50</v>
      </c>
      <c r="P30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3" s="84">
        <v>22</v>
      </c>
      <c r="R303" s="1" t="str" cm="1">
        <f t="array" ref="R303">_xlfn.IFS(TabelaClean[[#This Row],[qtde_batalhas]]&lt;=10,"Baixo",TabelaClean[[#This Row],[qtde_batalhas]]&gt;=26,"Alto",TabelaClean[[#This Row],[qtde_batalhas]]&lt;26,"Médio")</f>
        <v>Médio</v>
      </c>
      <c r="S303" s="1" t="str">
        <f>IF(AND(TabelaClean[[#This Row],[nivel_risco]]="Alto",TabelaClean[[#This Row],[flag_inadimplente]]="Sim"),"Arriscado","Ok")</f>
        <v>Ok</v>
      </c>
      <c r="T303" s="26">
        <v>18000</v>
      </c>
      <c r="U30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03" s="1"/>
      <c r="Y303" t="s">
        <v>149</v>
      </c>
      <c r="Z303" t="str">
        <f t="shared" si="4"/>
        <v>Campina</v>
      </c>
      <c r="AE303" t="s">
        <v>164</v>
      </c>
      <c r="AF303" t="str">
        <f>TEXT(AE303,"000\.000\.000\-00")</f>
        <v>000.000.346-00</v>
      </c>
      <c r="AJ303" s="22">
        <v>24100</v>
      </c>
      <c r="AK303">
        <v>24100</v>
      </c>
      <c r="AM303" s="20">
        <v>0</v>
      </c>
      <c r="AN303">
        <v>0</v>
      </c>
      <c r="AO303">
        <v>0</v>
      </c>
      <c r="BB303" s="26">
        <v>29500</v>
      </c>
      <c r="BC30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04" spans="1:55">
      <c r="A304" s="24" t="s">
        <v>81</v>
      </c>
      <c r="B304" s="17" t="s">
        <v>650</v>
      </c>
      <c r="C304" s="25" t="s">
        <v>651</v>
      </c>
      <c r="D304" s="54">
        <v>55</v>
      </c>
      <c r="E304" s="30">
        <v>25848</v>
      </c>
      <c r="F304" s="24" t="str">
        <f>TabelaClean[[#This Row],[CidadeCPF]]</f>
        <v>Meereen</v>
      </c>
      <c r="G304" s="17" t="str">
        <f>TabelaClean[[#This Row],[RegiaoCPF]]</f>
        <v>Essos</v>
      </c>
      <c r="H304" s="17" t="str">
        <f>_xlfn.XLOOKUP(TabelaClean[[#This Row],[cpf]],TabelaDirty[cpfclean],TabelaDirty[cidade])</f>
        <v>Meereen</v>
      </c>
      <c r="I304" s="17" t="str">
        <f>_xlfn.XLOOKUP(TabelaClean[[#This Row],[cpf]],TabelaDirty[cpfclean],TabelaDirty[regiao])</f>
        <v>Essos</v>
      </c>
      <c r="J304" s="17" t="str">
        <f>PROPER(TabelaClean[[#This Row],[Coluna1]])</f>
        <v>Essos</v>
      </c>
      <c r="K304" s="17" t="e">
        <f>_xlfn.TEXTBEFORE(TabelaClean[[#This Row],[CidadeCPF]]," | ")</f>
        <v>#N/A</v>
      </c>
      <c r="L304" s="24" t="e">
        <f>_xlfn.TEXTAFTER(TabelaClean[[#This Row],[CidadeCPF]]," | ")</f>
        <v>#N/A</v>
      </c>
      <c r="N304" s="78">
        <v>5000</v>
      </c>
      <c r="O304" s="1" t="s">
        <v>50</v>
      </c>
      <c r="P30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4" s="84">
        <v>8</v>
      </c>
      <c r="R304" s="1" t="str" cm="1">
        <f t="array" ref="R304">_xlfn.IFS(TabelaClean[[#This Row],[qtde_batalhas]]&lt;=10,"Baixo",TabelaClean[[#This Row],[qtde_batalhas]]&gt;=26,"Alto",TabelaClean[[#This Row],[qtde_batalhas]]&lt;26,"Médio")</f>
        <v>Baixo</v>
      </c>
      <c r="S304" s="1" t="str">
        <f>IF(AND(TabelaClean[[#This Row],[nivel_risco]]="Alto",TabelaClean[[#This Row],[flag_inadimplente]]="Sim"),"Arriscado","Ok")</f>
        <v>Ok</v>
      </c>
      <c r="T304" s="26">
        <v>11000</v>
      </c>
      <c r="U30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04" s="1"/>
      <c r="Y304" t="s">
        <v>809</v>
      </c>
      <c r="Z304" t="str">
        <f t="shared" si="4"/>
        <v>Null</v>
      </c>
      <c r="AE304" t="s">
        <v>703</v>
      </c>
      <c r="AF304" t="str">
        <f>TEXT(AE304,"000\.000\.000\-00")</f>
        <v>000.000.347-00</v>
      </c>
      <c r="AJ304" s="22">
        <v>18500</v>
      </c>
      <c r="AK304">
        <v>18500</v>
      </c>
      <c r="AM304" s="21">
        <v>59000</v>
      </c>
      <c r="AN304">
        <v>59000</v>
      </c>
      <c r="AO304">
        <v>59000</v>
      </c>
      <c r="BC30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05" spans="1:55">
      <c r="A305" s="24" t="s">
        <v>76</v>
      </c>
      <c r="B305" s="17" t="s">
        <v>515</v>
      </c>
      <c r="C305" s="25" t="s">
        <v>516</v>
      </c>
      <c r="D305" s="54">
        <v>60</v>
      </c>
      <c r="E305" s="30">
        <v>24021</v>
      </c>
      <c r="F305" s="24" t="str">
        <f>TabelaClean[[#This Row],[CidadeCPF]]</f>
        <v>Winterfell</v>
      </c>
      <c r="G305" s="17" t="str">
        <f>TabelaClean[[#This Row],[RegiaoCPF]]</f>
        <v>Norte</v>
      </c>
      <c r="H305" s="17" t="str">
        <f>_xlfn.XLOOKUP(TabelaClean[[#This Row],[cpf]],TabelaDirty[cpfclean],TabelaDirty[cidade])</f>
        <v>Winterfell</v>
      </c>
      <c r="I305" s="17" t="str">
        <f>_xlfn.XLOOKUP(TabelaClean[[#This Row],[cpf]],TabelaDirty[cpfclean],TabelaDirty[regiao])</f>
        <v>NORTE</v>
      </c>
      <c r="J305" s="17" t="str">
        <f>PROPER(TabelaClean[[#This Row],[Coluna1]])</f>
        <v>Norte</v>
      </c>
      <c r="K305" s="17" t="e">
        <f>_xlfn.TEXTBEFORE(TabelaClean[[#This Row],[CidadeCPF]]," | ")</f>
        <v>#N/A</v>
      </c>
      <c r="L305" s="24" t="e">
        <f>_xlfn.TEXTAFTER(TabelaClean[[#This Row],[CidadeCPF]]," | ")</f>
        <v>#N/A</v>
      </c>
      <c r="M305" s="26">
        <v>22900</v>
      </c>
      <c r="N305" s="78">
        <v>4500</v>
      </c>
      <c r="O305" s="1" t="s">
        <v>51</v>
      </c>
      <c r="P30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5" s="84">
        <v>29</v>
      </c>
      <c r="R305" s="1" t="str" cm="1">
        <f t="array" ref="R305">_xlfn.IFS(TabelaClean[[#This Row],[qtde_batalhas]]&lt;=10,"Baixo",TabelaClean[[#This Row],[qtde_batalhas]]&gt;=26,"Alto",TabelaClean[[#This Row],[qtde_batalhas]]&lt;26,"Médio")</f>
        <v>Alto</v>
      </c>
      <c r="S305" s="1" t="str">
        <f>IF(AND(TabelaClean[[#This Row],[nivel_risco]]="Alto",TabelaClean[[#This Row],[flag_inadimplente]]="Sim"),"Arriscado","Ok")</f>
        <v>Arriscado</v>
      </c>
      <c r="T305" s="26">
        <v>43500</v>
      </c>
      <c r="U305" s="81">
        <f>IF(AND(TabelaClean[[#This Row],[analise_risco]]="Arriscado",TabelaClean[[#This Row],[analise_credito]]="Reprovado"),0,IF(TabelaClean[[#This Row],[status]]="Ativo",TabelaClean[[#This Row],[valor_solicitado]]*1.08,0))</f>
        <v>46980</v>
      </c>
      <c r="W305" s="1"/>
      <c r="Y305" t="s">
        <v>809</v>
      </c>
      <c r="Z305" t="str">
        <f t="shared" si="4"/>
        <v>Null</v>
      </c>
      <c r="AE305" t="s">
        <v>693</v>
      </c>
      <c r="AF305" t="str">
        <f>TEXT(AE305,"000\.000\.000\-00")</f>
        <v>000.000.351-00</v>
      </c>
      <c r="AJ305" s="22">
        <v>3900</v>
      </c>
      <c r="AK305">
        <v>3900</v>
      </c>
      <c r="AM305" s="20">
        <v>80000</v>
      </c>
      <c r="AN305">
        <v>80000</v>
      </c>
      <c r="AO305">
        <v>80000</v>
      </c>
      <c r="BB305" s="26">
        <v>22900</v>
      </c>
      <c r="BC305" s="81">
        <f>IF(AND(TabelaClean[[#This Row],[analise_risco]]="Arriscado",TabelaClean[[#This Row],[analise_credito]]="Reprovado"),0,IF(TabelaClean[[#This Row],[status]]="Ativo",TabelaClean[[#This Row],[valor_solicitado]]*1.08,0))</f>
        <v>46980</v>
      </c>
    </row>
    <row r="306" spans="1:55">
      <c r="A306" s="24" t="s">
        <v>81</v>
      </c>
      <c r="B306" s="17" t="s">
        <v>444</v>
      </c>
      <c r="C306" s="25" t="s">
        <v>850</v>
      </c>
      <c r="D306" s="54">
        <v>51</v>
      </c>
      <c r="E306" s="30">
        <v>27590</v>
      </c>
      <c r="F306" s="24" t="str">
        <f>TabelaClean[[#This Row],[CidadeCPF]]</f>
        <v>Castelo Negro</v>
      </c>
      <c r="G306" s="17" t="str">
        <f>TabelaClean[[#This Row],[RegiaoCPF]]</f>
        <v>Norte</v>
      </c>
      <c r="H306" s="17" t="str">
        <f>_xlfn.XLOOKUP(TabelaClean[[#This Row],[cpf]],TabelaDirty[cpfclean],TabelaDirty[cidade])</f>
        <v>Castelo Negro</v>
      </c>
      <c r="I306" s="17" t="str">
        <f>_xlfn.XLOOKUP(TabelaClean[[#This Row],[cpf]],TabelaDirty[cpfclean],TabelaDirty[regiao])</f>
        <v>Norte</v>
      </c>
      <c r="J306" s="17" t="str">
        <f>PROPER(TabelaClean[[#This Row],[Coluna1]])</f>
        <v>Norte</v>
      </c>
      <c r="K306" s="17" t="e">
        <f>_xlfn.TEXTBEFORE(TabelaClean[[#This Row],[CidadeCPF]]," | ")</f>
        <v>#N/A</v>
      </c>
      <c r="L306" s="24" t="e">
        <f>_xlfn.TEXTAFTER(TabelaClean[[#This Row],[CidadeCPF]]," | ")</f>
        <v>#N/A</v>
      </c>
      <c r="M306" s="26">
        <v>19400</v>
      </c>
      <c r="N306" s="78">
        <v>4000</v>
      </c>
      <c r="O306" s="1" t="s">
        <v>50</v>
      </c>
      <c r="P30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6" s="84">
        <v>30</v>
      </c>
      <c r="R306" s="1" t="str" cm="1">
        <f t="array" ref="R306">_xlfn.IFS(TabelaClean[[#This Row],[qtde_batalhas]]&lt;=10,"Baixo",TabelaClean[[#This Row],[qtde_batalhas]]&gt;=26,"Alto",TabelaClean[[#This Row],[qtde_batalhas]]&lt;26,"Médio")</f>
        <v>Alto</v>
      </c>
      <c r="S306" s="1" t="str">
        <f>IF(AND(TabelaClean[[#This Row],[nivel_risco]]="Alto",TabelaClean[[#This Row],[flag_inadimplente]]="Sim"),"Arriscado","Ok")</f>
        <v>Ok</v>
      </c>
      <c r="T306" s="26">
        <v>38500</v>
      </c>
      <c r="U30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06" s="1"/>
      <c r="Y306" t="s">
        <v>256</v>
      </c>
      <c r="Z306" t="str">
        <f t="shared" si="4"/>
        <v>Essos</v>
      </c>
      <c r="AE306" t="s">
        <v>700</v>
      </c>
      <c r="AF306" t="str">
        <f>TEXT(AE306,"000\.000\.000\-00")</f>
        <v>000.000.353-00</v>
      </c>
      <c r="AJ306" s="22">
        <v>2600</v>
      </c>
      <c r="AK306">
        <v>2600</v>
      </c>
      <c r="AM306" s="21">
        <v>0</v>
      </c>
      <c r="AN306">
        <v>0</v>
      </c>
      <c r="AO306">
        <v>0</v>
      </c>
      <c r="BB306" s="26">
        <v>19400</v>
      </c>
      <c r="BC30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07" spans="1:55">
      <c r="A307" s="24" t="s">
        <v>81</v>
      </c>
      <c r="B307" s="17" t="s">
        <v>152</v>
      </c>
      <c r="C307" s="25" t="s">
        <v>153</v>
      </c>
      <c r="D307" s="54">
        <v>53</v>
      </c>
      <c r="E307" s="30">
        <v>26629</v>
      </c>
      <c r="F307" s="24" t="str">
        <f>TabelaClean[[#This Row],[CidadeCPF]]</f>
        <v>Ilha dos Ursos</v>
      </c>
      <c r="G307" s="17" t="str">
        <f>TabelaClean[[#This Row],[RegiaoCPF]]</f>
        <v>Norte</v>
      </c>
      <c r="H307" s="17" t="str">
        <f>_xlfn.XLOOKUP(TabelaClean[[#This Row],[cpf]],TabelaDirty[cpfclean],TabelaDirty[cidade])</f>
        <v>Ilha dos Ursos</v>
      </c>
      <c r="I307" s="17" t="str">
        <f>_xlfn.XLOOKUP(TabelaClean[[#This Row],[cpf]],TabelaDirty[cpfclean],TabelaDirty[regiao])</f>
        <v>NORTE</v>
      </c>
      <c r="J307" s="17" t="str">
        <f>PROPER(TabelaClean[[#This Row],[Coluna1]])</f>
        <v>Norte</v>
      </c>
      <c r="K307" s="17" t="e">
        <f>_xlfn.TEXTBEFORE(TabelaClean[[#This Row],[CidadeCPF]]," | ")</f>
        <v>#N/A</v>
      </c>
      <c r="L307" s="24" t="e">
        <f>_xlfn.TEXTAFTER(TabelaClean[[#This Row],[CidadeCPF]]," | ")</f>
        <v>#N/A</v>
      </c>
      <c r="M307" s="26">
        <v>16500</v>
      </c>
      <c r="N307" s="78">
        <v>4000</v>
      </c>
      <c r="O307" s="1" t="s">
        <v>50</v>
      </c>
      <c r="P30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7" s="84">
        <v>14</v>
      </c>
      <c r="R307" s="1" t="str" cm="1">
        <f t="array" ref="R307">_xlfn.IFS(TabelaClean[[#This Row],[qtde_batalhas]]&lt;=10,"Baixo",TabelaClean[[#This Row],[qtde_batalhas]]&gt;=26,"Alto",TabelaClean[[#This Row],[qtde_batalhas]]&lt;26,"Médio")</f>
        <v>Médio</v>
      </c>
      <c r="S307" s="1" t="str">
        <f>IF(AND(TabelaClean[[#This Row],[nivel_risco]]="Alto",TabelaClean[[#This Row],[flag_inadimplente]]="Sim"),"Arriscado","Ok")</f>
        <v>Ok</v>
      </c>
      <c r="T307" s="26">
        <v>36000</v>
      </c>
      <c r="U30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07" s="1"/>
      <c r="Y307" t="s">
        <v>809</v>
      </c>
      <c r="Z307" t="str">
        <f t="shared" si="4"/>
        <v>Null</v>
      </c>
      <c r="AE307" t="s">
        <v>516</v>
      </c>
      <c r="AF307" t="str">
        <f>TEXT(AE307,"000\.000\.000\-00")</f>
        <v>000.000.354-00</v>
      </c>
      <c r="AJ307" s="22">
        <v>5400</v>
      </c>
      <c r="AK307">
        <v>5400</v>
      </c>
      <c r="AM307" s="20">
        <v>61000</v>
      </c>
      <c r="AN307">
        <v>61000</v>
      </c>
      <c r="AO307">
        <v>61000</v>
      </c>
      <c r="BB307" s="26">
        <v>16500</v>
      </c>
      <c r="BC30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08" spans="1:55">
      <c r="A308" s="24" t="s">
        <v>81</v>
      </c>
      <c r="B308" s="17" t="s">
        <v>451</v>
      </c>
      <c r="C308" s="25" t="s">
        <v>962</v>
      </c>
      <c r="D308" s="54" t="s">
        <v>809</v>
      </c>
      <c r="E308" s="30">
        <v>19234</v>
      </c>
      <c r="F308" s="24" t="str">
        <f>TabelaClean[[#This Row],[CidadeCPF]]</f>
        <v>Jardim de Cima</v>
      </c>
      <c r="G308" s="17" t="str">
        <f>TabelaClean[[#This Row],[RegiaoCPF]]</f>
        <v>Campina</v>
      </c>
      <c r="H308" s="17" t="str">
        <f>_xlfn.XLOOKUP(TabelaClean[[#This Row],[cpf]],TabelaDirty[cpfclean],TabelaDirty[cidade])</f>
        <v>Jardim de Cima</v>
      </c>
      <c r="I308" s="17" t="str">
        <f>_xlfn.XLOOKUP(TabelaClean[[#This Row],[cpf]],TabelaDirty[cpfclean],TabelaDirty[regiao])</f>
        <v>Campina</v>
      </c>
      <c r="J308" s="17" t="str">
        <f>PROPER(TabelaClean[[#This Row],[Coluna1]])</f>
        <v>Campina</v>
      </c>
      <c r="K308" s="17" t="e">
        <f>_xlfn.TEXTBEFORE(TabelaClean[[#This Row],[CidadeCPF]]," | ")</f>
        <v>#N/A</v>
      </c>
      <c r="L308" s="24" t="e">
        <f>_xlfn.TEXTAFTER(TabelaClean[[#This Row],[CidadeCPF]]," | ")</f>
        <v>#N/A</v>
      </c>
      <c r="M308" s="26">
        <v>8900</v>
      </c>
      <c r="N308" s="78">
        <v>4000</v>
      </c>
      <c r="O308" s="1" t="s">
        <v>50</v>
      </c>
      <c r="P30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8" s="84">
        <v>38</v>
      </c>
      <c r="R308" s="1" t="str" cm="1">
        <f t="array" ref="R308">_xlfn.IFS(TabelaClean[[#This Row],[qtde_batalhas]]&lt;=10,"Baixo",TabelaClean[[#This Row],[qtde_batalhas]]&gt;=26,"Alto",TabelaClean[[#This Row],[qtde_batalhas]]&lt;26,"Médio")</f>
        <v>Alto</v>
      </c>
      <c r="S308" s="1" t="str">
        <f>IF(AND(TabelaClean[[#This Row],[nivel_risco]]="Alto",TabelaClean[[#This Row],[flag_inadimplente]]="Sim"),"Arriscado","Ok")</f>
        <v>Ok</v>
      </c>
      <c r="T308" s="26">
        <v>22500</v>
      </c>
      <c r="U30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08" s="1"/>
      <c r="Y308" t="s">
        <v>809</v>
      </c>
      <c r="Z308" t="str">
        <f t="shared" si="4"/>
        <v>Null</v>
      </c>
      <c r="AE308" t="s">
        <v>732</v>
      </c>
      <c r="AF308" t="str">
        <f>TEXT(AE308,"000\.000\.000\-00")</f>
        <v>000.000.355-00</v>
      </c>
      <c r="AJ308" s="22">
        <v>11600</v>
      </c>
      <c r="AK308">
        <v>11600</v>
      </c>
      <c r="AM308" s="21">
        <v>63500</v>
      </c>
      <c r="AN308">
        <v>63500</v>
      </c>
      <c r="AO308">
        <v>63500</v>
      </c>
      <c r="BB308" s="26">
        <v>8900</v>
      </c>
      <c r="BC30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09" spans="1:55">
      <c r="A309" s="24" t="s">
        <v>76</v>
      </c>
      <c r="B309" s="17" t="s">
        <v>585</v>
      </c>
      <c r="C309" s="25" t="s">
        <v>586</v>
      </c>
      <c r="D309" s="54">
        <v>25</v>
      </c>
      <c r="E309" s="30">
        <v>37056</v>
      </c>
      <c r="F309" s="24" t="str">
        <f>TabelaClean[[#This Row],[CidadeCPF]]</f>
        <v>Fosso Cailin</v>
      </c>
      <c r="G309" s="17" t="str">
        <f>TabelaClean[[#This Row],[RegiaoCPF]]</f>
        <v>Norte</v>
      </c>
      <c r="H309" s="17" t="str">
        <f>_xlfn.XLOOKUP(TabelaClean[[#This Row],[cpf]],TabelaDirty[cpfclean],TabelaDirty[cidade])</f>
        <v>Fosso Cailin</v>
      </c>
      <c r="I309" s="17" t="str">
        <f>_xlfn.XLOOKUP(TabelaClean[[#This Row],[cpf]],TabelaDirty[cpfclean],TabelaDirty[regiao])</f>
        <v>Norte</v>
      </c>
      <c r="J309" s="17" t="str">
        <f>PROPER(TabelaClean[[#This Row],[Coluna1]])</f>
        <v>Norte</v>
      </c>
      <c r="K309" s="17" t="e">
        <f>_xlfn.TEXTBEFORE(TabelaClean[[#This Row],[CidadeCPF]]," | ")</f>
        <v>#N/A</v>
      </c>
      <c r="L309" s="24" t="e">
        <f>_xlfn.TEXTAFTER(TabelaClean[[#This Row],[CidadeCPF]]," | ")</f>
        <v>#N/A</v>
      </c>
      <c r="M309" s="26">
        <v>25400</v>
      </c>
      <c r="N309" s="78">
        <v>4000</v>
      </c>
      <c r="O309" s="1" t="s">
        <v>50</v>
      </c>
      <c r="P30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09" s="84">
        <v>4</v>
      </c>
      <c r="R309" s="1" t="str" cm="1">
        <f t="array" ref="R309">_xlfn.IFS(TabelaClean[[#This Row],[qtde_batalhas]]&lt;=10,"Baixo",TabelaClean[[#This Row],[qtde_batalhas]]&gt;=26,"Alto",TabelaClean[[#This Row],[qtde_batalhas]]&lt;26,"Médio")</f>
        <v>Baixo</v>
      </c>
      <c r="S309" s="1" t="str">
        <f>IF(AND(TabelaClean[[#This Row],[nivel_risco]]="Alto",TabelaClean[[#This Row],[flag_inadimplente]]="Sim"),"Arriscado","Ok")</f>
        <v>Ok</v>
      </c>
      <c r="T309" s="26">
        <v>8500</v>
      </c>
      <c r="U309" s="81">
        <f>IF(AND(TabelaClean[[#This Row],[analise_risco]]="Arriscado",TabelaClean[[#This Row],[analise_credito]]="Reprovado"),0,IF(TabelaClean[[#This Row],[status]]="Ativo",TabelaClean[[#This Row],[valor_solicitado]]*1.08,0))</f>
        <v>9180</v>
      </c>
      <c r="W309" s="1"/>
      <c r="Y309" t="s">
        <v>809</v>
      </c>
      <c r="Z309" t="str">
        <f t="shared" si="4"/>
        <v>Null</v>
      </c>
      <c r="AE309" t="s">
        <v>790</v>
      </c>
      <c r="AF309" t="str">
        <f>TEXT(AE309,"000\.000\.000\-00")</f>
        <v>000.000.356-00</v>
      </c>
      <c r="AJ309" s="22">
        <v>14100</v>
      </c>
      <c r="AK309">
        <v>14100</v>
      </c>
      <c r="AM309" s="20">
        <v>1500</v>
      </c>
      <c r="AN309">
        <v>1500</v>
      </c>
      <c r="AO309">
        <v>1500</v>
      </c>
      <c r="BB309" s="26">
        <v>25400</v>
      </c>
      <c r="BC309" s="81">
        <f>IF(AND(TabelaClean[[#This Row],[analise_risco]]="Arriscado",TabelaClean[[#This Row],[analise_credito]]="Reprovado"),0,IF(TabelaClean[[#This Row],[status]]="Ativo",TabelaClean[[#This Row],[valor_solicitado]]*1.08,0))</f>
        <v>9180</v>
      </c>
    </row>
    <row r="310" spans="1:55">
      <c r="A310" s="24" t="s">
        <v>76</v>
      </c>
      <c r="B310" s="17" t="s">
        <v>188</v>
      </c>
      <c r="C310" s="25" t="s">
        <v>189</v>
      </c>
      <c r="D310" s="54">
        <v>42</v>
      </c>
      <c r="E310" s="30">
        <v>30878</v>
      </c>
      <c r="F310" s="24" t="str">
        <f>TabelaClean[[#This Row],[CidadeCPF]]</f>
        <v>Pyke</v>
      </c>
      <c r="G310" s="17" t="str">
        <f>TabelaClean[[#This Row],[RegiaoCPF]]</f>
        <v>Ilhas De Ferro</v>
      </c>
      <c r="H310" s="17" t="str">
        <f>_xlfn.XLOOKUP(TabelaClean[[#This Row],[cpf]],TabelaDirty[cpfclean],TabelaDirty[cidade])</f>
        <v>Pyke</v>
      </c>
      <c r="I310" s="17" t="str">
        <f>_xlfn.XLOOKUP(TabelaClean[[#This Row],[cpf]],TabelaDirty[cpfclean],TabelaDirty[regiao])</f>
        <v>Ilhas de Ferro</v>
      </c>
      <c r="J310" s="17" t="str">
        <f>PROPER(TabelaClean[[#This Row],[Coluna1]])</f>
        <v>Ilhas De Ferro</v>
      </c>
      <c r="K310" s="17" t="e">
        <f>_xlfn.TEXTBEFORE(TabelaClean[[#This Row],[CidadeCPF]]," | ")</f>
        <v>#N/A</v>
      </c>
      <c r="L310" s="24" t="e">
        <f>_xlfn.TEXTAFTER(TabelaClean[[#This Row],[CidadeCPF]]," | ")</f>
        <v>#N/A</v>
      </c>
      <c r="M310" s="26">
        <v>17500</v>
      </c>
      <c r="N310" s="78">
        <v>3500</v>
      </c>
      <c r="O310" s="1" t="s">
        <v>50</v>
      </c>
      <c r="P31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0" s="84">
        <v>25</v>
      </c>
      <c r="R310" s="1" t="str" cm="1">
        <f t="array" ref="R310">_xlfn.IFS(TabelaClean[[#This Row],[qtde_batalhas]]&lt;=10,"Baixo",TabelaClean[[#This Row],[qtde_batalhas]]&gt;=26,"Alto",TabelaClean[[#This Row],[qtde_batalhas]]&lt;26,"Médio")</f>
        <v>Médio</v>
      </c>
      <c r="S310" s="1" t="str">
        <f>IF(AND(TabelaClean[[#This Row],[nivel_risco]]="Alto",TabelaClean[[#This Row],[flag_inadimplente]]="Sim"),"Arriscado","Ok")</f>
        <v>Ok</v>
      </c>
      <c r="T310" s="26">
        <v>35000</v>
      </c>
      <c r="U310" s="81">
        <f>IF(AND(TabelaClean[[#This Row],[analise_risco]]="Arriscado",TabelaClean[[#This Row],[analise_credito]]="Reprovado"),0,IF(TabelaClean[[#This Row],[status]]="Ativo",TabelaClean[[#This Row],[valor_solicitado]]*1.08,0))</f>
        <v>37800</v>
      </c>
      <c r="W310" s="1"/>
      <c r="Y310" t="s">
        <v>809</v>
      </c>
      <c r="Z310" t="str">
        <f t="shared" si="4"/>
        <v>Null</v>
      </c>
      <c r="AE310" t="s">
        <v>428</v>
      </c>
      <c r="AF310" t="str">
        <f>TEXT(AE310,"000\.000\.000\-00")</f>
        <v>000.000.357-00</v>
      </c>
      <c r="AJ310" s="22" t="s">
        <v>224</v>
      </c>
      <c r="AK310">
        <v>2000</v>
      </c>
      <c r="AM310" s="21">
        <v>51000</v>
      </c>
      <c r="AN310">
        <v>51000</v>
      </c>
      <c r="AO310">
        <v>51000</v>
      </c>
      <c r="BB310" s="26">
        <v>17500</v>
      </c>
      <c r="BC310" s="81">
        <f>IF(AND(TabelaClean[[#This Row],[analise_risco]]="Arriscado",TabelaClean[[#This Row],[analise_credito]]="Reprovado"),0,IF(TabelaClean[[#This Row],[status]]="Ativo",TabelaClean[[#This Row],[valor_solicitado]]*1.08,0))</f>
        <v>37800</v>
      </c>
    </row>
    <row r="311" spans="1:55">
      <c r="A311" s="24" t="s">
        <v>76</v>
      </c>
      <c r="B311" s="17" t="s">
        <v>194</v>
      </c>
      <c r="C311" s="25" t="s">
        <v>195</v>
      </c>
      <c r="D311" s="54">
        <v>40</v>
      </c>
      <c r="E311" s="30">
        <v>31539</v>
      </c>
      <c r="F311" s="24" t="str">
        <f>TabelaClean[[#This Row],[CidadeCPF]]</f>
        <v>Fosso Cailin</v>
      </c>
      <c r="G311" s="17" t="str">
        <f>TabelaClean[[#This Row],[RegiaoCPF]]</f>
        <v>Norte</v>
      </c>
      <c r="H311" s="17" t="str">
        <f>_xlfn.XLOOKUP(TabelaClean[[#This Row],[cpf]],TabelaDirty[cpfclean],TabelaDirty[cidade])</f>
        <v>Fosso Cailin</v>
      </c>
      <c r="I311" s="17" t="str">
        <f>_xlfn.XLOOKUP(TabelaClean[[#This Row],[cpf]],TabelaDirty[cpfclean],TabelaDirty[regiao])</f>
        <v>Norte</v>
      </c>
      <c r="J311" s="17" t="str">
        <f>PROPER(TabelaClean[[#This Row],[Coluna1]])</f>
        <v>Norte</v>
      </c>
      <c r="K311" s="17" t="e">
        <f>_xlfn.TEXTBEFORE(TabelaClean[[#This Row],[CidadeCPF]]," | ")</f>
        <v>#N/A</v>
      </c>
      <c r="L311" s="24" t="e">
        <f>_xlfn.TEXTAFTER(TabelaClean[[#This Row],[CidadeCPF]]," | ")</f>
        <v>#N/A</v>
      </c>
      <c r="M311" s="26">
        <v>9900</v>
      </c>
      <c r="N311" s="78">
        <v>3500</v>
      </c>
      <c r="O311" s="1" t="s">
        <v>50</v>
      </c>
      <c r="P31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1" s="84">
        <v>1</v>
      </c>
      <c r="R311" s="1" t="str" cm="1">
        <f t="array" ref="R311">_xlfn.IFS(TabelaClean[[#This Row],[qtde_batalhas]]&lt;=10,"Baixo",TabelaClean[[#This Row],[qtde_batalhas]]&gt;=26,"Alto",TabelaClean[[#This Row],[qtde_batalhas]]&lt;26,"Médio")</f>
        <v>Baixo</v>
      </c>
      <c r="S311" s="1" t="str">
        <f>IF(AND(TabelaClean[[#This Row],[nivel_risco]]="Alto",TabelaClean[[#This Row],[flag_inadimplente]]="Sim"),"Arriscado","Ok")</f>
        <v>Ok</v>
      </c>
      <c r="T311" s="26">
        <v>23500</v>
      </c>
      <c r="U311" s="81">
        <f>IF(AND(TabelaClean[[#This Row],[analise_risco]]="Arriscado",TabelaClean[[#This Row],[analise_credito]]="Reprovado"),0,IF(TabelaClean[[#This Row],[status]]="Ativo",TabelaClean[[#This Row],[valor_solicitado]]*1.08,0))</f>
        <v>25380</v>
      </c>
      <c r="W311" s="1"/>
      <c r="Y311" t="s">
        <v>139</v>
      </c>
      <c r="Z311" t="str">
        <f t="shared" si="4"/>
        <v>Terras Fluviais</v>
      </c>
      <c r="AE311" t="s">
        <v>350</v>
      </c>
      <c r="AF311" t="str">
        <f>TEXT(AE311,"000\.000\.000\-00")</f>
        <v>000.000.359-00</v>
      </c>
      <c r="AJ311" s="22">
        <v>3200</v>
      </c>
      <c r="AK311">
        <v>3200</v>
      </c>
      <c r="AM311" s="20"/>
      <c r="AN311" t="s">
        <v>809</v>
      </c>
      <c r="AO311" t="s">
        <v>809</v>
      </c>
      <c r="BB311" s="26">
        <v>9900</v>
      </c>
      <c r="BC311" s="81">
        <f>IF(AND(TabelaClean[[#This Row],[analise_risco]]="Arriscado",TabelaClean[[#This Row],[analise_credito]]="Reprovado"),0,IF(TabelaClean[[#This Row],[status]]="Ativo",TabelaClean[[#This Row],[valor_solicitado]]*1.08,0))</f>
        <v>25380</v>
      </c>
    </row>
    <row r="312" spans="1:55">
      <c r="A312" s="24" t="s">
        <v>76</v>
      </c>
      <c r="B312" s="17" t="s">
        <v>665</v>
      </c>
      <c r="C312" s="25" t="s">
        <v>666</v>
      </c>
      <c r="D312" s="54">
        <v>62</v>
      </c>
      <c r="E312" s="30" t="s">
        <v>809</v>
      </c>
      <c r="F312" s="24" t="str">
        <f>TabelaClean[[#This Row],[CidadeCPF]]</f>
        <v>Jardim de Cima</v>
      </c>
      <c r="G312" s="17" t="str">
        <f>TabelaClean[[#This Row],[RegiaoCPF]]</f>
        <v>Campina</v>
      </c>
      <c r="H312" s="17" t="str">
        <f>_xlfn.XLOOKUP(TabelaClean[[#This Row],[cpf]],TabelaDirty[cpfclean],TabelaDirty[cidade])</f>
        <v>Jardim de Cima</v>
      </c>
      <c r="I312" s="17" t="str">
        <f>_xlfn.XLOOKUP(TabelaClean[[#This Row],[cpf]],TabelaDirty[cpfclean],TabelaDirty[regiao])</f>
        <v>Campina</v>
      </c>
      <c r="J312" s="17" t="str">
        <f>PROPER(TabelaClean[[#This Row],[Coluna1]])</f>
        <v>Campina</v>
      </c>
      <c r="K312" s="17" t="e">
        <f>_xlfn.TEXTBEFORE(TabelaClean[[#This Row],[CidadeCPF]]," | ")</f>
        <v>#N/A</v>
      </c>
      <c r="L312" s="24" t="e">
        <f>_xlfn.TEXTAFTER(TabelaClean[[#This Row],[CidadeCPF]]," | ")</f>
        <v>#N/A</v>
      </c>
      <c r="M312" s="26">
        <v>1900</v>
      </c>
      <c r="N312" s="78">
        <v>3500</v>
      </c>
      <c r="O312" s="1" t="s">
        <v>50</v>
      </c>
      <c r="P31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2" s="84">
        <v>19</v>
      </c>
      <c r="R312" s="1" t="str" cm="1">
        <f t="array" ref="R312">_xlfn.IFS(TabelaClean[[#This Row],[qtde_batalhas]]&lt;=10,"Baixo",TabelaClean[[#This Row],[qtde_batalhas]]&gt;=26,"Alto",TabelaClean[[#This Row],[qtde_batalhas]]&lt;26,"Médio")</f>
        <v>Médio</v>
      </c>
      <c r="S312" s="1" t="str">
        <f>IF(AND(TabelaClean[[#This Row],[nivel_risco]]="Alto",TabelaClean[[#This Row],[flag_inadimplente]]="Sim"),"Arriscado","Ok")</f>
        <v>Ok</v>
      </c>
      <c r="T312" s="26">
        <v>62000</v>
      </c>
      <c r="U312" s="81">
        <f>IF(AND(TabelaClean[[#This Row],[analise_risco]]="Arriscado",TabelaClean[[#This Row],[analise_credito]]="Reprovado"),0,IF(TabelaClean[[#This Row],[status]]="Ativo",TabelaClean[[#This Row],[valor_solicitado]]*1.08,0))</f>
        <v>66960</v>
      </c>
      <c r="W312" s="1"/>
      <c r="Y312" s="18" t="s">
        <v>132</v>
      </c>
      <c r="Z312" t="str">
        <f t="shared" si="4"/>
        <v>Ilhas De Ferro</v>
      </c>
      <c r="AE312" t="s">
        <v>161</v>
      </c>
      <c r="AF312" t="str">
        <f>TEXT(AE312,"000\.000\.000\-00")</f>
        <v>000.000.362-00</v>
      </c>
      <c r="AJ312" s="22" t="s">
        <v>746</v>
      </c>
      <c r="AK312">
        <v>21600</v>
      </c>
      <c r="AM312" s="21">
        <v>73500</v>
      </c>
      <c r="AN312">
        <v>73500</v>
      </c>
      <c r="AO312">
        <v>73500</v>
      </c>
      <c r="BB312" s="26">
        <v>1900</v>
      </c>
      <c r="BC312" s="81">
        <f>IF(AND(TabelaClean[[#This Row],[analise_risco]]="Arriscado",TabelaClean[[#This Row],[analise_credito]]="Reprovado"),0,IF(TabelaClean[[#This Row],[status]]="Ativo",TabelaClean[[#This Row],[valor_solicitado]]*1.08,0))</f>
        <v>66960</v>
      </c>
    </row>
    <row r="313" spans="1:55">
      <c r="A313" s="24" t="s">
        <v>76</v>
      </c>
      <c r="B313" s="17" t="s">
        <v>101</v>
      </c>
      <c r="C313" s="25" t="s">
        <v>102</v>
      </c>
      <c r="D313" s="54">
        <v>48</v>
      </c>
      <c r="E313" s="30">
        <v>28647</v>
      </c>
      <c r="F313" s="24" t="str">
        <f>TabelaClean[[#This Row],[CidadeCPF]]</f>
        <v>Lannisporto</v>
      </c>
      <c r="G313" s="17" t="str">
        <f>TabelaClean[[#This Row],[RegiaoCPF]]</f>
        <v>Oeste</v>
      </c>
      <c r="H313" s="17" t="str">
        <f>_xlfn.XLOOKUP(TabelaClean[[#This Row],[cpf]],TabelaDirty[cpfclean],TabelaDirty[cidade])</f>
        <v>Lannisporto</v>
      </c>
      <c r="I313" s="17" t="s">
        <v>108</v>
      </c>
      <c r="J313" s="17" t="str">
        <f>PROPER(TabelaClean[[#This Row],[Coluna1]])</f>
        <v>Oeste</v>
      </c>
      <c r="K313" s="17" t="e">
        <f>_xlfn.TEXTBEFORE(TabelaClean[[#This Row],[CidadeCPF]]," | ")</f>
        <v>#N/A</v>
      </c>
      <c r="L313" s="24" t="e">
        <f>_xlfn.TEXTAFTER(TabelaClean[[#This Row],[CidadeCPF]]," | ")</f>
        <v>#N/A</v>
      </c>
      <c r="M313" s="26">
        <v>13200</v>
      </c>
      <c r="N313" s="78">
        <v>3500</v>
      </c>
      <c r="O313" s="1" t="s">
        <v>50</v>
      </c>
      <c r="P31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3" s="84">
        <v>1</v>
      </c>
      <c r="R313" s="1" t="str" cm="1">
        <f t="array" ref="R313">_xlfn.IFS(TabelaClean[[#This Row],[qtde_batalhas]]&lt;=10,"Baixo",TabelaClean[[#This Row],[qtde_batalhas]]&gt;=26,"Alto",TabelaClean[[#This Row],[qtde_batalhas]]&lt;26,"Médio")</f>
        <v>Baixo</v>
      </c>
      <c r="S313" s="1" t="str">
        <f>IF(AND(TabelaClean[[#This Row],[nivel_risco]]="Alto",TabelaClean[[#This Row],[flag_inadimplente]]="Sim"),"Arriscado","Ok")</f>
        <v>Ok</v>
      </c>
      <c r="T313" s="26">
        <v>32500</v>
      </c>
      <c r="U313" s="81">
        <f>IF(AND(TabelaClean[[#This Row],[analise_risco]]="Arriscado",TabelaClean[[#This Row],[analise_credito]]="Reprovado"),0,IF(TabelaClean[[#This Row],[status]]="Ativo",TabelaClean[[#This Row],[valor_solicitado]]*1.08,0))</f>
        <v>35100</v>
      </c>
      <c r="W313" s="1"/>
      <c r="Y313" t="s">
        <v>809</v>
      </c>
      <c r="Z313" t="str">
        <f t="shared" si="4"/>
        <v>Null</v>
      </c>
      <c r="AE313" t="s">
        <v>88</v>
      </c>
      <c r="AF313" t="str">
        <f>TEXT(AE313,"000\.000\.000\-00")</f>
        <v>000.000.363-00</v>
      </c>
      <c r="AJ313" s="22">
        <v>4100</v>
      </c>
      <c r="AK313">
        <v>4100</v>
      </c>
      <c r="AM313" s="20">
        <v>78000</v>
      </c>
      <c r="AN313">
        <v>78000</v>
      </c>
      <c r="AO313">
        <v>78000</v>
      </c>
      <c r="BB313" s="26">
        <v>13200</v>
      </c>
      <c r="BC313" s="81">
        <f>IF(AND(TabelaClean[[#This Row],[analise_risco]]="Arriscado",TabelaClean[[#This Row],[analise_credito]]="Reprovado"),0,IF(TabelaClean[[#This Row],[status]]="Ativo",TabelaClean[[#This Row],[valor_solicitado]]*1.08,0))</f>
        <v>35100</v>
      </c>
    </row>
    <row r="314" spans="1:55">
      <c r="A314" s="24" t="s">
        <v>76</v>
      </c>
      <c r="B314" s="17" t="s">
        <v>721</v>
      </c>
      <c r="C314" s="25" t="s">
        <v>963</v>
      </c>
      <c r="D314" s="54">
        <v>33</v>
      </c>
      <c r="E314" s="30">
        <v>33892</v>
      </c>
      <c r="F314" s="25" t="s">
        <v>127</v>
      </c>
      <c r="G314" s="25" t="s">
        <v>122</v>
      </c>
      <c r="H314" s="24">
        <v>29200</v>
      </c>
      <c r="I314" s="24">
        <v>3000</v>
      </c>
      <c r="J314" s="24" t="s">
        <v>51</v>
      </c>
      <c r="K314" s="24">
        <v>40</v>
      </c>
      <c r="L314" s="24"/>
      <c r="M314" s="26">
        <v>26000</v>
      </c>
      <c r="N314" s="78">
        <v>3000</v>
      </c>
      <c r="O314" s="1" t="s">
        <v>51</v>
      </c>
      <c r="P314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4" s="84">
        <v>40</v>
      </c>
      <c r="R314" s="76" t="str" cm="1">
        <f t="array" ref="R314">_xlfn.IFS(TabelaClean[[#This Row],[qtde_batalhas]]&lt;=10,"Baixo",TabelaClean[[#This Row],[qtde_batalhas]]&gt;=26,"Alto",TabelaClean[[#This Row],[qtde_batalhas]]&lt;26,"Médio")</f>
        <v>Alto</v>
      </c>
      <c r="S314" s="76" t="str">
        <f>IF(AND(TabelaClean[[#This Row],[nivel_risco]]="Alto",TabelaClean[[#This Row],[flag_inadimplente]]="Sim"),"Arriscado","Ok")</f>
        <v>Arriscado</v>
      </c>
      <c r="T314" s="26">
        <v>26000</v>
      </c>
      <c r="U314" s="81">
        <f>IF(AND(TabelaClean[[#This Row],[analise_risco]]="Arriscado",TabelaClean[[#This Row],[analise_credito]]="Reprovado"),0,IF(TabelaClean[[#This Row],[status]]="Ativo",TabelaClean[[#This Row],[valor_solicitado]]*1.08,0))</f>
        <v>28080.000000000004</v>
      </c>
      <c r="W314" s="1"/>
      <c r="Y314" t="s">
        <v>809</v>
      </c>
      <c r="Z314" t="str">
        <f t="shared" si="4"/>
        <v>Null</v>
      </c>
      <c r="AE314" t="s">
        <v>203</v>
      </c>
      <c r="AF314" t="str">
        <f>TEXT(AE314,"000\.000\.000\-00")</f>
        <v>000.000.364-00</v>
      </c>
      <c r="AJ314" s="22">
        <v>3200</v>
      </c>
      <c r="AK314">
        <v>3200</v>
      </c>
      <c r="AM314" s="21">
        <v>0</v>
      </c>
      <c r="AN314">
        <v>0</v>
      </c>
      <c r="AO314">
        <v>0</v>
      </c>
      <c r="BB314" s="26">
        <v>26000</v>
      </c>
      <c r="BC314" s="81">
        <f>IF(AND(TabelaClean[[#This Row],[analise_risco]]="Arriscado",TabelaClean[[#This Row],[analise_credito]]="Reprovado"),0,IF(TabelaClean[[#This Row],[status]]="Ativo",TabelaClean[[#This Row],[valor_solicitado]]*1.08,0))</f>
        <v>28080.000000000004</v>
      </c>
    </row>
    <row r="315" spans="1:55">
      <c r="A315" s="24" t="s">
        <v>76</v>
      </c>
      <c r="B315" s="17" t="s">
        <v>425</v>
      </c>
      <c r="C315" s="25" t="s">
        <v>426</v>
      </c>
      <c r="D315" s="54">
        <v>66</v>
      </c>
      <c r="E315" s="30">
        <v>22151</v>
      </c>
      <c r="F315" s="24" t="str">
        <f>TabelaClean[[#This Row],[CidadeCPF]]</f>
        <v>Vilavelha</v>
      </c>
      <c r="G315" s="17" t="str">
        <f>TabelaClean[[#This Row],[RegiaoCPF]]</f>
        <v>Campina</v>
      </c>
      <c r="H315" s="17" t="str">
        <f>_xlfn.XLOOKUP(TabelaClean[[#This Row],[cpf]],TabelaDirty[cpfclean],TabelaDirty[cidade])</f>
        <v>Vilavelha</v>
      </c>
      <c r="I315" s="17" t="str">
        <f>_xlfn.XLOOKUP(TabelaClean[[#This Row],[cpf]],TabelaDirty[cpfclean],TabelaDirty[regiao])</f>
        <v>Campina</v>
      </c>
      <c r="J315" s="17" t="str">
        <f>PROPER(TabelaClean[[#This Row],[Coluna1]])</f>
        <v>Campina</v>
      </c>
      <c r="K315" s="17" t="e">
        <f>_xlfn.TEXTBEFORE(TabelaClean[[#This Row],[CidadeCPF]]," | ")</f>
        <v>#N/A</v>
      </c>
      <c r="L315" s="24" t="e">
        <f>_xlfn.TEXTAFTER(TabelaClean[[#This Row],[CidadeCPF]]," | ")</f>
        <v>#N/A</v>
      </c>
      <c r="M315" s="26">
        <v>11800</v>
      </c>
      <c r="N315" s="78">
        <v>2000</v>
      </c>
      <c r="O315" s="1" t="s">
        <v>51</v>
      </c>
      <c r="P31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5" s="84">
        <v>23</v>
      </c>
      <c r="R315" s="1" t="str" cm="1">
        <f t="array" ref="R315">_xlfn.IFS(TabelaClean[[#This Row],[qtde_batalhas]]&lt;=10,"Baixo",TabelaClean[[#This Row],[qtde_batalhas]]&gt;=26,"Alto",TabelaClean[[#This Row],[qtde_batalhas]]&lt;26,"Médio")</f>
        <v>Médio</v>
      </c>
      <c r="S315" s="1" t="str">
        <f>IF(AND(TabelaClean[[#This Row],[nivel_risco]]="Alto",TabelaClean[[#This Row],[flag_inadimplente]]="Sim"),"Arriscado","Ok")</f>
        <v>Ok</v>
      </c>
      <c r="T315" s="26">
        <v>72500</v>
      </c>
      <c r="U315" s="81">
        <f>IF(AND(TabelaClean[[#This Row],[analise_risco]]="Arriscado",TabelaClean[[#This Row],[analise_credito]]="Reprovado"),0,IF(TabelaClean[[#This Row],[status]]="Ativo",TabelaClean[[#This Row],[valor_solicitado]]*1.08,0))</f>
        <v>78300</v>
      </c>
      <c r="W315" s="1"/>
      <c r="Y315" t="s">
        <v>149</v>
      </c>
      <c r="Z315" t="str">
        <f t="shared" si="4"/>
        <v>Campina</v>
      </c>
      <c r="AE315" t="s">
        <v>130</v>
      </c>
      <c r="AF315" t="str">
        <f>TEXT(AE315,"000\.000\.000\-00")</f>
        <v>000.000.365-00</v>
      </c>
      <c r="AJ315" s="22" t="s">
        <v>612</v>
      </c>
      <c r="AK315">
        <v>18000</v>
      </c>
      <c r="AM315" s="20">
        <v>49500</v>
      </c>
      <c r="AN315">
        <v>49500</v>
      </c>
      <c r="AO315">
        <v>49500</v>
      </c>
      <c r="BB315" s="26">
        <v>11800</v>
      </c>
      <c r="BC315" s="81">
        <f>IF(AND(TabelaClean[[#This Row],[analise_risco]]="Arriscado",TabelaClean[[#This Row],[analise_credito]]="Reprovado"),0,IF(TabelaClean[[#This Row],[status]]="Ativo",TabelaClean[[#This Row],[valor_solicitado]]*1.08,0))</f>
        <v>78300</v>
      </c>
    </row>
    <row r="316" spans="1:55">
      <c r="A316" s="24" t="s">
        <v>76</v>
      </c>
      <c r="B316" s="17" t="s">
        <v>694</v>
      </c>
      <c r="C316" s="25" t="s">
        <v>695</v>
      </c>
      <c r="D316" s="54">
        <v>22</v>
      </c>
      <c r="E316" s="30">
        <v>37936</v>
      </c>
      <c r="F316" s="24" t="str">
        <f>TabelaClean[[#This Row],[CidadeCPF]]</f>
        <v>Ninho da Águia</v>
      </c>
      <c r="G316" s="17" t="str">
        <f>TabelaClean[[#This Row],[RegiaoCPF]]</f>
        <v>Vale</v>
      </c>
      <c r="H316" s="17" t="str">
        <f>_xlfn.XLOOKUP(TabelaClean[[#This Row],[cpf]],TabelaDirty[cpfclean],TabelaDirty[cidade])</f>
        <v>Ninho da Águia</v>
      </c>
      <c r="I316" s="17" t="str">
        <f>_xlfn.XLOOKUP(TabelaClean[[#This Row],[cpf]],TabelaDirty[cpfclean],TabelaDirty[regiao])</f>
        <v>vale</v>
      </c>
      <c r="J316" s="17" t="str">
        <f>PROPER(TabelaClean[[#This Row],[Coluna1]])</f>
        <v>Vale</v>
      </c>
      <c r="K316" s="17" t="e">
        <f>_xlfn.TEXTBEFORE(TabelaClean[[#This Row],[CidadeCPF]]," | ")</f>
        <v>#N/A</v>
      </c>
      <c r="L316" s="24" t="e">
        <f>_xlfn.TEXTAFTER(TabelaClean[[#This Row],[CidadeCPF]]," | ")</f>
        <v>#N/A</v>
      </c>
      <c r="M316" s="26">
        <v>4100</v>
      </c>
      <c r="N316" s="78">
        <v>2000</v>
      </c>
      <c r="O316" s="1" t="s">
        <v>50</v>
      </c>
      <c r="P31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6" s="84">
        <v>8</v>
      </c>
      <c r="R316" s="1" t="str" cm="1">
        <f t="array" ref="R316">_xlfn.IFS(TabelaClean[[#This Row],[qtde_batalhas]]&lt;=10,"Baixo",TabelaClean[[#This Row],[qtde_batalhas]]&gt;=26,"Alto",TabelaClean[[#This Row],[qtde_batalhas]]&lt;26,"Médio")</f>
        <v>Baixo</v>
      </c>
      <c r="S316" s="1" t="str">
        <f>IF(AND(TabelaClean[[#This Row],[nivel_risco]]="Alto",TabelaClean[[#This Row],[flag_inadimplente]]="Sim"),"Arriscado","Ok")</f>
        <v>Ok</v>
      </c>
      <c r="T316" s="26">
        <v>4000</v>
      </c>
      <c r="U316" s="81">
        <f>IF(AND(TabelaClean[[#This Row],[analise_risco]]="Arriscado",TabelaClean[[#This Row],[analise_credito]]="Reprovado"),0,IF(TabelaClean[[#This Row],[status]]="Ativo",TabelaClean[[#This Row],[valor_solicitado]]*1.08,0))</f>
        <v>4320</v>
      </c>
      <c r="W316" s="1"/>
      <c r="Y316" t="s">
        <v>809</v>
      </c>
      <c r="Z316" t="str">
        <f t="shared" si="4"/>
        <v>Null</v>
      </c>
      <c r="AE316" t="s">
        <v>745</v>
      </c>
      <c r="AF316" t="str">
        <f>TEXT(AE316,"000\.000\.000\-00")</f>
        <v>000.000.367-00</v>
      </c>
      <c r="AJ316" s="22">
        <v>25700</v>
      </c>
      <c r="AK316">
        <v>25700</v>
      </c>
      <c r="AM316" s="21">
        <v>35000</v>
      </c>
      <c r="AN316">
        <v>35000</v>
      </c>
      <c r="AO316">
        <v>35000</v>
      </c>
      <c r="BB316" s="26">
        <v>4100</v>
      </c>
      <c r="BC316" s="81">
        <f>IF(AND(TabelaClean[[#This Row],[analise_risco]]="Arriscado",TabelaClean[[#This Row],[analise_credito]]="Reprovado"),0,IF(TabelaClean[[#This Row],[status]]="Ativo",TabelaClean[[#This Row],[valor_solicitado]]*1.08,0))</f>
        <v>4320</v>
      </c>
    </row>
    <row r="317" spans="1:55">
      <c r="A317" s="24" t="s">
        <v>76</v>
      </c>
      <c r="B317" s="17" t="s">
        <v>964</v>
      </c>
      <c r="C317" s="25" t="s">
        <v>668</v>
      </c>
      <c r="D317" s="54">
        <v>61</v>
      </c>
      <c r="E317" s="30">
        <v>23964</v>
      </c>
      <c r="F317" s="24" t="str">
        <f>TabelaClean[[#This Row],[CidadeCPF]]</f>
        <v>Ilha dos Ursos</v>
      </c>
      <c r="G317" s="17" t="str">
        <f>TabelaClean[[#This Row],[RegiaoCPF]]</f>
        <v>Norte</v>
      </c>
      <c r="H317" s="17" t="str">
        <f>_xlfn.XLOOKUP(TabelaClean[[#This Row],[cpf]],TabelaDirty[cpfclean],TabelaDirty[cidade])</f>
        <v>Ilha dos Ursos</v>
      </c>
      <c r="I317" s="17" t="str">
        <f>_xlfn.XLOOKUP(TabelaClean[[#This Row],[cpf]],TabelaDirty[cpfclean],TabelaDirty[regiao])</f>
        <v>NORTE</v>
      </c>
      <c r="J317" s="17" t="str">
        <f>PROPER(TabelaClean[[#This Row],[Coluna1]])</f>
        <v>Norte</v>
      </c>
      <c r="K317" s="17" t="e">
        <f>_xlfn.TEXTBEFORE(TabelaClean[[#This Row],[CidadeCPF]]," | ")</f>
        <v>#N/A</v>
      </c>
      <c r="L317" s="24" t="e">
        <f>_xlfn.TEXTAFTER(TabelaClean[[#This Row],[CidadeCPF]]," | ")</f>
        <v>#N/A</v>
      </c>
      <c r="M317" s="26">
        <v>7000</v>
      </c>
      <c r="N317" s="78">
        <v>1500</v>
      </c>
      <c r="O317" s="1" t="s">
        <v>51</v>
      </c>
      <c r="P31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7" s="84">
        <v>32</v>
      </c>
      <c r="R317" s="1" t="str" cm="1">
        <f t="array" ref="R317">_xlfn.IFS(TabelaClean[[#This Row],[qtde_batalhas]]&lt;=10,"Baixo",TabelaClean[[#This Row],[qtde_batalhas]]&gt;=26,"Alto",TabelaClean[[#This Row],[qtde_batalhas]]&lt;26,"Médio")</f>
        <v>Alto</v>
      </c>
      <c r="S317" s="1" t="str">
        <f>IF(AND(TabelaClean[[#This Row],[nivel_risco]]="Alto",TabelaClean[[#This Row],[flag_inadimplente]]="Sim"),"Arriscado","Ok")</f>
        <v>Arriscado</v>
      </c>
      <c r="T317" s="26">
        <v>53000</v>
      </c>
      <c r="U317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  <c r="W317" s="1"/>
      <c r="Y317" t="s">
        <v>809</v>
      </c>
      <c r="Z317" t="str">
        <f t="shared" si="4"/>
        <v>Null</v>
      </c>
      <c r="AE317" t="s">
        <v>280</v>
      </c>
      <c r="AF317" t="str">
        <f>TEXT(AE317,"000\.000\.000\-00")</f>
        <v>000.000.372-00</v>
      </c>
      <c r="AJ317" s="22">
        <v>15200</v>
      </c>
      <c r="AK317">
        <v>15200</v>
      </c>
      <c r="AM317" s="20">
        <v>11000</v>
      </c>
      <c r="AN317">
        <v>11000</v>
      </c>
      <c r="AO317">
        <v>11000</v>
      </c>
      <c r="BB317" s="26">
        <v>7000</v>
      </c>
      <c r="BC317" s="81">
        <f>IF(AND(TabelaClean[[#This Row],[analise_risco]]="Arriscado",TabelaClean[[#This Row],[analise_credito]]="Reprovado"),0,IF(TabelaClean[[#This Row],[status]]="Ativo",TabelaClean[[#This Row],[valor_solicitado]]*1.08,0))</f>
        <v>57240.000000000007</v>
      </c>
    </row>
    <row r="318" spans="1:55">
      <c r="A318" s="24" t="s">
        <v>76</v>
      </c>
      <c r="B318" s="17" t="s">
        <v>669</v>
      </c>
      <c r="C318" s="25" t="s">
        <v>670</v>
      </c>
      <c r="D318" s="54">
        <v>25</v>
      </c>
      <c r="E318" s="30">
        <v>37118</v>
      </c>
      <c r="F318" s="24" t="str">
        <f>TabelaClean[[#This Row],[CidadeCPF]]</f>
        <v>Jardim de Cima</v>
      </c>
      <c r="G318" s="17" t="str">
        <f>TabelaClean[[#This Row],[RegiaoCPF]]</f>
        <v>Campina</v>
      </c>
      <c r="H318" s="17" t="str">
        <f>_xlfn.XLOOKUP(TabelaClean[[#This Row],[cpf]],TabelaDirty[cpfclean],TabelaDirty[cidade])</f>
        <v>Jardim de Cima</v>
      </c>
      <c r="I318" s="17" t="str">
        <f>_xlfn.XLOOKUP(TabelaClean[[#This Row],[cpf]],TabelaDirty[cpfclean],TabelaDirty[regiao])</f>
        <v>Campina</v>
      </c>
      <c r="J318" s="17" t="str">
        <f>PROPER(TabelaClean[[#This Row],[Coluna1]])</f>
        <v>Campina</v>
      </c>
      <c r="K318" s="17" t="e">
        <f>_xlfn.TEXTBEFORE(TabelaClean[[#This Row],[CidadeCPF]]," | ")</f>
        <v>#N/A</v>
      </c>
      <c r="L318" s="24" t="e">
        <f>_xlfn.TEXTAFTER(TabelaClean[[#This Row],[CidadeCPF]]," | ")</f>
        <v>#N/A</v>
      </c>
      <c r="M318" s="26">
        <v>27300</v>
      </c>
      <c r="N318" s="78">
        <v>1500</v>
      </c>
      <c r="O318" s="1" t="s">
        <v>51</v>
      </c>
      <c r="P31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8" s="84">
        <v>33</v>
      </c>
      <c r="R318" s="1" t="str" cm="1">
        <f t="array" ref="R318">_xlfn.IFS(TabelaClean[[#This Row],[qtde_batalhas]]&lt;=10,"Baixo",TabelaClean[[#This Row],[qtde_batalhas]]&gt;=26,"Alto",TabelaClean[[#This Row],[qtde_batalhas]]&lt;26,"Médio")</f>
        <v>Alto</v>
      </c>
      <c r="S318" s="1" t="str">
        <f>IF(AND(TabelaClean[[#This Row],[nivel_risco]]="Alto",TabelaClean[[#This Row],[flag_inadimplente]]="Sim"),"Arriscado","Ok")</f>
        <v>Arriscado</v>
      </c>
      <c r="T318" s="26">
        <v>14000</v>
      </c>
      <c r="U318" s="81">
        <f>IF(AND(TabelaClean[[#This Row],[analise_risco]]="Arriscado",TabelaClean[[#This Row],[analise_credito]]="Reprovado"),0,IF(TabelaClean[[#This Row],[status]]="Ativo",TabelaClean[[#This Row],[valor_solicitado]]*1.08,0))</f>
        <v>15120.000000000002</v>
      </c>
      <c r="W318" s="1"/>
      <c r="Y318" t="s">
        <v>809</v>
      </c>
      <c r="Z318" t="str">
        <f t="shared" si="4"/>
        <v>Null</v>
      </c>
      <c r="AE318" t="s">
        <v>417</v>
      </c>
      <c r="AF318" t="str">
        <f>TEXT(AE318,"000\.000\.000\-00")</f>
        <v>000.000.373-00</v>
      </c>
      <c r="AJ318" s="22" t="s">
        <v>788</v>
      </c>
      <c r="AK318">
        <v>20800</v>
      </c>
      <c r="AM318" s="21" t="s">
        <v>414</v>
      </c>
      <c r="AN318">
        <v>16000</v>
      </c>
      <c r="AO318">
        <v>16000</v>
      </c>
      <c r="BB318" s="26">
        <v>27300</v>
      </c>
      <c r="BC318" s="81">
        <f>IF(AND(TabelaClean[[#This Row],[analise_risco]]="Arriscado",TabelaClean[[#This Row],[analise_credito]]="Reprovado"),0,IF(TabelaClean[[#This Row],[status]]="Ativo",TabelaClean[[#This Row],[valor_solicitado]]*1.08,0))</f>
        <v>15120.000000000002</v>
      </c>
    </row>
    <row r="319" spans="1:55">
      <c r="A319" s="24" t="s">
        <v>76</v>
      </c>
      <c r="B319" s="17" t="s">
        <v>270</v>
      </c>
      <c r="C319" s="25" t="s">
        <v>853</v>
      </c>
      <c r="D319" s="54">
        <v>56</v>
      </c>
      <c r="E319" s="30">
        <v>25710</v>
      </c>
      <c r="F319" s="24" t="str">
        <f>TabelaClean[[#This Row],[CidadeCPF]]</f>
        <v>Fosso Cailin</v>
      </c>
      <c r="G319" s="17" t="str">
        <f>TabelaClean[[#This Row],[RegiaoCPF]]</f>
        <v>Norte</v>
      </c>
      <c r="H319" s="17" t="str">
        <f>_xlfn.XLOOKUP(TabelaClean[[#This Row],[cpf]],TabelaDirty[cpfclean],TabelaDirty[cidade])</f>
        <v>Fosso Cailin</v>
      </c>
      <c r="I319" s="17" t="str">
        <f>_xlfn.XLOOKUP(TabelaClean[[#This Row],[cpf]],TabelaDirty[cpfclean],TabelaDirty[regiao])</f>
        <v>Norte</v>
      </c>
      <c r="J319" s="17" t="str">
        <f>PROPER(TabelaClean[[#This Row],[Coluna1]])</f>
        <v>Norte</v>
      </c>
      <c r="K319" s="17" t="e">
        <f>_xlfn.TEXTBEFORE(TabelaClean[[#This Row],[CidadeCPF]]," | ")</f>
        <v>#N/A</v>
      </c>
      <c r="L319" s="24" t="e">
        <f>_xlfn.TEXTAFTER(TabelaClean[[#This Row],[CidadeCPF]]," | ")</f>
        <v>#N/A</v>
      </c>
      <c r="M319" s="26">
        <v>14100</v>
      </c>
      <c r="N319" s="78">
        <v>1500</v>
      </c>
      <c r="O319" s="1" t="s">
        <v>50</v>
      </c>
      <c r="P31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19" s="84">
        <v>26</v>
      </c>
      <c r="R319" s="1" t="str" cm="1">
        <f t="array" ref="R319">_xlfn.IFS(TabelaClean[[#This Row],[qtde_batalhas]]&lt;=10,"Baixo",TabelaClean[[#This Row],[qtde_batalhas]]&gt;=26,"Alto",TabelaClean[[#This Row],[qtde_batalhas]]&lt;26,"Médio")</f>
        <v>Alto</v>
      </c>
      <c r="S319" s="1" t="str">
        <f>IF(AND(TabelaClean[[#This Row],[nivel_risco]]="Alto",TabelaClean[[#This Row],[flag_inadimplente]]="Sim"),"Arriscado","Ok")</f>
        <v>Ok</v>
      </c>
      <c r="T319" s="26">
        <v>36000</v>
      </c>
      <c r="U319" s="81">
        <f>IF(AND(TabelaClean[[#This Row],[analise_risco]]="Arriscado",TabelaClean[[#This Row],[analise_credito]]="Reprovado"),0,IF(TabelaClean[[#This Row],[status]]="Ativo",TabelaClean[[#This Row],[valor_solicitado]]*1.08,0))</f>
        <v>38880</v>
      </c>
      <c r="W319" s="1"/>
      <c r="Y319" t="s">
        <v>809</v>
      </c>
      <c r="Z319" t="str">
        <f t="shared" si="4"/>
        <v>Null</v>
      </c>
      <c r="AE319" t="s">
        <v>389</v>
      </c>
      <c r="AF319" t="str">
        <f>TEXT(AE319,"000\.000\.000\-00")</f>
        <v>000.000.375-00</v>
      </c>
      <c r="AJ319" s="22" t="s">
        <v>123</v>
      </c>
      <c r="AK319">
        <v>23000</v>
      </c>
      <c r="AM319" s="20">
        <v>44500</v>
      </c>
      <c r="AN319">
        <v>44500</v>
      </c>
      <c r="AO319">
        <v>44500</v>
      </c>
      <c r="BB319" s="26">
        <v>14100</v>
      </c>
      <c r="BC319" s="81">
        <f>IF(AND(TabelaClean[[#This Row],[analise_risco]]="Arriscado",TabelaClean[[#This Row],[analise_credito]]="Reprovado"),0,IF(TabelaClean[[#This Row],[status]]="Ativo",TabelaClean[[#This Row],[valor_solicitado]]*1.08,0))</f>
        <v>38880</v>
      </c>
    </row>
    <row r="320" spans="1:55">
      <c r="A320" s="24" t="s">
        <v>76</v>
      </c>
      <c r="B320" s="17" t="s">
        <v>325</v>
      </c>
      <c r="C320" s="25" t="s">
        <v>326</v>
      </c>
      <c r="D320" s="54">
        <v>59</v>
      </c>
      <c r="E320" s="30">
        <v>24362</v>
      </c>
      <c r="F320" s="24" t="str">
        <f>TabelaClean[[#This Row],[CidadeCPF]]</f>
        <v>Winterfell</v>
      </c>
      <c r="G320" s="17" t="str">
        <f>TabelaClean[[#This Row],[RegiaoCPF]]</f>
        <v>Norte</v>
      </c>
      <c r="H320" s="17" t="str">
        <f>_xlfn.XLOOKUP(TabelaClean[[#This Row],[cpf]],TabelaDirty[cpfclean],TabelaDirty[cidade])</f>
        <v>Winterfell</v>
      </c>
      <c r="I320" s="17" t="str">
        <f>_xlfn.XLOOKUP(TabelaClean[[#This Row],[cpf]],TabelaDirty[cpfclean],TabelaDirty[regiao])</f>
        <v>Norte</v>
      </c>
      <c r="J320" s="17" t="str">
        <f>PROPER(TabelaClean[[#This Row],[Coluna1]])</f>
        <v>Norte</v>
      </c>
      <c r="K320" s="17" t="e">
        <f>_xlfn.TEXTBEFORE(TabelaClean[[#This Row],[CidadeCPF]]," | ")</f>
        <v>#N/A</v>
      </c>
      <c r="L320" s="24" t="e">
        <f>_xlfn.TEXTAFTER(TabelaClean[[#This Row],[CidadeCPF]]," | ")</f>
        <v>#N/A</v>
      </c>
      <c r="M320" s="26">
        <v>18900</v>
      </c>
      <c r="N320" s="78">
        <v>1000</v>
      </c>
      <c r="O320" s="1" t="s">
        <v>51</v>
      </c>
      <c r="P32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0" s="84">
        <v>42</v>
      </c>
      <c r="R320" s="1" t="str" cm="1">
        <f t="array" ref="R320">_xlfn.IFS(TabelaClean[[#This Row],[qtde_batalhas]]&lt;=10,"Baixo",TabelaClean[[#This Row],[qtde_batalhas]]&gt;=26,"Alto",TabelaClean[[#This Row],[qtde_batalhas]]&lt;26,"Médio")</f>
        <v>Alto</v>
      </c>
      <c r="S320" s="1" t="str">
        <f>IF(AND(TabelaClean[[#This Row],[nivel_risco]]="Alto",TabelaClean[[#This Row],[flag_inadimplente]]="Sim"),"Arriscado","Ok")</f>
        <v>Arriscado</v>
      </c>
      <c r="T320" s="26">
        <v>16500</v>
      </c>
      <c r="U320" s="81">
        <f>IF(AND(TabelaClean[[#This Row],[analise_risco]]="Arriscado",TabelaClean[[#This Row],[analise_credito]]="Reprovado"),0,IF(TabelaClean[[#This Row],[status]]="Ativo",TabelaClean[[#This Row],[valor_solicitado]]*1.08,0))</f>
        <v>17820</v>
      </c>
      <c r="W320" s="1"/>
      <c r="Y320" t="s">
        <v>456</v>
      </c>
      <c r="Z320" t="str">
        <f t="shared" si="4"/>
        <v>Gargalo</v>
      </c>
      <c r="AE320" t="s">
        <v>409</v>
      </c>
      <c r="AF320" t="str">
        <f>TEXT(AE320,"000\.000\.000\-00")</f>
        <v>000.000.376-00</v>
      </c>
      <c r="AJ320" s="22">
        <v>9100</v>
      </c>
      <c r="AK320">
        <v>9100</v>
      </c>
      <c r="AM320" s="21">
        <v>40500</v>
      </c>
      <c r="AN320">
        <v>40500</v>
      </c>
      <c r="AO320">
        <v>40500</v>
      </c>
      <c r="BB320" s="26">
        <v>18900</v>
      </c>
      <c r="BC320" s="81">
        <f>IF(AND(TabelaClean[[#This Row],[analise_risco]]="Arriscado",TabelaClean[[#This Row],[analise_credito]]="Reprovado"),0,IF(TabelaClean[[#This Row],[status]]="Ativo",TabelaClean[[#This Row],[valor_solicitado]]*1.08,0))</f>
        <v>17820</v>
      </c>
    </row>
    <row r="321" spans="1:55">
      <c r="A321" s="24" t="s">
        <v>81</v>
      </c>
      <c r="B321" s="17" t="s">
        <v>136</v>
      </c>
      <c r="C321" s="25" t="s">
        <v>137</v>
      </c>
      <c r="D321" s="54">
        <v>47</v>
      </c>
      <c r="E321" s="30">
        <v>29064</v>
      </c>
      <c r="F321" s="24" t="str">
        <f>TabelaClean[[#This Row],[CidadeCPF]]</f>
        <v>Correrrio</v>
      </c>
      <c r="G321" s="17" t="str">
        <f>TabelaClean[[#This Row],[RegiaoCPF]]</f>
        <v>Terras Fluviais</v>
      </c>
      <c r="H321" s="17" t="str">
        <f>_xlfn.XLOOKUP(TabelaClean[[#This Row],[cpf]],TabelaDirty[cpfclean],TabelaDirty[cidade])</f>
        <v>Correrrio</v>
      </c>
      <c r="I321" s="17" t="str">
        <f>_xlfn.XLOOKUP(TabelaClean[[#This Row],[cpf]],TabelaDirty[cpfclean],TabelaDirty[regiao])</f>
        <v>Terras Fluviais</v>
      </c>
      <c r="J321" s="17" t="str">
        <f>PROPER(TabelaClean[[#This Row],[Coluna1]])</f>
        <v>Terras Fluviais</v>
      </c>
      <c r="K321" s="17" t="e">
        <f>_xlfn.TEXTBEFORE(TabelaClean[[#This Row],[CidadeCPF]]," | ")</f>
        <v>#N/A</v>
      </c>
      <c r="L321" s="24" t="e">
        <f>_xlfn.TEXTAFTER(TabelaClean[[#This Row],[CidadeCPF]]," | ")</f>
        <v>#N/A</v>
      </c>
      <c r="M321" s="26">
        <v>13300</v>
      </c>
      <c r="N321" s="78">
        <v>1000</v>
      </c>
      <c r="O321" s="1" t="s">
        <v>51</v>
      </c>
      <c r="P32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1" s="84">
        <v>24</v>
      </c>
      <c r="R321" s="1" t="str" cm="1">
        <f t="array" ref="R321">_xlfn.IFS(TabelaClean[[#This Row],[qtde_batalhas]]&lt;=10,"Baixo",TabelaClean[[#This Row],[qtde_batalhas]]&gt;=26,"Alto",TabelaClean[[#This Row],[qtde_batalhas]]&lt;26,"Médio")</f>
        <v>Médio</v>
      </c>
      <c r="S321" s="1" t="str">
        <f>IF(AND(TabelaClean[[#This Row],[nivel_risco]]="Alto",TabelaClean[[#This Row],[flag_inadimplente]]="Sim"),"Arriscado","Ok")</f>
        <v>Ok</v>
      </c>
      <c r="T321" s="26">
        <v>61500</v>
      </c>
      <c r="U32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21" s="1"/>
      <c r="Y321" t="s">
        <v>809</v>
      </c>
      <c r="Z321" t="str">
        <f t="shared" si="4"/>
        <v>Null</v>
      </c>
      <c r="AE321" t="s">
        <v>617</v>
      </c>
      <c r="AF321" t="str">
        <f>TEXT(AE321,"000\.000\.000\-00")</f>
        <v>000.000.378-00</v>
      </c>
      <c r="AJ321" s="22">
        <v>24300</v>
      </c>
      <c r="AK321">
        <v>24300</v>
      </c>
      <c r="AM321" s="20">
        <v>16500</v>
      </c>
      <c r="AN321">
        <v>16500</v>
      </c>
      <c r="AO321">
        <v>16500</v>
      </c>
      <c r="BB321" s="26">
        <v>13300</v>
      </c>
      <c r="BC32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22" spans="1:55">
      <c r="A322" s="24" t="s">
        <v>76</v>
      </c>
      <c r="B322" s="17" t="s">
        <v>336</v>
      </c>
      <c r="C322" s="25" t="s">
        <v>337</v>
      </c>
      <c r="D322" s="54">
        <v>74</v>
      </c>
      <c r="E322" s="30">
        <v>19121</v>
      </c>
      <c r="F322" s="24" t="str">
        <f>TabelaClean[[#This Row],[CidadeCPF]]</f>
        <v>Castelo Negro</v>
      </c>
      <c r="G322" s="17" t="str">
        <f>TabelaClean[[#This Row],[RegiaoCPF]]</f>
        <v>Norte</v>
      </c>
      <c r="H322" s="17" t="str">
        <f>_xlfn.XLOOKUP(TabelaClean[[#This Row],[cpf]],TabelaDirty[cpfclean],TabelaDirty[cidade])</f>
        <v>Castelo Negro</v>
      </c>
      <c r="I322" s="17" t="str">
        <f>_xlfn.XLOOKUP(TabelaClean[[#This Row],[cpf]],TabelaDirty[cpfclean],TabelaDirty[regiao])</f>
        <v>Norte</v>
      </c>
      <c r="J322" s="17" t="str">
        <f>PROPER(TabelaClean[[#This Row],[Coluna1]])</f>
        <v>Norte</v>
      </c>
      <c r="K322" s="17" t="e">
        <f>_xlfn.TEXTBEFORE(TabelaClean[[#This Row],[CidadeCPF]]," | ")</f>
        <v>#N/A</v>
      </c>
      <c r="L322" s="24" t="e">
        <f>_xlfn.TEXTAFTER(TabelaClean[[#This Row],[CidadeCPF]]," | ")</f>
        <v>#N/A</v>
      </c>
      <c r="M322" s="26">
        <v>7300</v>
      </c>
      <c r="N322" s="78">
        <v>1000</v>
      </c>
      <c r="O322" s="1" t="s">
        <v>50</v>
      </c>
      <c r="P32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2" s="84">
        <v>3</v>
      </c>
      <c r="R322" s="1" t="str" cm="1">
        <f t="array" ref="R322">_xlfn.IFS(TabelaClean[[#This Row],[qtde_batalhas]]&lt;=10,"Baixo",TabelaClean[[#This Row],[qtde_batalhas]]&gt;=26,"Alto",TabelaClean[[#This Row],[qtde_batalhas]]&lt;26,"Médio")</f>
        <v>Baixo</v>
      </c>
      <c r="S322" s="1" t="str">
        <f>IF(AND(TabelaClean[[#This Row],[nivel_risco]]="Alto",TabelaClean[[#This Row],[flag_inadimplente]]="Sim"),"Arriscado","Ok")</f>
        <v>Ok</v>
      </c>
      <c r="T322" s="26">
        <v>50500</v>
      </c>
      <c r="U322" s="81">
        <f>IF(AND(TabelaClean[[#This Row],[analise_risco]]="Arriscado",TabelaClean[[#This Row],[analise_credito]]="Reprovado"),0,IF(TabelaClean[[#This Row],[status]]="Ativo",TabelaClean[[#This Row],[valor_solicitado]]*1.08,0))</f>
        <v>54540</v>
      </c>
      <c r="W322" s="1"/>
      <c r="Y322" t="s">
        <v>809</v>
      </c>
      <c r="Z322" t="str">
        <f t="shared" si="4"/>
        <v>Null</v>
      </c>
      <c r="AE322" t="s">
        <v>623</v>
      </c>
      <c r="AF322" t="str">
        <f>TEXT(AE322,"000\.000\.000\-00")</f>
        <v>000.000.379-00</v>
      </c>
      <c r="AJ322" s="22">
        <v>20600</v>
      </c>
      <c r="AK322">
        <v>20600</v>
      </c>
      <c r="AM322" s="21">
        <v>8000</v>
      </c>
      <c r="AN322">
        <v>8000</v>
      </c>
      <c r="AO322">
        <v>8000</v>
      </c>
      <c r="BB322" s="26">
        <v>7300</v>
      </c>
      <c r="BC322" s="81">
        <f>IF(AND(TabelaClean[[#This Row],[analise_risco]]="Arriscado",TabelaClean[[#This Row],[analise_credito]]="Reprovado"),0,IF(TabelaClean[[#This Row],[status]]="Ativo",TabelaClean[[#This Row],[valor_solicitado]]*1.08,0))</f>
        <v>54540</v>
      </c>
    </row>
    <row r="323" spans="1:55">
      <c r="A323" s="24" t="s">
        <v>81</v>
      </c>
      <c r="B323" s="17" t="s">
        <v>136</v>
      </c>
      <c r="C323" s="25" t="s">
        <v>965</v>
      </c>
      <c r="D323" s="54">
        <v>47</v>
      </c>
      <c r="E323" s="30">
        <v>29064</v>
      </c>
      <c r="F323" s="25" t="s">
        <v>138</v>
      </c>
      <c r="G323" s="25" t="s">
        <v>139</v>
      </c>
      <c r="H323" s="24">
        <v>13300</v>
      </c>
      <c r="I323" s="24">
        <v>1000</v>
      </c>
      <c r="J323" s="24" t="s">
        <v>51</v>
      </c>
      <c r="K323" s="24"/>
      <c r="L323" s="24"/>
      <c r="M323" s="26">
        <v>39500</v>
      </c>
      <c r="N323" s="78">
        <v>1000</v>
      </c>
      <c r="O323" s="1" t="s">
        <v>51</v>
      </c>
      <c r="P32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323" s="76" t="str" cm="1">
        <f t="array" ref="R323">_xlfn.IFS(TabelaClean[[#This Row],[qtde_batalhas]]&lt;=10,"Baixo",TabelaClean[[#This Row],[qtde_batalhas]]&gt;=26,"Alto",TabelaClean[[#This Row],[qtde_batalhas]]&lt;26,"Médio")</f>
        <v>Baixo</v>
      </c>
      <c r="S323" s="76" t="str">
        <f>IF(AND(TabelaClean[[#This Row],[nivel_risco]]="Alto",TabelaClean[[#This Row],[flag_inadimplente]]="Sim"),"Arriscado","Ok")</f>
        <v>Ok</v>
      </c>
      <c r="T323" s="26">
        <v>39500</v>
      </c>
      <c r="U323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23" s="1"/>
      <c r="Y323" t="s">
        <v>155</v>
      </c>
      <c r="Z323" t="str">
        <f t="shared" si="4"/>
        <v>Norte</v>
      </c>
      <c r="AE323" t="s">
        <v>628</v>
      </c>
      <c r="AF323" t="str">
        <f>TEXT(AE323,"000\.000\.000\-00")</f>
        <v>000.000.380-00</v>
      </c>
      <c r="AJ323" s="22">
        <v>2100</v>
      </c>
      <c r="AK323">
        <v>2100</v>
      </c>
      <c r="AM323" s="20">
        <v>79500</v>
      </c>
      <c r="AN323">
        <v>79500</v>
      </c>
      <c r="AO323">
        <v>79500</v>
      </c>
      <c r="BB323" s="26">
        <v>39500</v>
      </c>
      <c r="BC323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24" spans="1:55">
      <c r="A324" s="24" t="s">
        <v>76</v>
      </c>
      <c r="B324" s="17" t="s">
        <v>131</v>
      </c>
      <c r="C324" s="25" t="s">
        <v>966</v>
      </c>
      <c r="D324" s="54" t="s">
        <v>809</v>
      </c>
      <c r="E324" s="30">
        <v>32260</v>
      </c>
      <c r="F324" s="24" t="str">
        <f>TabelaClean[[#This Row],[CidadeCPF]]</f>
        <v>Pyke</v>
      </c>
      <c r="G324" s="17" t="str">
        <f>TabelaClean[[#This Row],[RegiaoCPF]]</f>
        <v>Ilhas De Ferro</v>
      </c>
      <c r="H324" s="17" t="str">
        <f>_xlfn.XLOOKUP(TabelaClean[[#This Row],[cpf]],TabelaDirty[cpfclean],TabelaDirty[cidade])</f>
        <v>Pyke</v>
      </c>
      <c r="I324" s="17" t="str">
        <f>_xlfn.XLOOKUP(TabelaClean[[#This Row],[cpf]],TabelaDirty[cpfclean],TabelaDirty[regiao])</f>
        <v>Ilhas de Ferro</v>
      </c>
      <c r="J324" s="17" t="str">
        <f>PROPER(TabelaClean[[#This Row],[Coluna1]])</f>
        <v>Ilhas De Ferro</v>
      </c>
      <c r="K324" s="17" t="e">
        <f>_xlfn.TEXTBEFORE(TabelaClean[[#This Row],[CidadeCPF]]," | ")</f>
        <v>#N/A</v>
      </c>
      <c r="L324" s="24" t="e">
        <f>_xlfn.TEXTAFTER(TabelaClean[[#This Row],[CidadeCPF]]," | ")</f>
        <v>#N/A</v>
      </c>
      <c r="M324" s="26">
        <v>17600</v>
      </c>
      <c r="N324" s="78">
        <v>0</v>
      </c>
      <c r="O324" s="1" t="s">
        <v>51</v>
      </c>
      <c r="P32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4" s="84">
        <v>31</v>
      </c>
      <c r="R324" s="1" t="str" cm="1">
        <f t="array" ref="R324">_xlfn.IFS(TabelaClean[[#This Row],[qtde_batalhas]]&lt;=10,"Baixo",TabelaClean[[#This Row],[qtde_batalhas]]&gt;=26,"Alto",TabelaClean[[#This Row],[qtde_batalhas]]&lt;26,"Médio")</f>
        <v>Alto</v>
      </c>
      <c r="S324" s="1" t="str">
        <f>IF(AND(TabelaClean[[#This Row],[nivel_risco]]="Alto",TabelaClean[[#This Row],[flag_inadimplente]]="Sim"),"Arriscado","Ok")</f>
        <v>Arriscado</v>
      </c>
      <c r="T324" s="26">
        <v>47500</v>
      </c>
      <c r="U324" s="81">
        <f>IF(AND(TabelaClean[[#This Row],[analise_risco]]="Arriscado",TabelaClean[[#This Row],[analise_credito]]="Reprovado"),0,IF(TabelaClean[[#This Row],[status]]="Ativo",TabelaClean[[#This Row],[valor_solicitado]]*1.08,0))</f>
        <v>51300</v>
      </c>
      <c r="W324" s="1"/>
      <c r="Y324" t="s">
        <v>142</v>
      </c>
      <c r="Z324" t="str">
        <f t="shared" ref="Z324:Z326" si="5">PROPER(Y324)</f>
        <v>Norte</v>
      </c>
      <c r="AF324" t="str">
        <f>TEXT(AE324,"000\.000\.000\-00")</f>
        <v>000.000.000-00</v>
      </c>
      <c r="AJ324" s="22">
        <v>11500</v>
      </c>
      <c r="AK324">
        <v>11500</v>
      </c>
      <c r="AM324" s="21">
        <v>17500</v>
      </c>
      <c r="AN324">
        <v>17500</v>
      </c>
      <c r="AO324">
        <v>17500</v>
      </c>
      <c r="BB324" s="26">
        <v>17600</v>
      </c>
      <c r="BC324" s="81">
        <f>IF(AND(TabelaClean[[#This Row],[analise_risco]]="Arriscado",TabelaClean[[#This Row],[analise_credito]]="Reprovado"),0,IF(TabelaClean[[#This Row],[status]]="Ativo",TabelaClean[[#This Row],[valor_solicitado]]*1.08,0))</f>
        <v>51300</v>
      </c>
    </row>
    <row r="325" spans="1:55">
      <c r="A325" s="24" t="s">
        <v>76</v>
      </c>
      <c r="B325" s="17" t="s">
        <v>77</v>
      </c>
      <c r="C325" s="25" t="s">
        <v>78</v>
      </c>
      <c r="D325" s="54">
        <v>32</v>
      </c>
      <c r="E325" s="30">
        <v>34347</v>
      </c>
      <c r="F325" s="24" t="str">
        <f>TabelaClean[[#This Row],[CidadeCPF]]</f>
        <v>Ninho da Águia</v>
      </c>
      <c r="G325" s="17" t="str">
        <f>TabelaClean[[#This Row],[RegiaoCPF]]</f>
        <v>Vale</v>
      </c>
      <c r="H325" s="17" t="str">
        <f>_xlfn.XLOOKUP(TabelaClean[[#This Row],[cpf]],TabelaDirty[cpfclean],TabelaDirty[cidade])</f>
        <v>Ninho da Águia</v>
      </c>
      <c r="I325" s="17" t="str">
        <f>_xlfn.XLOOKUP(TabelaClean[[#This Row],[cpf]],TabelaDirty[cpfclean],TabelaDirty[regiao])</f>
        <v>Vale</v>
      </c>
      <c r="J325" s="17" t="str">
        <f>PROPER(TabelaClean[[#This Row],[Coluna1]])</f>
        <v>Vale</v>
      </c>
      <c r="K325" s="17" t="e">
        <f>_xlfn.TEXTBEFORE(TabelaClean[[#This Row],[CidadeCPF]]," | ")</f>
        <v>#N/A</v>
      </c>
      <c r="L325" s="24" t="e">
        <f>_xlfn.TEXTAFTER(TabelaClean[[#This Row],[CidadeCPF]]," | ")</f>
        <v>#N/A</v>
      </c>
      <c r="M325" s="26">
        <v>15600</v>
      </c>
      <c r="N325" s="78">
        <v>0</v>
      </c>
      <c r="O325" s="1" t="s">
        <v>51</v>
      </c>
      <c r="P32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5" s="84">
        <v>34</v>
      </c>
      <c r="R325" s="1" t="str" cm="1">
        <f t="array" ref="R325">_xlfn.IFS(TabelaClean[[#This Row],[qtde_batalhas]]&lt;=10,"Baixo",TabelaClean[[#This Row],[qtde_batalhas]]&gt;=26,"Alto",TabelaClean[[#This Row],[qtde_batalhas]]&lt;26,"Médio")</f>
        <v>Alto</v>
      </c>
      <c r="S325" s="1" t="str">
        <f>IF(AND(TabelaClean[[#This Row],[nivel_risco]]="Alto",TabelaClean[[#This Row],[flag_inadimplente]]="Sim"),"Arriscado","Ok")</f>
        <v>Arriscado</v>
      </c>
      <c r="T325" s="26">
        <v>16000</v>
      </c>
      <c r="U325" s="81">
        <f>IF(AND(TabelaClean[[#This Row],[analise_risco]]="Arriscado",TabelaClean[[#This Row],[analise_credito]]="Reprovado"),0,IF(TabelaClean[[#This Row],[status]]="Ativo",TabelaClean[[#This Row],[valor_solicitado]]*1.08,0))</f>
        <v>17280</v>
      </c>
      <c r="V325"/>
      <c r="W325"/>
      <c r="Y325" t="s">
        <v>809</v>
      </c>
      <c r="Z325" t="str">
        <f t="shared" si="5"/>
        <v>Null</v>
      </c>
      <c r="AF325" t="str">
        <f>TEXT(AE325,"000\.000\.000\-00")</f>
        <v>000.000.000-00</v>
      </c>
      <c r="AJ325" s="22">
        <v>3400</v>
      </c>
      <c r="AK325">
        <v>3400</v>
      </c>
      <c r="AM325" s="20">
        <v>0</v>
      </c>
      <c r="AN325">
        <v>0</v>
      </c>
      <c r="AO325">
        <v>0</v>
      </c>
      <c r="BB325" s="26">
        <v>15600</v>
      </c>
      <c r="BC325" s="81">
        <f>IF(AND(TabelaClean[[#This Row],[analise_risco]]="Arriscado",TabelaClean[[#This Row],[analise_credito]]="Reprovado"),0,IF(TabelaClean[[#This Row],[status]]="Ativo",TabelaClean[[#This Row],[valor_solicitado]]*1.08,0))</f>
        <v>17280</v>
      </c>
    </row>
    <row r="326" spans="1:55">
      <c r="A326" s="24" t="s">
        <v>76</v>
      </c>
      <c r="B326" s="17" t="s">
        <v>218</v>
      </c>
      <c r="C326" s="25" t="s">
        <v>219</v>
      </c>
      <c r="D326" s="54">
        <v>21</v>
      </c>
      <c r="E326" s="30">
        <v>38323</v>
      </c>
      <c r="F326" s="24" t="str">
        <f>TabelaClean[[#This Row],[CidadeCPF]]</f>
        <v>Correrrio</v>
      </c>
      <c r="G326" s="17" t="str">
        <f>TabelaClean[[#This Row],[RegiaoCPF]]</f>
        <v>Terras Fluviais</v>
      </c>
      <c r="H326" s="17" t="str">
        <f>_xlfn.XLOOKUP(TabelaClean[[#This Row],[cpf]],TabelaDirty[cpfclean],TabelaDirty[cidade])</f>
        <v>Correrrio</v>
      </c>
      <c r="I326" s="17" t="str">
        <f>_xlfn.XLOOKUP(TabelaClean[[#This Row],[cpf]],TabelaDirty[cpfclean],TabelaDirty[regiao])</f>
        <v>Terras Fluviais</v>
      </c>
      <c r="J326" s="17" t="str">
        <f>PROPER(TabelaClean[[#This Row],[Coluna1]])</f>
        <v>Terras Fluviais</v>
      </c>
      <c r="K326" s="17" t="e">
        <f>_xlfn.TEXTBEFORE(TabelaClean[[#This Row],[CidadeCPF]]," | ")</f>
        <v>#N/A</v>
      </c>
      <c r="L326" s="24" t="e">
        <f>_xlfn.TEXTAFTER(TabelaClean[[#This Row],[CidadeCPF]]," | ")</f>
        <v>#N/A</v>
      </c>
      <c r="M326" s="26">
        <v>3800</v>
      </c>
      <c r="N326" s="78">
        <v>0</v>
      </c>
      <c r="O326" s="1" t="s">
        <v>50</v>
      </c>
      <c r="P32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6" s="84">
        <v>25</v>
      </c>
      <c r="R326" s="1" t="str" cm="1">
        <f t="array" ref="R326">_xlfn.IFS(TabelaClean[[#This Row],[qtde_batalhas]]&lt;=10,"Baixo",TabelaClean[[#This Row],[qtde_batalhas]]&gt;=26,"Alto",TabelaClean[[#This Row],[qtde_batalhas]]&lt;26,"Médio")</f>
        <v>Médio</v>
      </c>
      <c r="S326" s="1" t="str">
        <f>IF(AND(TabelaClean[[#This Row],[nivel_risco]]="Alto",TabelaClean[[#This Row],[flag_inadimplente]]="Sim"),"Arriscado","Ok")</f>
        <v>Ok</v>
      </c>
      <c r="T326" s="26">
        <v>50000</v>
      </c>
      <c r="U326" s="81">
        <f>IF(AND(TabelaClean[[#This Row],[analise_risco]]="Arriscado",TabelaClean[[#This Row],[analise_credito]]="Reprovado"),0,IF(TabelaClean[[#This Row],[status]]="Ativo",TabelaClean[[#This Row],[valor_solicitado]]*1.08,0))</f>
        <v>54000</v>
      </c>
      <c r="V326"/>
      <c r="W326"/>
      <c r="Y326" t="s">
        <v>809</v>
      </c>
      <c r="Z326" t="str">
        <f t="shared" si="5"/>
        <v>Null</v>
      </c>
      <c r="AF326" t="str">
        <f>TEXT(AE326,"000\.000\.000\-00")</f>
        <v>000.000.000-00</v>
      </c>
      <c r="AJ326" s="22" t="s">
        <v>114</v>
      </c>
      <c r="AK326">
        <v>18200</v>
      </c>
      <c r="AM326" s="21" t="s">
        <v>115</v>
      </c>
      <c r="AN326">
        <v>31000</v>
      </c>
      <c r="AO326">
        <v>31000</v>
      </c>
      <c r="BB326" s="26">
        <v>3800</v>
      </c>
      <c r="BC326" s="81">
        <f>IF(AND(TabelaClean[[#This Row],[analise_risco]]="Arriscado",TabelaClean[[#This Row],[analise_credito]]="Reprovado"),0,IF(TabelaClean[[#This Row],[status]]="Ativo",TabelaClean[[#This Row],[valor_solicitado]]*1.08,0))</f>
        <v>54000</v>
      </c>
    </row>
    <row r="327" spans="1:55">
      <c r="A327" s="24" t="s">
        <v>76</v>
      </c>
      <c r="B327" s="17" t="s">
        <v>429</v>
      </c>
      <c r="C327" s="25" t="s">
        <v>430</v>
      </c>
      <c r="D327" s="54">
        <v>22</v>
      </c>
      <c r="E327" s="30">
        <v>37904</v>
      </c>
      <c r="F327" s="24" t="str">
        <f>TabelaClean[[#This Row],[CidadeCPF]]</f>
        <v>Ponta Tempestade</v>
      </c>
      <c r="G327" s="17" t="str">
        <f>TabelaClean[[#This Row],[RegiaoCPF]]</f>
        <v>Terras Da Tempestade</v>
      </c>
      <c r="H327" s="17" t="str">
        <f>_xlfn.XLOOKUP(TabelaClean[[#This Row],[cpf]],TabelaDirty[cpfclean],TabelaDirty[cidade])</f>
        <v>Ponta Tempestade</v>
      </c>
      <c r="I327" s="17" t="str">
        <f>_xlfn.XLOOKUP(TabelaClean[[#This Row],[cpf]],TabelaDirty[cpfclean],TabelaDirty[regiao])</f>
        <v>Terras da Tempestade</v>
      </c>
      <c r="J327" s="17" t="str">
        <f>PROPER(TabelaClean[[#This Row],[Coluna1]])</f>
        <v>Terras Da Tempestade</v>
      </c>
      <c r="K327" s="17" t="e">
        <f>_xlfn.TEXTBEFORE(TabelaClean[[#This Row],[CidadeCPF]]," | ")</f>
        <v>#N/A</v>
      </c>
      <c r="L327" s="24" t="e">
        <f>_xlfn.TEXTAFTER(TabelaClean[[#This Row],[CidadeCPF]]," | ")</f>
        <v>#N/A</v>
      </c>
      <c r="M327" s="26">
        <v>2300</v>
      </c>
      <c r="N327" s="78">
        <v>0</v>
      </c>
      <c r="O327" s="1" t="s">
        <v>51</v>
      </c>
      <c r="P32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7" s="84">
        <v>29</v>
      </c>
      <c r="R327" s="1" t="str" cm="1">
        <f t="array" ref="R327">_xlfn.IFS(TabelaClean[[#This Row],[qtde_batalhas]]&lt;=10,"Baixo",TabelaClean[[#This Row],[qtde_batalhas]]&gt;=26,"Alto",TabelaClean[[#This Row],[qtde_batalhas]]&lt;26,"Médio")</f>
        <v>Alto</v>
      </c>
      <c r="S327" s="1" t="str">
        <f>IF(AND(TabelaClean[[#This Row],[nivel_risco]]="Alto",TabelaClean[[#This Row],[flag_inadimplente]]="Sim"),"Arriscado","Ok")</f>
        <v>Arriscado</v>
      </c>
      <c r="T327" s="26">
        <v>51500</v>
      </c>
      <c r="U327" s="81">
        <f>IF(AND(TabelaClean[[#This Row],[analise_risco]]="Arriscado",TabelaClean[[#This Row],[analise_credito]]="Reprovado"),0,IF(TabelaClean[[#This Row],[status]]="Ativo",TabelaClean[[#This Row],[valor_solicitado]]*1.08,0))</f>
        <v>55620.000000000007</v>
      </c>
      <c r="W327" s="1"/>
      <c r="Y327" s="16"/>
      <c r="BB327" s="26">
        <v>2300</v>
      </c>
      <c r="BC327" s="81">
        <f>IF(AND(TabelaClean[[#This Row],[analise_risco]]="Arriscado",TabelaClean[[#This Row],[analise_credito]]="Reprovado"),0,IF(TabelaClean[[#This Row],[status]]="Ativo",TabelaClean[[#This Row],[valor_solicitado]]*1.08,0))</f>
        <v>55620.000000000007</v>
      </c>
    </row>
    <row r="328" spans="1:55">
      <c r="A328" s="24" t="s">
        <v>76</v>
      </c>
      <c r="B328" s="17" t="s">
        <v>750</v>
      </c>
      <c r="C328" s="25" t="s">
        <v>751</v>
      </c>
      <c r="D328" s="54">
        <v>69</v>
      </c>
      <c r="E328" s="30" t="s">
        <v>809</v>
      </c>
      <c r="F328" s="24" t="str">
        <f>TabelaClean[[#This Row],[CidadeCPF]]</f>
        <v>Solar do Entardecer</v>
      </c>
      <c r="G328" s="17" t="str">
        <f>TabelaClean[[#This Row],[RegiaoCPF]]</f>
        <v>Terras Da Tempestade</v>
      </c>
      <c r="H328" s="17" t="str">
        <f>_xlfn.XLOOKUP(TabelaClean[[#This Row],[cpf]],TabelaDirty[cpfclean],TabelaDirty[cidade])</f>
        <v>Solar do Entardecer</v>
      </c>
      <c r="I328" s="17" t="str">
        <f>_xlfn.XLOOKUP(TabelaClean[[#This Row],[cpf]],TabelaDirty[cpfclean],TabelaDirty[regiao])</f>
        <v>terras da tempestade</v>
      </c>
      <c r="J328" s="17" t="str">
        <f>PROPER(TabelaClean[[#This Row],[Coluna1]])</f>
        <v>Terras Da Tempestade</v>
      </c>
      <c r="K328" s="17" t="e">
        <f>_xlfn.TEXTBEFORE(TabelaClean[[#This Row],[CidadeCPF]]," | ")</f>
        <v>#N/A</v>
      </c>
      <c r="L328" s="24" t="e">
        <f>_xlfn.TEXTAFTER(TabelaClean[[#This Row],[CidadeCPF]]," | ")</f>
        <v>#N/A</v>
      </c>
      <c r="M328" s="26">
        <v>11400</v>
      </c>
      <c r="N328" s="78">
        <v>0</v>
      </c>
      <c r="O328" s="1" t="s">
        <v>51</v>
      </c>
      <c r="P32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8" s="84">
        <v>13</v>
      </c>
      <c r="R328" s="1" t="str" cm="1">
        <f t="array" ref="R328">_xlfn.IFS(TabelaClean[[#This Row],[qtde_batalhas]]&lt;=10,"Baixo",TabelaClean[[#This Row],[qtde_batalhas]]&gt;=26,"Alto",TabelaClean[[#This Row],[qtde_batalhas]]&lt;26,"Médio")</f>
        <v>Médio</v>
      </c>
      <c r="S328" s="1" t="str">
        <f>IF(AND(TabelaClean[[#This Row],[nivel_risco]]="Alto",TabelaClean[[#This Row],[flag_inadimplente]]="Sim"),"Arriscado","Ok")</f>
        <v>Ok</v>
      </c>
      <c r="T328" s="26">
        <v>79000</v>
      </c>
      <c r="U328" s="81">
        <f>IF(AND(TabelaClean[[#This Row],[analise_risco]]="Arriscado",TabelaClean[[#This Row],[analise_credito]]="Reprovado"),0,IF(TabelaClean[[#This Row],[status]]="Ativo",TabelaClean[[#This Row],[valor_solicitado]]*1.08,0))</f>
        <v>85320</v>
      </c>
      <c r="W328" s="1"/>
      <c r="Y328" s="16"/>
      <c r="BB328" s="26">
        <v>11400</v>
      </c>
      <c r="BC328" s="81">
        <f>IF(AND(TabelaClean[[#This Row],[analise_risco]]="Arriscado",TabelaClean[[#This Row],[analise_credito]]="Reprovado"),0,IF(TabelaClean[[#This Row],[status]]="Ativo",TabelaClean[[#This Row],[valor_solicitado]]*1.08,0))</f>
        <v>85320</v>
      </c>
    </row>
    <row r="329" spans="1:55">
      <c r="A329" s="24" t="s">
        <v>76</v>
      </c>
      <c r="B329" s="17" t="s">
        <v>559</v>
      </c>
      <c r="C329" s="25" t="s">
        <v>560</v>
      </c>
      <c r="D329" s="54">
        <v>69</v>
      </c>
      <c r="E329" s="30" t="s">
        <v>809</v>
      </c>
      <c r="F329" s="24" t="str">
        <f>TabelaClean[[#This Row],[CidadeCPF]]</f>
        <v>Braavos</v>
      </c>
      <c r="G329" s="17" t="str">
        <f>TabelaClean[[#This Row],[RegiaoCPF]]</f>
        <v>Essos</v>
      </c>
      <c r="H329" s="17" t="str">
        <f>_xlfn.XLOOKUP(TabelaClean[[#This Row],[cpf]],TabelaDirty[cpfclean],TabelaDirty[cidade])</f>
        <v>Braavos</v>
      </c>
      <c r="I329" s="17" t="str">
        <f>_xlfn.XLOOKUP(TabelaClean[[#This Row],[cpf]],TabelaDirty[cpfclean],TabelaDirty[regiao])</f>
        <v>Essos</v>
      </c>
      <c r="J329" s="17" t="str">
        <f>PROPER(TabelaClean[[#This Row],[Coluna1]])</f>
        <v>Essos</v>
      </c>
      <c r="K329" s="17" t="e">
        <f>_xlfn.TEXTBEFORE(TabelaClean[[#This Row],[CidadeCPF]]," | ")</f>
        <v>#N/A</v>
      </c>
      <c r="L329" s="24" t="e">
        <f>_xlfn.TEXTAFTER(TabelaClean[[#This Row],[CidadeCPF]]," | ")</f>
        <v>#N/A</v>
      </c>
      <c r="M329" s="26">
        <v>4500</v>
      </c>
      <c r="N329" s="78">
        <v>0</v>
      </c>
      <c r="O329" s="1" t="s">
        <v>51</v>
      </c>
      <c r="P32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29" s="84">
        <v>32</v>
      </c>
      <c r="R329" s="1" t="str" cm="1">
        <f t="array" ref="R329">_xlfn.IFS(TabelaClean[[#This Row],[qtde_batalhas]]&lt;=10,"Baixo",TabelaClean[[#This Row],[qtde_batalhas]]&gt;=26,"Alto",TabelaClean[[#This Row],[qtde_batalhas]]&lt;26,"Médio")</f>
        <v>Alto</v>
      </c>
      <c r="S329" s="1" t="str">
        <f>IF(AND(TabelaClean[[#This Row],[nivel_risco]]="Alto",TabelaClean[[#This Row],[flag_inadimplente]]="Sim"),"Arriscado","Ok")</f>
        <v>Arriscado</v>
      </c>
      <c r="T329" s="26">
        <v>56500</v>
      </c>
      <c r="U329" s="81">
        <f>IF(AND(TabelaClean[[#This Row],[analise_risco]]="Arriscado",TabelaClean[[#This Row],[analise_credito]]="Reprovado"),0,IF(TabelaClean[[#This Row],[status]]="Ativo",TabelaClean[[#This Row],[valor_solicitado]]*1.08,0))</f>
        <v>61020.000000000007</v>
      </c>
      <c r="W329" s="1"/>
      <c r="Y329" s="16"/>
      <c r="BB329" s="26">
        <v>4500</v>
      </c>
      <c r="BC329" s="81">
        <f>IF(AND(TabelaClean[[#This Row],[analise_risco]]="Arriscado",TabelaClean[[#This Row],[analise_credito]]="Reprovado"),0,IF(TabelaClean[[#This Row],[status]]="Ativo",TabelaClean[[#This Row],[valor_solicitado]]*1.08,0))</f>
        <v>61020.000000000007</v>
      </c>
    </row>
    <row r="330" spans="1:55">
      <c r="A330" s="29" t="s">
        <v>809</v>
      </c>
      <c r="B330" s="17" t="s">
        <v>967</v>
      </c>
      <c r="C330" s="25" t="s">
        <v>200</v>
      </c>
      <c r="D330" s="54">
        <v>63</v>
      </c>
      <c r="E330" s="30">
        <v>22974</v>
      </c>
      <c r="F330" s="24" t="str">
        <f>TabelaClean[[#This Row],[CidadeCPF]]</f>
        <v>Dorne</v>
      </c>
      <c r="G330" s="17" t="str">
        <f>TabelaClean[[#This Row],[RegiaoCPF]]</f>
        <v>Dorne</v>
      </c>
      <c r="H330" s="17" t="str">
        <f>_xlfn.XLOOKUP(TabelaClean[[#This Row],[cpf]],TabelaDirty[cpfclean],TabelaDirty[cidade])</f>
        <v>Dorne</v>
      </c>
      <c r="I330" s="17" t="str">
        <f>_xlfn.XLOOKUP(TabelaClean[[#This Row],[cpf]],TabelaDirty[cpfclean],TabelaDirty[regiao])</f>
        <v>DORNE</v>
      </c>
      <c r="J330" s="17" t="str">
        <f>PROPER(TabelaClean[[#This Row],[Coluna1]])</f>
        <v>Dorne</v>
      </c>
      <c r="K330" s="17" t="e">
        <f>_xlfn.TEXTBEFORE(TabelaClean[[#This Row],[CidadeCPF]]," | ")</f>
        <v>#N/A</v>
      </c>
      <c r="L330" s="24" t="e">
        <f>_xlfn.TEXTAFTER(TabelaClean[[#This Row],[CidadeCPF]]," | ")</f>
        <v>#N/A</v>
      </c>
      <c r="M330" s="26">
        <v>14700</v>
      </c>
      <c r="N330" s="78">
        <v>0</v>
      </c>
      <c r="O330" s="1" t="s">
        <v>51</v>
      </c>
      <c r="P33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0" s="84">
        <v>40</v>
      </c>
      <c r="R330" s="1" t="str" cm="1">
        <f t="array" ref="R330">_xlfn.IFS(TabelaClean[[#This Row],[qtde_batalhas]]&lt;=10,"Baixo",TabelaClean[[#This Row],[qtde_batalhas]]&gt;=26,"Alto",TabelaClean[[#This Row],[qtde_batalhas]]&lt;26,"Médio")</f>
        <v>Alto</v>
      </c>
      <c r="S330" s="1" t="str">
        <f>IF(AND(TabelaClean[[#This Row],[nivel_risco]]="Alto",TabelaClean[[#This Row],[flag_inadimplente]]="Sim"),"Arriscado","Ok")</f>
        <v>Arriscado</v>
      </c>
      <c r="T330" s="26">
        <v>83500</v>
      </c>
      <c r="U33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30" s="1"/>
      <c r="Y330" s="16"/>
      <c r="BB330" s="26">
        <v>14700</v>
      </c>
      <c r="BC33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31" spans="1:55">
      <c r="A331" s="24" t="s">
        <v>81</v>
      </c>
      <c r="B331" s="17" t="s">
        <v>772</v>
      </c>
      <c r="C331" s="25" t="s">
        <v>841</v>
      </c>
      <c r="D331" s="54">
        <v>27</v>
      </c>
      <c r="E331" s="30">
        <v>36151</v>
      </c>
      <c r="F331" s="24" t="str">
        <f>TabelaClean[[#This Row],[CidadeCPF]]</f>
        <v>Winterfell</v>
      </c>
      <c r="G331" s="17" t="str">
        <f>TabelaClean[[#This Row],[RegiaoCPF]]</f>
        <v>Norte</v>
      </c>
      <c r="H331" s="17" t="str">
        <f>_xlfn.XLOOKUP(TabelaClean[[#This Row],[cpf]],TabelaDirty[cpfclean],TabelaDirty[cidade])</f>
        <v>Winterfell</v>
      </c>
      <c r="I331" s="17" t="str">
        <f>_xlfn.XLOOKUP(TabelaClean[[#This Row],[cpf]],TabelaDirty[cpfclean],TabelaDirty[regiao])</f>
        <v>Norte</v>
      </c>
      <c r="J331" s="17" t="str">
        <f>PROPER(TabelaClean[[#This Row],[Coluna1]])</f>
        <v>Norte</v>
      </c>
      <c r="K331" s="17" t="e">
        <f>_xlfn.TEXTBEFORE(TabelaClean[[#This Row],[CidadeCPF]]," | ")</f>
        <v>#N/A</v>
      </c>
      <c r="L331" s="24" t="e">
        <f>_xlfn.TEXTAFTER(TabelaClean[[#This Row],[CidadeCPF]]," | ")</f>
        <v>#N/A</v>
      </c>
      <c r="M331" s="26">
        <v>25900</v>
      </c>
      <c r="N331" s="78">
        <v>0</v>
      </c>
      <c r="O331" s="1" t="s">
        <v>51</v>
      </c>
      <c r="P33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1" s="84">
        <v>10</v>
      </c>
      <c r="R331" s="1" t="str" cm="1">
        <f t="array" ref="R331">_xlfn.IFS(TabelaClean[[#This Row],[qtde_batalhas]]&lt;=10,"Baixo",TabelaClean[[#This Row],[qtde_batalhas]]&gt;=26,"Alto",TabelaClean[[#This Row],[qtde_batalhas]]&lt;26,"Médio")</f>
        <v>Baixo</v>
      </c>
      <c r="S331" s="1" t="str">
        <f>IF(AND(TabelaClean[[#This Row],[nivel_risco]]="Alto",TabelaClean[[#This Row],[flag_inadimplente]]="Sim"),"Arriscado","Ok")</f>
        <v>Ok</v>
      </c>
      <c r="T331" s="26">
        <v>5000</v>
      </c>
      <c r="U33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31" s="1"/>
      <c r="Y331" s="16"/>
      <c r="BB331" s="26">
        <v>25900</v>
      </c>
      <c r="BC33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32" spans="1:55">
      <c r="A332" s="24" t="s">
        <v>76</v>
      </c>
      <c r="B332" s="17" t="s">
        <v>752</v>
      </c>
      <c r="C332" s="25" t="s">
        <v>753</v>
      </c>
      <c r="D332" s="54">
        <v>62</v>
      </c>
      <c r="E332" s="30">
        <v>23317</v>
      </c>
      <c r="F332" s="24" t="str">
        <f>TabelaClean[[#This Row],[CidadeCPF]]</f>
        <v>Winterfell</v>
      </c>
      <c r="G332" s="17" t="str">
        <f>TabelaClean[[#This Row],[RegiaoCPF]]</f>
        <v>Norte</v>
      </c>
      <c r="H332" s="17" t="str">
        <f>_xlfn.XLOOKUP(TabelaClean[[#This Row],[cpf]],TabelaDirty[cpfclean],TabelaDirty[cidade])</f>
        <v>Winterfell</v>
      </c>
      <c r="I332" s="17" t="str">
        <f>_xlfn.XLOOKUP(TabelaClean[[#This Row],[cpf]],TabelaDirty[cpfclean],TabelaDirty[regiao])</f>
        <v>Norte</v>
      </c>
      <c r="J332" s="17" t="str">
        <f>PROPER(TabelaClean[[#This Row],[Coluna1]])</f>
        <v>Norte</v>
      </c>
      <c r="K332" s="17" t="e">
        <f>_xlfn.TEXTBEFORE(TabelaClean[[#This Row],[CidadeCPF]]," | ")</f>
        <v>#N/A</v>
      </c>
      <c r="L332" s="24" t="e">
        <f>_xlfn.TEXTAFTER(TabelaClean[[#This Row],[CidadeCPF]]," | ")</f>
        <v>#N/A</v>
      </c>
      <c r="M332" s="26">
        <v>10500</v>
      </c>
      <c r="N332" s="78">
        <v>0</v>
      </c>
      <c r="O332" s="1" t="s">
        <v>51</v>
      </c>
      <c r="P33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2" s="84">
        <v>4</v>
      </c>
      <c r="R332" s="1" t="str" cm="1">
        <f t="array" ref="R332">_xlfn.IFS(TabelaClean[[#This Row],[qtde_batalhas]]&lt;=10,"Baixo",TabelaClean[[#This Row],[qtde_batalhas]]&gt;=26,"Alto",TabelaClean[[#This Row],[qtde_batalhas]]&lt;26,"Médio")</f>
        <v>Baixo</v>
      </c>
      <c r="S332" s="1" t="str">
        <f>IF(AND(TabelaClean[[#This Row],[nivel_risco]]="Alto",TabelaClean[[#This Row],[flag_inadimplente]]="Sim"),"Arriscado","Ok")</f>
        <v>Ok</v>
      </c>
      <c r="T332" s="26">
        <v>54500</v>
      </c>
      <c r="U332" s="81">
        <f>IF(AND(TabelaClean[[#This Row],[analise_risco]]="Arriscado",TabelaClean[[#This Row],[analise_credito]]="Reprovado"),0,IF(TabelaClean[[#This Row],[status]]="Ativo",TabelaClean[[#This Row],[valor_solicitado]]*1.08,0))</f>
        <v>58860.000000000007</v>
      </c>
      <c r="W332" s="1"/>
      <c r="Y332" s="16"/>
      <c r="BB332" s="26">
        <v>10500</v>
      </c>
      <c r="BC332" s="81">
        <f>IF(AND(TabelaClean[[#This Row],[analise_risco]]="Arriscado",TabelaClean[[#This Row],[analise_credito]]="Reprovado"),0,IF(TabelaClean[[#This Row],[status]]="Ativo",TabelaClean[[#This Row],[valor_solicitado]]*1.08,0))</f>
        <v>58860.000000000007</v>
      </c>
    </row>
    <row r="333" spans="1:55">
      <c r="A333" s="24" t="s">
        <v>76</v>
      </c>
      <c r="B333" s="17" t="s">
        <v>777</v>
      </c>
      <c r="C333" s="25" t="s">
        <v>968</v>
      </c>
      <c r="D333" s="54">
        <v>20</v>
      </c>
      <c r="E333" s="30">
        <v>38894</v>
      </c>
      <c r="F333" s="24" t="str">
        <f>TabelaClean[[#This Row],[CidadeCPF]]</f>
        <v>Ilha dos Ursos</v>
      </c>
      <c r="G333" s="17" t="str">
        <f>TabelaClean[[#This Row],[RegiaoCPF]]</f>
        <v>Norte</v>
      </c>
      <c r="H333" s="17" t="str">
        <f>_xlfn.XLOOKUP(TabelaClean[[#This Row],[cpf]],TabelaDirty[cpfclean],TabelaDirty[cidade])</f>
        <v>Ilha dos Ursos</v>
      </c>
      <c r="I333" s="17" t="str">
        <f>_xlfn.XLOOKUP(TabelaClean[[#This Row],[cpf]],TabelaDirty[cpfclean],TabelaDirty[regiao])</f>
        <v>norte</v>
      </c>
      <c r="J333" s="17" t="str">
        <f>PROPER(TabelaClean[[#This Row],[Coluna1]])</f>
        <v>Norte</v>
      </c>
      <c r="K333" s="17" t="e">
        <f>_xlfn.TEXTBEFORE(TabelaClean[[#This Row],[CidadeCPF]]," | ")</f>
        <v>#N/A</v>
      </c>
      <c r="L333" s="24" t="e">
        <f>_xlfn.TEXTAFTER(TabelaClean[[#This Row],[CidadeCPF]]," | ")</f>
        <v>#N/A</v>
      </c>
      <c r="M333" s="26">
        <v>24900</v>
      </c>
      <c r="N333" s="78">
        <v>0</v>
      </c>
      <c r="O333" s="1" t="s">
        <v>51</v>
      </c>
      <c r="P33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3" s="84">
        <v>14</v>
      </c>
      <c r="R333" s="1" t="str" cm="1">
        <f t="array" ref="R333">_xlfn.IFS(TabelaClean[[#This Row],[qtde_batalhas]]&lt;=10,"Baixo",TabelaClean[[#This Row],[qtde_batalhas]]&gt;=26,"Alto",TabelaClean[[#This Row],[qtde_batalhas]]&lt;26,"Médio")</f>
        <v>Médio</v>
      </c>
      <c r="S333" s="1" t="str">
        <f>IF(AND(TabelaClean[[#This Row],[nivel_risco]]="Alto",TabelaClean[[#This Row],[flag_inadimplente]]="Sim"),"Arriscado","Ok")</f>
        <v>Ok</v>
      </c>
      <c r="T333" s="26">
        <v>49500</v>
      </c>
      <c r="U333" s="81">
        <f>IF(AND(TabelaClean[[#This Row],[analise_risco]]="Arriscado",TabelaClean[[#This Row],[analise_credito]]="Reprovado"),0,IF(TabelaClean[[#This Row],[status]]="Ativo",TabelaClean[[#This Row],[valor_solicitado]]*1.08,0))</f>
        <v>53460</v>
      </c>
      <c r="W333" s="1"/>
      <c r="Y333" s="16"/>
      <c r="BB333" s="26">
        <v>24900</v>
      </c>
      <c r="BC333" s="81">
        <f>IF(AND(TabelaClean[[#This Row],[analise_risco]]="Arriscado",TabelaClean[[#This Row],[analise_credito]]="Reprovado"),0,IF(TabelaClean[[#This Row],[status]]="Ativo",TabelaClean[[#This Row],[valor_solicitado]]*1.08,0))</f>
        <v>53460</v>
      </c>
    </row>
    <row r="334" spans="1:55">
      <c r="A334" s="24" t="s">
        <v>76</v>
      </c>
      <c r="B334" s="17" t="s">
        <v>405</v>
      </c>
      <c r="C334" s="25" t="s">
        <v>969</v>
      </c>
      <c r="D334" s="54">
        <v>23</v>
      </c>
      <c r="E334" s="30">
        <v>37566</v>
      </c>
      <c r="F334" s="24" t="str">
        <f>TabelaClean[[#This Row],[CidadeCPF]]</f>
        <v>Braavos</v>
      </c>
      <c r="G334" s="17" t="str">
        <f>TabelaClean[[#This Row],[RegiaoCPF]]</f>
        <v>Essos</v>
      </c>
      <c r="H334" s="17" t="str">
        <f>_xlfn.XLOOKUP(TabelaClean[[#This Row],[cpf]],TabelaDirty[cpfclean],TabelaDirty[cidade])</f>
        <v>Braavos</v>
      </c>
      <c r="I334" s="17" t="str">
        <f>_xlfn.XLOOKUP(TabelaClean[[#This Row],[cpf]],TabelaDirty[cpfclean],TabelaDirty[regiao])</f>
        <v>ESSOS</v>
      </c>
      <c r="J334" s="17" t="str">
        <f>PROPER(TabelaClean[[#This Row],[Coluna1]])</f>
        <v>Essos</v>
      </c>
      <c r="K334" s="17" t="e">
        <f>_xlfn.TEXTBEFORE(TabelaClean[[#This Row],[CidadeCPF]]," | ")</f>
        <v>#N/A</v>
      </c>
      <c r="L334" s="24" t="e">
        <f>_xlfn.TEXTAFTER(TabelaClean[[#This Row],[CidadeCPF]]," | ")</f>
        <v>#N/A</v>
      </c>
      <c r="M334" s="26">
        <v>2600</v>
      </c>
      <c r="N334" s="78">
        <v>0</v>
      </c>
      <c r="O334" s="1" t="s">
        <v>51</v>
      </c>
      <c r="P33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4" s="84">
        <v>30</v>
      </c>
      <c r="R334" s="1" t="str" cm="1">
        <f t="array" ref="R334">_xlfn.IFS(TabelaClean[[#This Row],[qtde_batalhas]]&lt;=10,"Baixo",TabelaClean[[#This Row],[qtde_batalhas]]&gt;=26,"Alto",TabelaClean[[#This Row],[qtde_batalhas]]&lt;26,"Médio")</f>
        <v>Alto</v>
      </c>
      <c r="S334" s="1" t="str">
        <f>IF(AND(TabelaClean[[#This Row],[nivel_risco]]="Alto",TabelaClean[[#This Row],[flag_inadimplente]]="Sim"),"Arriscado","Ok")</f>
        <v>Arriscado</v>
      </c>
      <c r="T334" s="26">
        <v>11000</v>
      </c>
      <c r="U334" s="81">
        <f>IF(AND(TabelaClean[[#This Row],[analise_risco]]="Arriscado",TabelaClean[[#This Row],[analise_credito]]="Reprovado"),0,IF(TabelaClean[[#This Row],[status]]="Ativo",TabelaClean[[#This Row],[valor_solicitado]]*1.08,0))</f>
        <v>11880</v>
      </c>
      <c r="W334" s="1"/>
      <c r="Y334" s="16"/>
      <c r="BB334" s="26">
        <v>2600</v>
      </c>
      <c r="BC334" s="81">
        <f>IF(AND(TabelaClean[[#This Row],[analise_risco]]="Arriscado",TabelaClean[[#This Row],[analise_credito]]="Reprovado"),0,IF(TabelaClean[[#This Row],[status]]="Ativo",TabelaClean[[#This Row],[valor_solicitado]]*1.08,0))</f>
        <v>11880</v>
      </c>
    </row>
    <row r="335" spans="1:55">
      <c r="A335" s="24" t="s">
        <v>81</v>
      </c>
      <c r="B335" s="17" t="s">
        <v>163</v>
      </c>
      <c r="C335" s="25" t="s">
        <v>164</v>
      </c>
      <c r="D335" s="54">
        <v>62</v>
      </c>
      <c r="E335" s="30">
        <v>23259</v>
      </c>
      <c r="F335" s="24" t="str">
        <f>TabelaClean[[#This Row],[CidadeCPF]]</f>
        <v>Pedra do Dragão</v>
      </c>
      <c r="G335" s="17" t="str">
        <f>TabelaClean[[#This Row],[RegiaoCPF]]</f>
        <v>Terras Da Coroa</v>
      </c>
      <c r="H335" s="17" t="str">
        <f>_xlfn.XLOOKUP(TabelaClean[[#This Row],[cpf]],TabelaDirty[cpfclean],TabelaDirty[cidade])</f>
        <v>Pedra do Dragão</v>
      </c>
      <c r="I335" s="17" t="str">
        <f>_xlfn.XLOOKUP(TabelaClean[[#This Row],[cpf]],TabelaDirty[cpfclean],TabelaDirty[regiao])</f>
        <v>TERRAS DA COROA</v>
      </c>
      <c r="J335" s="17" t="str">
        <f>PROPER(TabelaClean[[#This Row],[Coluna1]])</f>
        <v>Terras Da Coroa</v>
      </c>
      <c r="K335" s="17" t="e">
        <f>_xlfn.TEXTBEFORE(TabelaClean[[#This Row],[CidadeCPF]]," | ")</f>
        <v>#N/A</v>
      </c>
      <c r="L335" s="24" t="e">
        <f>_xlfn.TEXTAFTER(TabelaClean[[#This Row],[CidadeCPF]]," | ")</f>
        <v>#N/A</v>
      </c>
      <c r="N335" s="78">
        <v>0</v>
      </c>
      <c r="O335" s="1" t="s">
        <v>51</v>
      </c>
      <c r="P33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5" s="84">
        <v>1</v>
      </c>
      <c r="R335" s="1" t="str" cm="1">
        <f t="array" ref="R335">_xlfn.IFS(TabelaClean[[#This Row],[qtde_batalhas]]&lt;=10,"Baixo",TabelaClean[[#This Row],[qtde_batalhas]]&gt;=26,"Alto",TabelaClean[[#This Row],[qtde_batalhas]]&lt;26,"Médio")</f>
        <v>Baixo</v>
      </c>
      <c r="S335" s="1" t="str">
        <f>IF(AND(TabelaClean[[#This Row],[nivel_risco]]="Alto",TabelaClean[[#This Row],[flag_inadimplente]]="Sim"),"Arriscado","Ok")</f>
        <v>Ok</v>
      </c>
      <c r="T335" s="26">
        <v>12000</v>
      </c>
      <c r="U33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35" s="1"/>
      <c r="Y335" s="16"/>
      <c r="BC33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36" spans="1:55">
      <c r="A336" s="24" t="s">
        <v>76</v>
      </c>
      <c r="B336" s="17" t="s">
        <v>230</v>
      </c>
      <c r="C336" s="25" t="s">
        <v>231</v>
      </c>
      <c r="D336" s="54">
        <v>48</v>
      </c>
      <c r="E336" s="30">
        <v>28430</v>
      </c>
      <c r="F336" s="24" t="str">
        <f>TabelaClean[[#This Row],[CidadeCPF]]</f>
        <v>Pyke</v>
      </c>
      <c r="G336" s="17" t="str">
        <f>TabelaClean[[#This Row],[RegiaoCPF]]</f>
        <v>Ilhas De Ferro</v>
      </c>
      <c r="H336" s="17" t="str">
        <f>_xlfn.XLOOKUP(TabelaClean[[#This Row],[cpf]],TabelaDirty[cpfclean],TabelaDirty[cidade])</f>
        <v>Pyke</v>
      </c>
      <c r="I336" s="17" t="str">
        <f>_xlfn.XLOOKUP(TabelaClean[[#This Row],[cpf]],TabelaDirty[cpfclean],TabelaDirty[regiao])</f>
        <v>Ilhas De Ferro</v>
      </c>
      <c r="J336" s="17" t="str">
        <f>PROPER(TabelaClean[[#This Row],[Coluna1]])</f>
        <v>Ilhas De Ferro</v>
      </c>
      <c r="K336" s="17" t="e">
        <f>_xlfn.TEXTBEFORE(TabelaClean[[#This Row],[CidadeCPF]]," | ")</f>
        <v>#N/A</v>
      </c>
      <c r="L336" s="24" t="e">
        <f>_xlfn.TEXTAFTER(TabelaClean[[#This Row],[CidadeCPF]]," | ")</f>
        <v>#N/A</v>
      </c>
      <c r="M336" s="26">
        <v>4500</v>
      </c>
      <c r="N336" s="78">
        <v>0</v>
      </c>
      <c r="O336" s="1" t="s">
        <v>50</v>
      </c>
      <c r="P33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6" s="84">
        <v>3</v>
      </c>
      <c r="R336" s="1" t="str" cm="1">
        <f t="array" ref="R336">_xlfn.IFS(TabelaClean[[#This Row],[qtde_batalhas]]&lt;=10,"Baixo",TabelaClean[[#This Row],[qtde_batalhas]]&gt;=26,"Alto",TabelaClean[[#This Row],[qtde_batalhas]]&lt;26,"Médio")</f>
        <v>Baixo</v>
      </c>
      <c r="S336" s="1" t="str">
        <f>IF(AND(TabelaClean[[#This Row],[nivel_risco]]="Alto",TabelaClean[[#This Row],[flag_inadimplente]]="Sim"),"Arriscado","Ok")</f>
        <v>Ok</v>
      </c>
      <c r="T336" s="26">
        <v>48500</v>
      </c>
      <c r="U336" s="81">
        <f>IF(AND(TabelaClean[[#This Row],[analise_risco]]="Arriscado",TabelaClean[[#This Row],[analise_credito]]="Reprovado"),0,IF(TabelaClean[[#This Row],[status]]="Ativo",TabelaClean[[#This Row],[valor_solicitado]]*1.08,0))</f>
        <v>52380</v>
      </c>
      <c r="W336" s="1"/>
      <c r="Y336" s="16"/>
      <c r="BB336" s="26">
        <v>4500</v>
      </c>
      <c r="BC336" s="81">
        <f>IF(AND(TabelaClean[[#This Row],[analise_risco]]="Arriscado",TabelaClean[[#This Row],[analise_credito]]="Reprovado"),0,IF(TabelaClean[[#This Row],[status]]="Ativo",TabelaClean[[#This Row],[valor_solicitado]]*1.08,0))</f>
        <v>52380</v>
      </c>
    </row>
    <row r="337" spans="1:55">
      <c r="A337" s="24" t="s">
        <v>76</v>
      </c>
      <c r="B337" s="17" t="s">
        <v>281</v>
      </c>
      <c r="C337" s="25" t="s">
        <v>282</v>
      </c>
      <c r="D337" s="54">
        <v>24</v>
      </c>
      <c r="E337" s="30">
        <v>37259</v>
      </c>
      <c r="F337" s="24" t="str">
        <f>TabelaClean[[#This Row],[CidadeCPF]]</f>
        <v>Dorne</v>
      </c>
      <c r="G337" s="17" t="str">
        <f>TabelaClean[[#This Row],[RegiaoCPF]]</f>
        <v>Dorne</v>
      </c>
      <c r="H337" s="17" t="str">
        <f>_xlfn.XLOOKUP(TabelaClean[[#This Row],[cpf]],TabelaDirty[cpfclean],TabelaDirty[cidade])</f>
        <v>Dorne</v>
      </c>
      <c r="I337" s="17" t="str">
        <f>_xlfn.XLOOKUP(TabelaClean[[#This Row],[cpf]],TabelaDirty[cpfclean],TabelaDirty[regiao])</f>
        <v>Dorne</v>
      </c>
      <c r="J337" s="17" t="str">
        <f>PROPER(TabelaClean[[#This Row],[Coluna1]])</f>
        <v>Dorne</v>
      </c>
      <c r="K337" s="17" t="e">
        <f>_xlfn.TEXTBEFORE(TabelaClean[[#This Row],[CidadeCPF]]," | ")</f>
        <v>#N/A</v>
      </c>
      <c r="L337" s="24" t="e">
        <f>_xlfn.TEXTAFTER(TabelaClean[[#This Row],[CidadeCPF]]," | ")</f>
        <v>#N/A</v>
      </c>
      <c r="M337" s="26">
        <v>25200</v>
      </c>
      <c r="N337" s="78">
        <v>0</v>
      </c>
      <c r="O337" s="1" t="s">
        <v>50</v>
      </c>
      <c r="P33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7" s="84">
        <v>10</v>
      </c>
      <c r="R337" s="1" t="str" cm="1">
        <f t="array" ref="R337">_xlfn.IFS(TabelaClean[[#This Row],[qtde_batalhas]]&lt;=10,"Baixo",TabelaClean[[#This Row],[qtde_batalhas]]&gt;=26,"Alto",TabelaClean[[#This Row],[qtde_batalhas]]&lt;26,"Médio")</f>
        <v>Baixo</v>
      </c>
      <c r="S337" s="1" t="str">
        <f>IF(AND(TabelaClean[[#This Row],[nivel_risco]]="Alto",TabelaClean[[#This Row],[flag_inadimplente]]="Sim"),"Arriscado","Ok")</f>
        <v>Ok</v>
      </c>
      <c r="T337" s="26">
        <v>69500</v>
      </c>
      <c r="U337" s="81">
        <f>IF(AND(TabelaClean[[#This Row],[analise_risco]]="Arriscado",TabelaClean[[#This Row],[analise_credito]]="Reprovado"),0,IF(TabelaClean[[#This Row],[status]]="Ativo",TabelaClean[[#This Row],[valor_solicitado]]*1.08,0))</f>
        <v>75060</v>
      </c>
      <c r="W337" s="1"/>
      <c r="Y337" s="16"/>
      <c r="BB337" s="26">
        <v>25200</v>
      </c>
      <c r="BC337" s="81">
        <f>IF(AND(TabelaClean[[#This Row],[analise_risco]]="Arriscado",TabelaClean[[#This Row],[analise_credito]]="Reprovado"),0,IF(TabelaClean[[#This Row],[status]]="Ativo",TabelaClean[[#This Row],[valor_solicitado]]*1.08,0))</f>
        <v>75060</v>
      </c>
    </row>
    <row r="338" spans="1:55">
      <c r="A338" s="24" t="s">
        <v>76</v>
      </c>
      <c r="B338" s="17" t="s">
        <v>600</v>
      </c>
      <c r="C338" s="25" t="s">
        <v>601</v>
      </c>
      <c r="D338" s="54">
        <v>25</v>
      </c>
      <c r="E338" s="30">
        <v>37026</v>
      </c>
      <c r="F338" s="24" t="str">
        <f>TabelaClean[[#This Row],[CidadeCPF]]</f>
        <v>Solar do Entardecer</v>
      </c>
      <c r="G338" s="17" t="str">
        <f>TabelaClean[[#This Row],[RegiaoCPF]]</f>
        <v>Terras Da Tempestade</v>
      </c>
      <c r="H338" s="17" t="str">
        <f>_xlfn.XLOOKUP(TabelaClean[[#This Row],[cpf]],TabelaDirty[cpfclean],TabelaDirty[cidade])</f>
        <v>Solar do Entardecer</v>
      </c>
      <c r="I338" s="17" t="str">
        <f>_xlfn.XLOOKUP(TabelaClean[[#This Row],[cpf]],TabelaDirty[cpfclean],TabelaDirty[regiao])</f>
        <v>Terras da Tempestade</v>
      </c>
      <c r="J338" s="17" t="str">
        <f>PROPER(TabelaClean[[#This Row],[Coluna1]])</f>
        <v>Terras Da Tempestade</v>
      </c>
      <c r="K338" s="17" t="e">
        <f>_xlfn.TEXTBEFORE(TabelaClean[[#This Row],[CidadeCPF]]," | ")</f>
        <v>#N/A</v>
      </c>
      <c r="L338" s="24" t="e">
        <f>_xlfn.TEXTAFTER(TabelaClean[[#This Row],[CidadeCPF]]," | ")</f>
        <v>#N/A</v>
      </c>
      <c r="M338" s="26">
        <v>28200</v>
      </c>
      <c r="N338" s="78">
        <v>0</v>
      </c>
      <c r="O338" s="1" t="s">
        <v>50</v>
      </c>
      <c r="P33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8" s="84">
        <v>29</v>
      </c>
      <c r="R338" s="1" t="str" cm="1">
        <f t="array" ref="R338">_xlfn.IFS(TabelaClean[[#This Row],[qtde_batalhas]]&lt;=10,"Baixo",TabelaClean[[#This Row],[qtde_batalhas]]&gt;=26,"Alto",TabelaClean[[#This Row],[qtde_batalhas]]&lt;26,"Médio")</f>
        <v>Alto</v>
      </c>
      <c r="S338" s="1" t="str">
        <f>IF(AND(TabelaClean[[#This Row],[nivel_risco]]="Alto",TabelaClean[[#This Row],[flag_inadimplente]]="Sim"),"Arriscado","Ok")</f>
        <v>Ok</v>
      </c>
      <c r="T338" s="26">
        <v>92500</v>
      </c>
      <c r="U338" s="81">
        <f>IF(AND(TabelaClean[[#This Row],[analise_risco]]="Arriscado",TabelaClean[[#This Row],[analise_credito]]="Reprovado"),0,IF(TabelaClean[[#This Row],[status]]="Ativo",TabelaClean[[#This Row],[valor_solicitado]]*1.08,0))</f>
        <v>99900</v>
      </c>
      <c r="W338" s="1"/>
      <c r="Y338" s="16"/>
      <c r="BB338" s="26">
        <v>28200</v>
      </c>
      <c r="BC338" s="81">
        <f>IF(AND(TabelaClean[[#This Row],[analise_risco]]="Arriscado",TabelaClean[[#This Row],[analise_credito]]="Reprovado"),0,IF(TabelaClean[[#This Row],[status]]="Ativo",TabelaClean[[#This Row],[valor_solicitado]]*1.08,0))</f>
        <v>99900</v>
      </c>
    </row>
    <row r="339" spans="1:55">
      <c r="A339" s="24" t="s">
        <v>76</v>
      </c>
      <c r="B339" s="17" t="s">
        <v>970</v>
      </c>
      <c r="C339" s="25" t="s">
        <v>782</v>
      </c>
      <c r="D339" s="54">
        <v>32</v>
      </c>
      <c r="E339" s="30">
        <v>34508</v>
      </c>
      <c r="F339" s="24" t="str">
        <f>TabelaClean[[#This Row],[CidadeCPF]]</f>
        <v>Dorne</v>
      </c>
      <c r="G339" s="17" t="str">
        <f>TabelaClean[[#This Row],[RegiaoCPF]]</f>
        <v>Dorne</v>
      </c>
      <c r="H339" s="17" t="str">
        <f>_xlfn.XLOOKUP(TabelaClean[[#This Row],[cpf]],TabelaDirty[cpfclean],TabelaDirty[cidade])</f>
        <v>Dorne</v>
      </c>
      <c r="I339" s="17" t="str">
        <f>_xlfn.XLOOKUP(TabelaClean[[#This Row],[cpf]],TabelaDirty[cpfclean],TabelaDirty[regiao])</f>
        <v>Dorne</v>
      </c>
      <c r="J339" s="17" t="str">
        <f>PROPER(TabelaClean[[#This Row],[Coluna1]])</f>
        <v>Dorne</v>
      </c>
      <c r="K339" s="17" t="e">
        <f>_xlfn.TEXTBEFORE(TabelaClean[[#This Row],[CidadeCPF]]," | ")</f>
        <v>#N/A</v>
      </c>
      <c r="L339" s="24" t="e">
        <f>_xlfn.TEXTAFTER(TabelaClean[[#This Row],[CidadeCPF]]," | ")</f>
        <v>#N/A</v>
      </c>
      <c r="M339" s="26">
        <v>9800</v>
      </c>
      <c r="N339" s="78">
        <v>0</v>
      </c>
      <c r="O339" s="1" t="s">
        <v>50</v>
      </c>
      <c r="P33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39" s="84">
        <v>23</v>
      </c>
      <c r="R339" s="1" t="str" cm="1">
        <f t="array" ref="R339">_xlfn.IFS(TabelaClean[[#This Row],[qtde_batalhas]]&lt;=10,"Baixo",TabelaClean[[#This Row],[qtde_batalhas]]&gt;=26,"Alto",TabelaClean[[#This Row],[qtde_batalhas]]&lt;26,"Médio")</f>
        <v>Médio</v>
      </c>
      <c r="S339" s="1" t="str">
        <f>IF(AND(TabelaClean[[#This Row],[nivel_risco]]="Alto",TabelaClean[[#This Row],[flag_inadimplente]]="Sim"),"Arriscado","Ok")</f>
        <v>Ok</v>
      </c>
      <c r="T339" s="26">
        <v>68000</v>
      </c>
      <c r="U339" s="81">
        <f>IF(AND(TabelaClean[[#This Row],[analise_risco]]="Arriscado",TabelaClean[[#This Row],[analise_credito]]="Reprovado"),0,IF(TabelaClean[[#This Row],[status]]="Ativo",TabelaClean[[#This Row],[valor_solicitado]]*1.08,0))</f>
        <v>73440</v>
      </c>
      <c r="W339" s="1"/>
      <c r="Y339" s="16"/>
      <c r="BB339" s="26">
        <v>9800</v>
      </c>
      <c r="BC339" s="81">
        <f>IF(AND(TabelaClean[[#This Row],[analise_risco]]="Arriscado",TabelaClean[[#This Row],[analise_credito]]="Reprovado"),0,IF(TabelaClean[[#This Row],[status]]="Ativo",TabelaClean[[#This Row],[valor_solicitado]]*1.08,0))</f>
        <v>73440</v>
      </c>
    </row>
    <row r="340" spans="1:55">
      <c r="A340" s="24" t="s">
        <v>81</v>
      </c>
      <c r="B340" s="17" t="s">
        <v>287</v>
      </c>
      <c r="C340" s="25" t="s">
        <v>288</v>
      </c>
      <c r="D340" s="54">
        <v>70</v>
      </c>
      <c r="E340" s="30">
        <v>20502</v>
      </c>
      <c r="F340" s="24" t="str">
        <f>TabelaClean[[#This Row],[CidadeCPF]]</f>
        <v>Lannisporto</v>
      </c>
      <c r="G340" s="17" t="str">
        <f>TabelaClean[[#This Row],[RegiaoCPF]]</f>
        <v>Oeste</v>
      </c>
      <c r="H340" s="17" t="str">
        <f>_xlfn.XLOOKUP(TabelaClean[[#This Row],[cpf]],TabelaDirty[cpfclean],TabelaDirty[cidade])</f>
        <v>Lannisporto</v>
      </c>
      <c r="I340" s="17" t="str">
        <f>_xlfn.XLOOKUP(TabelaClean[[#This Row],[cpf]],TabelaDirty[cpfclean],TabelaDirty[regiao])</f>
        <v>Oeste</v>
      </c>
      <c r="J340" s="17" t="str">
        <f>PROPER(TabelaClean[[#This Row],[Coluna1]])</f>
        <v>Oeste</v>
      </c>
      <c r="K340" s="17" t="e">
        <f>_xlfn.TEXTBEFORE(TabelaClean[[#This Row],[CidadeCPF]]," | ")</f>
        <v>#N/A</v>
      </c>
      <c r="L340" s="24" t="e">
        <f>_xlfn.TEXTAFTER(TabelaClean[[#This Row],[CidadeCPF]]," | ")</f>
        <v>#N/A</v>
      </c>
      <c r="M340" s="26">
        <v>2500</v>
      </c>
      <c r="N340" s="78">
        <v>0</v>
      </c>
      <c r="O340" s="1" t="s">
        <v>50</v>
      </c>
      <c r="P34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0" s="84">
        <v>38</v>
      </c>
      <c r="R340" s="1" t="str" cm="1">
        <f t="array" ref="R340">_xlfn.IFS(TabelaClean[[#This Row],[qtde_batalhas]]&lt;=10,"Baixo",TabelaClean[[#This Row],[qtde_batalhas]]&gt;=26,"Alto",TabelaClean[[#This Row],[qtde_batalhas]]&lt;26,"Médio")</f>
        <v>Alto</v>
      </c>
      <c r="S340" s="1" t="str">
        <f>IF(AND(TabelaClean[[#This Row],[nivel_risco]]="Alto",TabelaClean[[#This Row],[flag_inadimplente]]="Sim"),"Arriscado","Ok")</f>
        <v>Ok</v>
      </c>
      <c r="T340" s="26">
        <v>44500</v>
      </c>
      <c r="U34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40" s="1"/>
      <c r="Y340" s="16"/>
      <c r="BB340" s="26">
        <v>2500</v>
      </c>
      <c r="BC34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41" spans="1:55">
      <c r="A341" s="24" t="s">
        <v>76</v>
      </c>
      <c r="B341" s="17" t="s">
        <v>592</v>
      </c>
      <c r="C341" s="25" t="s">
        <v>593</v>
      </c>
      <c r="D341" s="54">
        <v>65</v>
      </c>
      <c r="E341" s="30">
        <v>22366</v>
      </c>
      <c r="F341" s="24" t="str">
        <f>TabelaClean[[#This Row],[CidadeCPF]]</f>
        <v>Jardim de Cima</v>
      </c>
      <c r="G341" s="17" t="str">
        <f>TabelaClean[[#This Row],[RegiaoCPF]]</f>
        <v>Campina</v>
      </c>
      <c r="H341" s="17" t="str">
        <f>_xlfn.XLOOKUP(TabelaClean[[#This Row],[cpf]],TabelaDirty[cpfclean],TabelaDirty[cidade])</f>
        <v>Jardim de Cima</v>
      </c>
      <c r="I341" s="17" t="str">
        <f>_xlfn.XLOOKUP(TabelaClean[[#This Row],[cpf]],TabelaDirty[cpfclean],TabelaDirty[regiao])</f>
        <v>campina</v>
      </c>
      <c r="J341" s="17" t="str">
        <f>PROPER(TabelaClean[[#This Row],[Coluna1]])</f>
        <v>Campina</v>
      </c>
      <c r="K341" s="17" t="e">
        <f>_xlfn.TEXTBEFORE(TabelaClean[[#This Row],[CidadeCPF]]," | ")</f>
        <v>#N/A</v>
      </c>
      <c r="L341" s="24" t="e">
        <f>_xlfn.TEXTAFTER(TabelaClean[[#This Row],[CidadeCPF]]," | ")</f>
        <v>#N/A</v>
      </c>
      <c r="M341" s="26">
        <v>18000</v>
      </c>
      <c r="N341" s="78">
        <v>0</v>
      </c>
      <c r="O341" s="1" t="s">
        <v>50</v>
      </c>
      <c r="P34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1" s="84">
        <v>27</v>
      </c>
      <c r="R341" s="1" t="str" cm="1">
        <f t="array" ref="R341">_xlfn.IFS(TabelaClean[[#This Row],[qtde_batalhas]]&lt;=10,"Baixo",TabelaClean[[#This Row],[qtde_batalhas]]&gt;=26,"Alto",TabelaClean[[#This Row],[qtde_batalhas]]&lt;26,"Médio")</f>
        <v>Alto</v>
      </c>
      <c r="S341" s="1" t="str">
        <f>IF(AND(TabelaClean[[#This Row],[nivel_risco]]="Alto",TabelaClean[[#This Row],[flag_inadimplente]]="Sim"),"Arriscado","Ok")</f>
        <v>Ok</v>
      </c>
      <c r="T341" s="26">
        <v>38500</v>
      </c>
      <c r="U341" s="81">
        <f>IF(AND(TabelaClean[[#This Row],[analise_risco]]="Arriscado",TabelaClean[[#This Row],[analise_credito]]="Reprovado"),0,IF(TabelaClean[[#This Row],[status]]="Ativo",TabelaClean[[#This Row],[valor_solicitado]]*1.08,0))</f>
        <v>41580</v>
      </c>
      <c r="W341" s="1"/>
      <c r="Y341" s="16"/>
      <c r="BB341" s="26">
        <v>18000</v>
      </c>
      <c r="BC341" s="81">
        <f>IF(AND(TabelaClean[[#This Row],[analise_risco]]="Arriscado",TabelaClean[[#This Row],[analise_credito]]="Reprovado"),0,IF(TabelaClean[[#This Row],[status]]="Ativo",TabelaClean[[#This Row],[valor_solicitado]]*1.08,0))</f>
        <v>41580</v>
      </c>
    </row>
    <row r="342" spans="1:55">
      <c r="A342" s="24" t="s">
        <v>81</v>
      </c>
      <c r="B342" s="17" t="s">
        <v>712</v>
      </c>
      <c r="C342" s="25" t="s">
        <v>858</v>
      </c>
      <c r="D342" s="54">
        <v>35</v>
      </c>
      <c r="E342" s="30">
        <v>33417</v>
      </c>
      <c r="F342" s="24" t="str">
        <f>TabelaClean[[#This Row],[CidadeCPF]]</f>
        <v>Jardim de Cima</v>
      </c>
      <c r="G342" s="17" t="str">
        <f>TabelaClean[[#This Row],[RegiaoCPF]]</f>
        <v>Campina</v>
      </c>
      <c r="H342" s="17" t="str">
        <f>_xlfn.XLOOKUP(TabelaClean[[#This Row],[cpf]],TabelaDirty[cpfclean],TabelaDirty[cidade])</f>
        <v>Jardim de Cima</v>
      </c>
      <c r="I342" s="17" t="str">
        <f>_xlfn.XLOOKUP(TabelaClean[[#This Row],[cpf]],TabelaDirty[cpfclean],TabelaDirty[regiao])</f>
        <v>campina</v>
      </c>
      <c r="J342" s="17" t="str">
        <f>PROPER(TabelaClean[[#This Row],[Coluna1]])</f>
        <v>Campina</v>
      </c>
      <c r="K342" s="17" t="e">
        <f>_xlfn.TEXTBEFORE(TabelaClean[[#This Row],[CidadeCPF]]," | ")</f>
        <v>#N/A</v>
      </c>
      <c r="L342" s="24" t="e">
        <f>_xlfn.TEXTAFTER(TabelaClean[[#This Row],[CidadeCPF]]," | ")</f>
        <v>#N/A</v>
      </c>
      <c r="M342" s="26">
        <v>12400</v>
      </c>
      <c r="N342" s="78">
        <v>0</v>
      </c>
      <c r="O342" s="1" t="s">
        <v>50</v>
      </c>
      <c r="P34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2" s="84">
        <v>3</v>
      </c>
      <c r="R342" s="1" t="str" cm="1">
        <f t="array" ref="R342">_xlfn.IFS(TabelaClean[[#This Row],[qtde_batalhas]]&lt;=10,"Baixo",TabelaClean[[#This Row],[qtde_batalhas]]&gt;=26,"Alto",TabelaClean[[#This Row],[qtde_batalhas]]&lt;26,"Médio")</f>
        <v>Baixo</v>
      </c>
      <c r="S342" s="1" t="str">
        <f>IF(AND(TabelaClean[[#This Row],[nivel_risco]]="Alto",TabelaClean[[#This Row],[flag_inadimplente]]="Sim"),"Arriscado","Ok")</f>
        <v>Ok</v>
      </c>
      <c r="T342" s="26">
        <v>83500</v>
      </c>
      <c r="U342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42" s="1"/>
      <c r="Y342" s="16"/>
      <c r="BB342" s="26">
        <v>12400</v>
      </c>
      <c r="BC342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43" spans="1:55">
      <c r="A343" s="24" t="s">
        <v>76</v>
      </c>
      <c r="B343" s="17" t="s">
        <v>672</v>
      </c>
      <c r="C343" s="25" t="s">
        <v>673</v>
      </c>
      <c r="D343" s="54">
        <v>52</v>
      </c>
      <c r="E343" s="30">
        <v>27088</v>
      </c>
      <c r="F343" s="24" t="str">
        <f>TabelaClean[[#This Row],[CidadeCPF]]</f>
        <v>Ponta Tempestade</v>
      </c>
      <c r="G343" s="17" t="str">
        <f>TabelaClean[[#This Row],[RegiaoCPF]]</f>
        <v>Terras Da Tempestade</v>
      </c>
      <c r="H343" s="17" t="str">
        <f>_xlfn.XLOOKUP(TabelaClean[[#This Row],[cpf]],TabelaDirty[cpfclean],TabelaDirty[cidade])</f>
        <v>Ponta Tempestade</v>
      </c>
      <c r="I343" s="17" t="str">
        <f>_xlfn.XLOOKUP(TabelaClean[[#This Row],[cpf]],TabelaDirty[cpfclean],TabelaDirty[regiao])</f>
        <v>Terras Da Tempestade</v>
      </c>
      <c r="J343" s="17" t="str">
        <f>PROPER(TabelaClean[[#This Row],[Coluna1]])</f>
        <v>Terras Da Tempestade</v>
      </c>
      <c r="K343" s="17" t="e">
        <f>_xlfn.TEXTBEFORE(TabelaClean[[#This Row],[CidadeCPF]]," | ")</f>
        <v>#N/A</v>
      </c>
      <c r="L343" s="24" t="e">
        <f>_xlfn.TEXTAFTER(TabelaClean[[#This Row],[CidadeCPF]]," | ")</f>
        <v>#N/A</v>
      </c>
      <c r="M343" s="26">
        <v>24900</v>
      </c>
      <c r="N343" s="78">
        <v>0</v>
      </c>
      <c r="O343" s="1" t="s">
        <v>50</v>
      </c>
      <c r="P34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3" s="84">
        <v>24</v>
      </c>
      <c r="R343" s="1" t="str" cm="1">
        <f t="array" ref="R343">_xlfn.IFS(TabelaClean[[#This Row],[qtde_batalhas]]&lt;=10,"Baixo",TabelaClean[[#This Row],[qtde_batalhas]]&gt;=26,"Alto",TabelaClean[[#This Row],[qtde_batalhas]]&lt;26,"Médio")</f>
        <v>Médio</v>
      </c>
      <c r="S343" s="1" t="str">
        <f>IF(AND(TabelaClean[[#This Row],[nivel_risco]]="Alto",TabelaClean[[#This Row],[flag_inadimplente]]="Sim"),"Arriscado","Ok")</f>
        <v>Ok</v>
      </c>
      <c r="T343" s="26">
        <v>16000</v>
      </c>
      <c r="U343" s="81">
        <f>IF(AND(TabelaClean[[#This Row],[analise_risco]]="Arriscado",TabelaClean[[#This Row],[analise_credito]]="Reprovado"),0,IF(TabelaClean[[#This Row],[status]]="Ativo",TabelaClean[[#This Row],[valor_solicitado]]*1.08,0))</f>
        <v>17280</v>
      </c>
      <c r="W343" s="1"/>
      <c r="Y343" s="16"/>
      <c r="BB343" s="26">
        <v>24900</v>
      </c>
      <c r="BC343" s="81">
        <f>IF(AND(TabelaClean[[#This Row],[analise_risco]]="Arriscado",TabelaClean[[#This Row],[analise_credito]]="Reprovado"),0,IF(TabelaClean[[#This Row],[status]]="Ativo",TabelaClean[[#This Row],[valor_solicitado]]*1.08,0))</f>
        <v>17280</v>
      </c>
    </row>
    <row r="344" spans="1:55">
      <c r="A344" s="24" t="s">
        <v>81</v>
      </c>
      <c r="B344" s="17" t="s">
        <v>676</v>
      </c>
      <c r="C344" s="25" t="s">
        <v>677</v>
      </c>
      <c r="D344" s="54">
        <v>48</v>
      </c>
      <c r="E344" s="30">
        <v>28737</v>
      </c>
      <c r="F344" s="24" t="str">
        <f>TabelaClean[[#This Row],[CidadeCPF]]</f>
        <v>Porto Real</v>
      </c>
      <c r="G344" s="17" t="str">
        <f>TabelaClean[[#This Row],[RegiaoCPF]]</f>
        <v>Terras Da Coroa</v>
      </c>
      <c r="H344" s="17" t="str">
        <f>_xlfn.XLOOKUP(TabelaClean[[#This Row],[cpf]],TabelaDirty[cpfclean],TabelaDirty[cidade])</f>
        <v>Porto Real</v>
      </c>
      <c r="I344" s="17" t="str">
        <f>_xlfn.XLOOKUP(TabelaClean[[#This Row],[cpf]],TabelaDirty[cpfclean],TabelaDirty[regiao])</f>
        <v>Terras da Coroa</v>
      </c>
      <c r="J344" s="17" t="str">
        <f>PROPER(TabelaClean[[#This Row],[Coluna1]])</f>
        <v>Terras Da Coroa</v>
      </c>
      <c r="K344" s="17" t="e">
        <f>_xlfn.TEXTBEFORE(TabelaClean[[#This Row],[CidadeCPF]]," | ")</f>
        <v>#N/A</v>
      </c>
      <c r="L344" s="24" t="e">
        <f>_xlfn.TEXTAFTER(TabelaClean[[#This Row],[CidadeCPF]]," | ")</f>
        <v>#N/A</v>
      </c>
      <c r="M344" s="26">
        <v>12400</v>
      </c>
      <c r="N344" s="78">
        <v>0</v>
      </c>
      <c r="O344" s="1" t="s">
        <v>50</v>
      </c>
      <c r="P34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4" s="84">
        <v>25</v>
      </c>
      <c r="R344" s="1" t="str" cm="1">
        <f t="array" ref="R344">_xlfn.IFS(TabelaClean[[#This Row],[qtde_batalhas]]&lt;=10,"Baixo",TabelaClean[[#This Row],[qtde_batalhas]]&gt;=26,"Alto",TabelaClean[[#This Row],[qtde_batalhas]]&lt;26,"Médio")</f>
        <v>Médio</v>
      </c>
      <c r="S344" s="1" t="str">
        <f>IF(AND(TabelaClean[[#This Row],[nivel_risco]]="Alto",TabelaClean[[#This Row],[flag_inadimplente]]="Sim"),"Arriscado","Ok")</f>
        <v>Ok</v>
      </c>
      <c r="T344" s="26">
        <v>65500</v>
      </c>
      <c r="U34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44" s="1"/>
      <c r="Y344" s="16"/>
      <c r="BB344" s="26">
        <v>12400</v>
      </c>
      <c r="BC34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45" spans="1:55">
      <c r="A345" s="29" t="s">
        <v>809</v>
      </c>
      <c r="B345" s="17" t="s">
        <v>208</v>
      </c>
      <c r="C345" s="25" t="s">
        <v>209</v>
      </c>
      <c r="D345" s="54">
        <v>63</v>
      </c>
      <c r="E345" s="30">
        <v>23231</v>
      </c>
      <c r="F345" s="24" t="str">
        <f>TabelaClean[[#This Row],[CidadeCPF]]</f>
        <v>Winterfell</v>
      </c>
      <c r="G345" s="17" t="str">
        <f>TabelaClean[[#This Row],[RegiaoCPF]]</f>
        <v>Norte</v>
      </c>
      <c r="H345" s="17" t="str">
        <f>_xlfn.XLOOKUP(TabelaClean[[#This Row],[cpf]],TabelaDirty[cpfclean],TabelaDirty[cidade])</f>
        <v>Winterfell</v>
      </c>
      <c r="I345" s="17" t="str">
        <f>_xlfn.XLOOKUP(TabelaClean[[#This Row],[cpf]],TabelaDirty[cpfclean],TabelaDirty[regiao])</f>
        <v>Norte</v>
      </c>
      <c r="J345" s="17" t="str">
        <f>PROPER(TabelaClean[[#This Row],[Coluna1]])</f>
        <v>Norte</v>
      </c>
      <c r="K345" s="17" t="e">
        <f>_xlfn.TEXTBEFORE(TabelaClean[[#This Row],[CidadeCPF]]," | ")</f>
        <v>#N/A</v>
      </c>
      <c r="L345" s="24" t="e">
        <f>_xlfn.TEXTAFTER(TabelaClean[[#This Row],[CidadeCPF]]," | ")</f>
        <v>#N/A</v>
      </c>
      <c r="M345" s="26">
        <v>16800</v>
      </c>
      <c r="N345" s="78">
        <v>0</v>
      </c>
      <c r="O345" s="1" t="s">
        <v>50</v>
      </c>
      <c r="P34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5" s="84">
        <v>32</v>
      </c>
      <c r="R345" s="1" t="str" cm="1">
        <f t="array" ref="R345">_xlfn.IFS(TabelaClean[[#This Row],[qtde_batalhas]]&lt;=10,"Baixo",TabelaClean[[#This Row],[qtde_batalhas]]&gt;=26,"Alto",TabelaClean[[#This Row],[qtde_batalhas]]&lt;26,"Médio")</f>
        <v>Alto</v>
      </c>
      <c r="S345" s="1" t="str">
        <f>IF(AND(TabelaClean[[#This Row],[nivel_risco]]="Alto",TabelaClean[[#This Row],[flag_inadimplente]]="Sim"),"Arriscado","Ok")</f>
        <v>Ok</v>
      </c>
      <c r="T345" s="26">
        <v>61500</v>
      </c>
      <c r="U34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45" s="1"/>
      <c r="Y345" s="16"/>
      <c r="BB345" s="26">
        <v>16800</v>
      </c>
      <c r="BC34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46" spans="1:55">
      <c r="A346" s="24" t="s">
        <v>76</v>
      </c>
      <c r="B346" s="17" t="s">
        <v>499</v>
      </c>
      <c r="C346" s="25" t="s">
        <v>500</v>
      </c>
      <c r="D346" s="54" t="s">
        <v>809</v>
      </c>
      <c r="E346" s="30">
        <v>19168</v>
      </c>
      <c r="F346" s="24" t="str">
        <f>TabelaClean[[#This Row],[CidadeCPF]]</f>
        <v>Pyke</v>
      </c>
      <c r="G346" s="17" t="str">
        <f>TabelaClean[[#This Row],[RegiaoCPF]]</f>
        <v>Ilhas De Ferro</v>
      </c>
      <c r="H346" s="17" t="str">
        <f>_xlfn.XLOOKUP(TabelaClean[[#This Row],[cpf]],TabelaDirty[cpfclean],TabelaDirty[cidade])</f>
        <v>Pyke</v>
      </c>
      <c r="I346" s="17" t="str">
        <f>_xlfn.XLOOKUP(TabelaClean[[#This Row],[cpf]],TabelaDirty[cpfclean],TabelaDirty[regiao])</f>
        <v>Ilhas de Ferro</v>
      </c>
      <c r="J346" s="17" t="str">
        <f>PROPER(TabelaClean[[#This Row],[Coluna1]])</f>
        <v>Ilhas De Ferro</v>
      </c>
      <c r="K346" s="17" t="e">
        <f>_xlfn.TEXTBEFORE(TabelaClean[[#This Row],[CidadeCPF]]," | ")</f>
        <v>#N/A</v>
      </c>
      <c r="L346" s="24" t="e">
        <f>_xlfn.TEXTAFTER(TabelaClean[[#This Row],[CidadeCPF]]," | ")</f>
        <v>#N/A</v>
      </c>
      <c r="M346" s="26">
        <v>25000</v>
      </c>
      <c r="N346" s="78">
        <v>0</v>
      </c>
      <c r="O346" s="1" t="s">
        <v>50</v>
      </c>
      <c r="P34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6" s="84">
        <v>3</v>
      </c>
      <c r="R346" s="1" t="str" cm="1">
        <f t="array" ref="R346">_xlfn.IFS(TabelaClean[[#This Row],[qtde_batalhas]]&lt;=10,"Baixo",TabelaClean[[#This Row],[qtde_batalhas]]&gt;=26,"Alto",TabelaClean[[#This Row],[qtde_batalhas]]&lt;26,"Médio")</f>
        <v>Baixo</v>
      </c>
      <c r="S346" s="1" t="str">
        <f>IF(AND(TabelaClean[[#This Row],[nivel_risco]]="Alto",TabelaClean[[#This Row],[flag_inadimplente]]="Sim"),"Arriscado","Ok")</f>
        <v>Ok</v>
      </c>
      <c r="T346" s="26">
        <v>2500</v>
      </c>
      <c r="U346" s="81">
        <f>IF(AND(TabelaClean[[#This Row],[analise_risco]]="Arriscado",TabelaClean[[#This Row],[analise_credito]]="Reprovado"),0,IF(TabelaClean[[#This Row],[status]]="Ativo",TabelaClean[[#This Row],[valor_solicitado]]*1.08,0))</f>
        <v>2700</v>
      </c>
      <c r="W346" s="1"/>
      <c r="Y346" s="16"/>
      <c r="BB346" s="26">
        <v>25000</v>
      </c>
      <c r="BC346" s="81">
        <f>IF(AND(TabelaClean[[#This Row],[analise_risco]]="Arriscado",TabelaClean[[#This Row],[analise_credito]]="Reprovado"),0,IF(TabelaClean[[#This Row],[status]]="Ativo",TabelaClean[[#This Row],[valor_solicitado]]*1.08,0))</f>
        <v>2700</v>
      </c>
    </row>
    <row r="347" spans="1:55">
      <c r="A347" s="29" t="s">
        <v>809</v>
      </c>
      <c r="B347" s="17" t="s">
        <v>971</v>
      </c>
      <c r="C347" s="25" t="s">
        <v>203</v>
      </c>
      <c r="D347" s="54">
        <v>22</v>
      </c>
      <c r="E347" s="30" t="s">
        <v>809</v>
      </c>
      <c r="F347" s="24" t="str">
        <f>TabelaClean[[#This Row],[CidadeCPF]]</f>
        <v>Meereen</v>
      </c>
      <c r="G347" s="17" t="str">
        <f>TabelaClean[[#This Row],[RegiaoCPF]]</f>
        <v>Essos</v>
      </c>
      <c r="H347" s="17" t="str">
        <f>_xlfn.XLOOKUP(TabelaClean[[#This Row],[cpf]],TabelaDirty[cpfclean],TabelaDirty[cidade])</f>
        <v>Meereen</v>
      </c>
      <c r="I347" s="17" t="str">
        <f>_xlfn.XLOOKUP(TabelaClean[[#This Row],[cpf]],TabelaDirty[cpfclean],TabelaDirty[regiao])</f>
        <v>Essos</v>
      </c>
      <c r="J347" s="17" t="str">
        <f>PROPER(TabelaClean[[#This Row],[Coluna1]])</f>
        <v>Essos</v>
      </c>
      <c r="K347" s="17" t="e">
        <f>_xlfn.TEXTBEFORE(TabelaClean[[#This Row],[CidadeCPF]]," | ")</f>
        <v>#N/A</v>
      </c>
      <c r="L347" s="24" t="e">
        <f>_xlfn.TEXTAFTER(TabelaClean[[#This Row],[CidadeCPF]]," | ")</f>
        <v>#N/A</v>
      </c>
      <c r="M347" s="26">
        <v>14400</v>
      </c>
      <c r="N347" s="78">
        <v>0</v>
      </c>
      <c r="O347" s="1" t="s">
        <v>50</v>
      </c>
      <c r="P34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7" s="84">
        <v>27</v>
      </c>
      <c r="R347" s="1" t="str" cm="1">
        <f t="array" ref="R347">_xlfn.IFS(TabelaClean[[#This Row],[qtde_batalhas]]&lt;=10,"Baixo",TabelaClean[[#This Row],[qtde_batalhas]]&gt;=26,"Alto",TabelaClean[[#This Row],[qtde_batalhas]]&lt;26,"Médio")</f>
        <v>Alto</v>
      </c>
      <c r="S347" s="1" t="str">
        <f>IF(AND(TabelaClean[[#This Row],[nivel_risco]]="Alto",TabelaClean[[#This Row],[flag_inadimplente]]="Sim"),"Arriscado","Ok")</f>
        <v>Ok</v>
      </c>
      <c r="T347" s="26">
        <v>33500</v>
      </c>
      <c r="U347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47" s="1"/>
      <c r="Y347" s="16"/>
      <c r="BB347" s="26">
        <v>14400</v>
      </c>
      <c r="BC347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48" spans="1:55">
      <c r="A348" s="29" t="s">
        <v>809</v>
      </c>
      <c r="B348" s="17" t="s">
        <v>205</v>
      </c>
      <c r="C348" s="25" t="s">
        <v>206</v>
      </c>
      <c r="D348" s="54">
        <v>39</v>
      </c>
      <c r="E348" s="30">
        <v>31879</v>
      </c>
      <c r="F348" s="24" t="str">
        <f>TabelaClean[[#This Row],[CidadeCPF]]</f>
        <v>Vilavelha</v>
      </c>
      <c r="G348" s="17" t="str">
        <f>TabelaClean[[#This Row],[RegiaoCPF]]</f>
        <v>Campina</v>
      </c>
      <c r="H348" s="17" t="str">
        <f>_xlfn.XLOOKUP(TabelaClean[[#This Row],[cpf]],TabelaDirty[cpfclean],TabelaDirty[cidade])</f>
        <v>Vilavelha</v>
      </c>
      <c r="I348" s="17" t="str">
        <f>_xlfn.XLOOKUP(TabelaClean[[#This Row],[cpf]],TabelaDirty[cpfclean],TabelaDirty[regiao])</f>
        <v>Campina</v>
      </c>
      <c r="J348" s="17" t="str">
        <f>PROPER(TabelaClean[[#This Row],[Coluna1]])</f>
        <v>Campina</v>
      </c>
      <c r="K348" s="17" t="e">
        <f>_xlfn.TEXTBEFORE(TabelaClean[[#This Row],[CidadeCPF]]," | ")</f>
        <v>#N/A</v>
      </c>
      <c r="L348" s="24" t="e">
        <f>_xlfn.TEXTAFTER(TabelaClean[[#This Row],[CidadeCPF]]," | ")</f>
        <v>#N/A</v>
      </c>
      <c r="M348" s="26">
        <v>29900</v>
      </c>
      <c r="N348" s="78">
        <v>0</v>
      </c>
      <c r="O348" s="1" t="s">
        <v>50</v>
      </c>
      <c r="P34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8" s="84">
        <v>39</v>
      </c>
      <c r="R348" s="1" t="str" cm="1">
        <f t="array" ref="R348">_xlfn.IFS(TabelaClean[[#This Row],[qtde_batalhas]]&lt;=10,"Baixo",TabelaClean[[#This Row],[qtde_batalhas]]&gt;=26,"Alto",TabelaClean[[#This Row],[qtde_batalhas]]&lt;26,"Médio")</f>
        <v>Alto</v>
      </c>
      <c r="S348" s="1" t="str">
        <f>IF(AND(TabelaClean[[#This Row],[nivel_risco]]="Alto",TabelaClean[[#This Row],[flag_inadimplente]]="Sim"),"Arriscado","Ok")</f>
        <v>Ok</v>
      </c>
      <c r="T348" s="26">
        <v>75000</v>
      </c>
      <c r="U34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48" s="1"/>
      <c r="Y348" s="16"/>
      <c r="BB348" s="26">
        <v>29900</v>
      </c>
      <c r="BC34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49" spans="1:55">
      <c r="A349" s="24" t="s">
        <v>81</v>
      </c>
      <c r="B349" s="17" t="s">
        <v>591</v>
      </c>
      <c r="C349" s="25" t="s">
        <v>972</v>
      </c>
      <c r="D349" s="54">
        <v>57</v>
      </c>
      <c r="E349" s="30">
        <v>25206</v>
      </c>
      <c r="F349" s="24" t="str">
        <f>TabelaClean[[#This Row],[CidadeCPF]]</f>
        <v>Correrrio</v>
      </c>
      <c r="G349" s="17" t="str">
        <f>TabelaClean[[#This Row],[RegiaoCPF]]</f>
        <v>Terras Fluviais</v>
      </c>
      <c r="H349" s="17" t="str">
        <f>_xlfn.XLOOKUP(TabelaClean[[#This Row],[cpf]],TabelaDirty[cpfclean],TabelaDirty[cidade])</f>
        <v>Correrrio</v>
      </c>
      <c r="I349" s="17" t="str">
        <f>_xlfn.XLOOKUP(TabelaClean[[#This Row],[cpf]],TabelaDirty[cpfclean],TabelaDirty[regiao])</f>
        <v>terras fluviais</v>
      </c>
      <c r="J349" s="17" t="str">
        <f>PROPER(TabelaClean[[#This Row],[Coluna1]])</f>
        <v>Terras Fluviais</v>
      </c>
      <c r="K349" s="17" t="e">
        <f>_xlfn.TEXTBEFORE(TabelaClean[[#This Row],[CidadeCPF]]," | ")</f>
        <v>#N/A</v>
      </c>
      <c r="L349" s="24" t="e">
        <f>_xlfn.TEXTAFTER(TabelaClean[[#This Row],[CidadeCPF]]," | ")</f>
        <v>#N/A</v>
      </c>
      <c r="M349" s="26">
        <v>3400</v>
      </c>
      <c r="N349" s="78">
        <v>0</v>
      </c>
      <c r="O349" s="1" t="s">
        <v>50</v>
      </c>
      <c r="P34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49" s="84">
        <v>20</v>
      </c>
      <c r="R349" s="1" t="str" cm="1">
        <f t="array" ref="R349">_xlfn.IFS(TabelaClean[[#This Row],[qtde_batalhas]]&lt;=10,"Baixo",TabelaClean[[#This Row],[qtde_batalhas]]&gt;=26,"Alto",TabelaClean[[#This Row],[qtde_batalhas]]&lt;26,"Médio")</f>
        <v>Médio</v>
      </c>
      <c r="S349" s="1" t="str">
        <f>IF(AND(TabelaClean[[#This Row],[nivel_risco]]="Alto",TabelaClean[[#This Row],[flag_inadimplente]]="Sim"),"Arriscado","Ok")</f>
        <v>Ok</v>
      </c>
      <c r="T349" s="26">
        <v>19500</v>
      </c>
      <c r="U349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49" s="1"/>
      <c r="Y349" s="16"/>
      <c r="BB349" s="26">
        <v>3400</v>
      </c>
      <c r="BC349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50" spans="1:55">
      <c r="A350" s="24" t="s">
        <v>81</v>
      </c>
      <c r="B350" s="17" t="s">
        <v>973</v>
      </c>
      <c r="C350" s="25" t="s">
        <v>328</v>
      </c>
      <c r="D350" s="54" t="s">
        <v>809</v>
      </c>
      <c r="E350" s="30">
        <v>19672</v>
      </c>
      <c r="F350" s="24" t="str">
        <f>TabelaClean[[#This Row],[CidadeCPF]]</f>
        <v>Dorne</v>
      </c>
      <c r="G350" s="17" t="str">
        <f>TabelaClean[[#This Row],[RegiaoCPF]]</f>
        <v>Dorne</v>
      </c>
      <c r="H350" s="17" t="str">
        <f>_xlfn.XLOOKUP(TabelaClean[[#This Row],[cpf]],TabelaDirty[cpfclean],TabelaDirty[cidade])</f>
        <v>Dorne</v>
      </c>
      <c r="I350" s="17" t="str">
        <f>_xlfn.XLOOKUP(TabelaClean[[#This Row],[cpf]],TabelaDirty[cpfclean],TabelaDirty[regiao])</f>
        <v>Dorne</v>
      </c>
      <c r="J350" s="17" t="str">
        <f>PROPER(TabelaClean[[#This Row],[Coluna1]])</f>
        <v>Dorne</v>
      </c>
      <c r="K350" s="17" t="e">
        <f>_xlfn.TEXTBEFORE(TabelaClean[[#This Row],[CidadeCPF]]," | ")</f>
        <v>#N/A</v>
      </c>
      <c r="L350" s="24" t="e">
        <f>_xlfn.TEXTAFTER(TabelaClean[[#This Row],[CidadeCPF]]," | ")</f>
        <v>#N/A</v>
      </c>
      <c r="M350" s="26">
        <v>21000</v>
      </c>
      <c r="N350" s="78">
        <v>0</v>
      </c>
      <c r="O350" s="1" t="s">
        <v>50</v>
      </c>
      <c r="P35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0" s="84">
        <v>11</v>
      </c>
      <c r="R350" s="1" t="str" cm="1">
        <f t="array" ref="R350">_xlfn.IFS(TabelaClean[[#This Row],[qtde_batalhas]]&lt;=10,"Baixo",TabelaClean[[#This Row],[qtde_batalhas]]&gt;=26,"Alto",TabelaClean[[#This Row],[qtde_batalhas]]&lt;26,"Médio")</f>
        <v>Médio</v>
      </c>
      <c r="S350" s="1" t="str">
        <f>IF(AND(TabelaClean[[#This Row],[nivel_risco]]="Alto",TabelaClean[[#This Row],[flag_inadimplente]]="Sim"),"Arriscado","Ok")</f>
        <v>Ok</v>
      </c>
      <c r="T350" s="26">
        <v>75500</v>
      </c>
      <c r="U35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50" s="1"/>
      <c r="Y350" s="16"/>
      <c r="BB350" s="26">
        <v>21000</v>
      </c>
      <c r="BC35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51" spans="1:55">
      <c r="A351" s="24" t="s">
        <v>76</v>
      </c>
      <c r="B351" s="17" t="s">
        <v>713</v>
      </c>
      <c r="C351" s="25" t="s">
        <v>714</v>
      </c>
      <c r="D351" s="54">
        <v>64</v>
      </c>
      <c r="E351" s="30">
        <v>22845</v>
      </c>
      <c r="F351" s="24" t="str">
        <f>TabelaClean[[#This Row],[CidadeCPF]]</f>
        <v>Fosso Cailin</v>
      </c>
      <c r="G351" s="17" t="str">
        <f>TabelaClean[[#This Row],[RegiaoCPF]]</f>
        <v>Norte</v>
      </c>
      <c r="H351" s="17" t="str">
        <f>_xlfn.XLOOKUP(TabelaClean[[#This Row],[cpf]],TabelaDirty[cpfclean],TabelaDirty[cidade])</f>
        <v>Fosso Cailin</v>
      </c>
      <c r="I351" s="17" t="str">
        <f>_xlfn.XLOOKUP(TabelaClean[[#This Row],[cpf]],TabelaDirty[cpfclean],TabelaDirty[regiao])</f>
        <v>norte</v>
      </c>
      <c r="J351" s="17" t="str">
        <f>PROPER(TabelaClean[[#This Row],[Coluna1]])</f>
        <v>Norte</v>
      </c>
      <c r="K351" s="17" t="e">
        <f>_xlfn.TEXTBEFORE(TabelaClean[[#This Row],[CidadeCPF]]," | ")</f>
        <v>#N/A</v>
      </c>
      <c r="L351" s="24" t="e">
        <f>_xlfn.TEXTAFTER(TabelaClean[[#This Row],[CidadeCPF]]," | ")</f>
        <v>#N/A</v>
      </c>
      <c r="M351" s="26">
        <v>12700</v>
      </c>
      <c r="N351" s="78">
        <v>0</v>
      </c>
      <c r="O351" s="1" t="s">
        <v>50</v>
      </c>
      <c r="P35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1" s="84">
        <v>21</v>
      </c>
      <c r="R351" s="1" t="str" cm="1">
        <f t="array" ref="R351">_xlfn.IFS(TabelaClean[[#This Row],[qtde_batalhas]]&lt;=10,"Baixo",TabelaClean[[#This Row],[qtde_batalhas]]&gt;=26,"Alto",TabelaClean[[#This Row],[qtde_batalhas]]&lt;26,"Médio")</f>
        <v>Médio</v>
      </c>
      <c r="S351" s="1" t="str">
        <f>IF(AND(TabelaClean[[#This Row],[nivel_risco]]="Alto",TabelaClean[[#This Row],[flag_inadimplente]]="Sim"),"Arriscado","Ok")</f>
        <v>Ok</v>
      </c>
      <c r="T351" s="26">
        <v>50500</v>
      </c>
      <c r="U351" s="81">
        <f>IF(AND(TabelaClean[[#This Row],[analise_risco]]="Arriscado",TabelaClean[[#This Row],[analise_credito]]="Reprovado"),0,IF(TabelaClean[[#This Row],[status]]="Ativo",TabelaClean[[#This Row],[valor_solicitado]]*1.08,0))</f>
        <v>54540</v>
      </c>
      <c r="W351" s="1"/>
      <c r="Y351" s="16"/>
      <c r="BB351" s="26">
        <v>12700</v>
      </c>
      <c r="BC351" s="81">
        <f>IF(AND(TabelaClean[[#This Row],[analise_risco]]="Arriscado",TabelaClean[[#This Row],[analise_credito]]="Reprovado"),0,IF(TabelaClean[[#This Row],[status]]="Ativo",TabelaClean[[#This Row],[valor_solicitado]]*1.08,0))</f>
        <v>54540</v>
      </c>
    </row>
    <row r="352" spans="1:55">
      <c r="A352" s="24" t="s">
        <v>76</v>
      </c>
      <c r="B352" s="17" t="s">
        <v>766</v>
      </c>
      <c r="C352" s="25" t="s">
        <v>767</v>
      </c>
      <c r="D352" s="54">
        <v>60</v>
      </c>
      <c r="E352" s="30">
        <v>24202</v>
      </c>
      <c r="F352" s="24" t="str">
        <f>TabelaClean[[#This Row],[CidadeCPF]]</f>
        <v>Solar do Entardecer</v>
      </c>
      <c r="G352" s="17" t="str">
        <f>TabelaClean[[#This Row],[RegiaoCPF]]</f>
        <v>Terras Da Tempestade</v>
      </c>
      <c r="H352" s="17" t="str">
        <f>_xlfn.XLOOKUP(TabelaClean[[#This Row],[cpf]],TabelaDirty[cpfclean],TabelaDirty[cidade])</f>
        <v>Solar do Entardecer</v>
      </c>
      <c r="I352" s="17" t="str">
        <f>_xlfn.XLOOKUP(TabelaClean[[#This Row],[cpf]],TabelaDirty[cpfclean],TabelaDirty[regiao])</f>
        <v>Terras da Tempestade</v>
      </c>
      <c r="J352" s="17" t="str">
        <f>PROPER(TabelaClean[[#This Row],[Coluna1]])</f>
        <v>Terras Da Tempestade</v>
      </c>
      <c r="K352" s="17" t="e">
        <f>_xlfn.TEXTBEFORE(TabelaClean[[#This Row],[CidadeCPF]]," | ")</f>
        <v>#N/A</v>
      </c>
      <c r="L352" s="24" t="e">
        <f>_xlfn.TEXTAFTER(TabelaClean[[#This Row],[CidadeCPF]]," | ")</f>
        <v>#N/A</v>
      </c>
      <c r="M352" s="26">
        <v>5500</v>
      </c>
      <c r="N352" s="78">
        <v>0</v>
      </c>
      <c r="O352" s="1" t="s">
        <v>50</v>
      </c>
      <c r="P35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2" s="84">
        <v>26</v>
      </c>
      <c r="R352" s="1" t="str" cm="1">
        <f t="array" ref="R352">_xlfn.IFS(TabelaClean[[#This Row],[qtde_batalhas]]&lt;=10,"Baixo",TabelaClean[[#This Row],[qtde_batalhas]]&gt;=26,"Alto",TabelaClean[[#This Row],[qtde_batalhas]]&lt;26,"Médio")</f>
        <v>Alto</v>
      </c>
      <c r="S352" s="1" t="str">
        <f>IF(AND(TabelaClean[[#This Row],[nivel_risco]]="Alto",TabelaClean[[#This Row],[flag_inadimplente]]="Sim"),"Arriscado","Ok")</f>
        <v>Ok</v>
      </c>
      <c r="T352" s="26">
        <v>52500</v>
      </c>
      <c r="U352" s="81">
        <f>IF(AND(TabelaClean[[#This Row],[analise_risco]]="Arriscado",TabelaClean[[#This Row],[analise_credito]]="Reprovado"),0,IF(TabelaClean[[#This Row],[status]]="Ativo",TabelaClean[[#This Row],[valor_solicitado]]*1.08,0))</f>
        <v>56700.000000000007</v>
      </c>
      <c r="W352" s="1"/>
      <c r="Y352" s="16"/>
      <c r="BB352" s="26">
        <v>5500</v>
      </c>
      <c r="BC352" s="81">
        <f>IF(AND(TabelaClean[[#This Row],[analise_risco]]="Arriscado",TabelaClean[[#This Row],[analise_credito]]="Reprovado"),0,IF(TabelaClean[[#This Row],[status]]="Ativo",TabelaClean[[#This Row],[valor_solicitado]]*1.08,0))</f>
        <v>56700.000000000007</v>
      </c>
    </row>
    <row r="353" spans="1:55">
      <c r="A353" s="24" t="s">
        <v>76</v>
      </c>
      <c r="B353" s="17" t="s">
        <v>706</v>
      </c>
      <c r="C353" s="25" t="s">
        <v>974</v>
      </c>
      <c r="D353" s="54">
        <v>73</v>
      </c>
      <c r="E353" s="30">
        <v>19323</v>
      </c>
      <c r="F353" s="24" t="str">
        <f>TabelaClean[[#This Row],[CidadeCPF]]</f>
        <v>Atalaia da Água Cinzenta</v>
      </c>
      <c r="G353" s="17" t="str">
        <f>TabelaClean[[#This Row],[RegiaoCPF]]</f>
        <v>Gargalo</v>
      </c>
      <c r="H353" s="17" t="str">
        <f>_xlfn.XLOOKUP(TabelaClean[[#This Row],[cpf]],TabelaDirty[cpfclean],TabelaDirty[cidade])</f>
        <v>Atalaia da Água Cinzenta</v>
      </c>
      <c r="I353" s="17" t="str">
        <f>_xlfn.XLOOKUP(TabelaClean[[#This Row],[cpf]],TabelaDirty[cpfclean],TabelaDirty[regiao])</f>
        <v>Gargalo</v>
      </c>
      <c r="J353" s="17" t="str">
        <f>PROPER(TabelaClean[[#This Row],[Coluna1]])</f>
        <v>Gargalo</v>
      </c>
      <c r="K353" s="17" t="e">
        <f>_xlfn.TEXTBEFORE(TabelaClean[[#This Row],[CidadeCPF]]," | ")</f>
        <v>#N/A</v>
      </c>
      <c r="L353" s="24" t="e">
        <f>_xlfn.TEXTAFTER(TabelaClean[[#This Row],[CidadeCPF]]," | ")</f>
        <v>#N/A</v>
      </c>
      <c r="M353" s="26">
        <v>18100</v>
      </c>
      <c r="N353" s="78">
        <v>0</v>
      </c>
      <c r="O353" s="1" t="s">
        <v>50</v>
      </c>
      <c r="P35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3" s="84">
        <v>36</v>
      </c>
      <c r="R353" s="1" t="str" cm="1">
        <f t="array" ref="R353">_xlfn.IFS(TabelaClean[[#This Row],[qtde_batalhas]]&lt;=10,"Baixo",TabelaClean[[#This Row],[qtde_batalhas]]&gt;=26,"Alto",TabelaClean[[#This Row],[qtde_batalhas]]&lt;26,"Médio")</f>
        <v>Alto</v>
      </c>
      <c r="S353" s="1" t="str">
        <f>IF(AND(TabelaClean[[#This Row],[nivel_risco]]="Alto",TabelaClean[[#This Row],[flag_inadimplente]]="Sim"),"Arriscado","Ok")</f>
        <v>Ok</v>
      </c>
      <c r="T353" s="26">
        <v>89000</v>
      </c>
      <c r="U353" s="81">
        <f>IF(AND(TabelaClean[[#This Row],[analise_risco]]="Arriscado",TabelaClean[[#This Row],[analise_credito]]="Reprovado"),0,IF(TabelaClean[[#This Row],[status]]="Ativo",TabelaClean[[#This Row],[valor_solicitado]]*1.08,0))</f>
        <v>96120</v>
      </c>
      <c r="W353" s="1"/>
      <c r="Y353" s="16"/>
      <c r="BB353" s="26">
        <v>18100</v>
      </c>
      <c r="BC353" s="81">
        <f>IF(AND(TabelaClean[[#This Row],[analise_risco]]="Arriscado",TabelaClean[[#This Row],[analise_credito]]="Reprovado"),0,IF(TabelaClean[[#This Row],[status]]="Ativo",TabelaClean[[#This Row],[valor_solicitado]]*1.08,0))</f>
        <v>96120</v>
      </c>
    </row>
    <row r="354" spans="1:55">
      <c r="A354" s="24" t="s">
        <v>81</v>
      </c>
      <c r="B354" s="17" t="s">
        <v>364</v>
      </c>
      <c r="C354" s="25" t="s">
        <v>975</v>
      </c>
      <c r="D354" s="54" t="s">
        <v>976</v>
      </c>
      <c r="E354" s="30">
        <v>34387</v>
      </c>
      <c r="F354" s="24" t="s">
        <v>812</v>
      </c>
      <c r="G354" s="17" t="str">
        <f>TabelaClean[[#This Row],[RegiaoCPF]]</f>
        <v>Null</v>
      </c>
      <c r="H354" s="17" t="e">
        <f>_xlfn.XLOOKUP(TabelaClean[[#This Row],[cpf]],TabelaDirty[cpfclean],TabelaDirty[cidade])</f>
        <v>#N/A</v>
      </c>
      <c r="I354" s="17" t="e">
        <f>_xlfn.XLOOKUP(TabelaClean[[#This Row],[cpf]],TabelaDirty[cpfclean],TabelaDirty[regiao])</f>
        <v>#N/A</v>
      </c>
      <c r="J354" s="17" t="s">
        <v>812</v>
      </c>
      <c r="K354" s="17" t="e">
        <f>_xlfn.TEXTBEFORE(TabelaClean[[#This Row],[CidadeCPF]]," | ")</f>
        <v>#N/A</v>
      </c>
      <c r="L354" s="24" t="e">
        <f>_xlfn.TEXTAFTER(TabelaClean[[#This Row],[CidadeCPF]]," | ")</f>
        <v>#N/A</v>
      </c>
      <c r="M354" s="26">
        <v>20500</v>
      </c>
      <c r="N354" s="78">
        <v>0</v>
      </c>
      <c r="O354" s="1" t="s">
        <v>50</v>
      </c>
      <c r="P35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4" s="84">
        <v>41</v>
      </c>
      <c r="R354" s="1" t="str" cm="1">
        <f t="array" ref="R354">_xlfn.IFS(TabelaClean[[#This Row],[qtde_batalhas]]&lt;=10,"Baixo",TabelaClean[[#This Row],[qtde_batalhas]]&gt;=26,"Alto",TabelaClean[[#This Row],[qtde_batalhas]]&lt;26,"Médio")</f>
        <v>Alto</v>
      </c>
      <c r="S354" s="1" t="str">
        <f>IF(AND(TabelaClean[[#This Row],[nivel_risco]]="Alto",TabelaClean[[#This Row],[flag_inadimplente]]="Sim"),"Arriscado","Ok")</f>
        <v>Ok</v>
      </c>
      <c r="T354" s="26">
        <v>54500</v>
      </c>
      <c r="U354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54" s="1"/>
      <c r="Y354" s="16"/>
      <c r="BB354" s="26">
        <v>20500</v>
      </c>
      <c r="BC354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55" spans="1:55">
      <c r="A355" s="24" t="s">
        <v>76</v>
      </c>
      <c r="B355" s="17" t="s">
        <v>271</v>
      </c>
      <c r="C355" s="25" t="s">
        <v>272</v>
      </c>
      <c r="D355" s="54">
        <v>33</v>
      </c>
      <c r="E355" s="30">
        <v>34027</v>
      </c>
      <c r="F355" s="24" t="str">
        <f>TabelaClean[[#This Row],[CidadeCPF]]</f>
        <v>Braavos</v>
      </c>
      <c r="G355" s="17" t="str">
        <f>TabelaClean[[#This Row],[RegiaoCPF]]</f>
        <v>Essos</v>
      </c>
      <c r="H355" s="17" t="str">
        <f>_xlfn.XLOOKUP(TabelaClean[[#This Row],[cpf]],TabelaDirty[cpfclean],TabelaDirty[cidade])</f>
        <v>Braavos</v>
      </c>
      <c r="I355" s="17" t="str">
        <f>_xlfn.XLOOKUP(TabelaClean[[#This Row],[cpf]],TabelaDirty[cpfclean],TabelaDirty[regiao])</f>
        <v>essos</v>
      </c>
      <c r="J355" s="17" t="str">
        <f>PROPER(TabelaClean[[#This Row],[Coluna1]])</f>
        <v>Essos</v>
      </c>
      <c r="K355" s="17" t="e">
        <f>_xlfn.TEXTBEFORE(TabelaClean[[#This Row],[CidadeCPF]]," | ")</f>
        <v>#N/A</v>
      </c>
      <c r="L355" s="24" t="e">
        <f>_xlfn.TEXTAFTER(TabelaClean[[#This Row],[CidadeCPF]]," | ")</f>
        <v>#N/A</v>
      </c>
      <c r="M355" s="26">
        <v>3400</v>
      </c>
      <c r="N355" s="78">
        <v>0</v>
      </c>
      <c r="O355" s="1" t="s">
        <v>50</v>
      </c>
      <c r="P35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5" s="84">
        <v>13</v>
      </c>
      <c r="R355" s="1" t="str" cm="1">
        <f t="array" ref="R355">_xlfn.IFS(TabelaClean[[#This Row],[qtde_batalhas]]&lt;=10,"Baixo",TabelaClean[[#This Row],[qtde_batalhas]]&gt;=26,"Alto",TabelaClean[[#This Row],[qtde_batalhas]]&lt;26,"Médio")</f>
        <v>Médio</v>
      </c>
      <c r="S355" s="1" t="str">
        <f>IF(AND(TabelaClean[[#This Row],[nivel_risco]]="Alto",TabelaClean[[#This Row],[flag_inadimplente]]="Sim"),"Arriscado","Ok")</f>
        <v>Ok</v>
      </c>
      <c r="T355" s="26">
        <v>70000</v>
      </c>
      <c r="U355" s="81">
        <f>IF(AND(TabelaClean[[#This Row],[analise_risco]]="Arriscado",TabelaClean[[#This Row],[analise_credito]]="Reprovado"),0,IF(TabelaClean[[#This Row],[status]]="Ativo",TabelaClean[[#This Row],[valor_solicitado]]*1.08,0))</f>
        <v>75600</v>
      </c>
      <c r="W355" s="1"/>
      <c r="Y355" s="16"/>
      <c r="BB355" s="26">
        <v>3400</v>
      </c>
      <c r="BC355" s="81">
        <f>IF(AND(TabelaClean[[#This Row],[analise_risco]]="Arriscado",TabelaClean[[#This Row],[analise_credito]]="Reprovado"),0,IF(TabelaClean[[#This Row],[status]]="Ativo",TabelaClean[[#This Row],[valor_solicitado]]*1.08,0))</f>
        <v>75600</v>
      </c>
    </row>
    <row r="356" spans="1:55">
      <c r="A356" s="24" t="s">
        <v>76</v>
      </c>
      <c r="B356" s="17" t="s">
        <v>536</v>
      </c>
      <c r="C356" s="25" t="s">
        <v>977</v>
      </c>
      <c r="D356" s="54" t="s">
        <v>809</v>
      </c>
      <c r="E356" s="30">
        <v>31337</v>
      </c>
      <c r="F356" s="24" t="str">
        <f>TabelaClean[[#This Row],[CidadeCPF]]</f>
        <v>Harrenhal</v>
      </c>
      <c r="G356" s="17" t="str">
        <f>TabelaClean[[#This Row],[RegiaoCPF]]</f>
        <v>Terras Fluviais</v>
      </c>
      <c r="H356" s="17" t="str">
        <f>_xlfn.XLOOKUP(TabelaClean[[#This Row],[cpf]],TabelaDirty[cpfclean],TabelaDirty[cidade])</f>
        <v>Harrenhal</v>
      </c>
      <c r="I356" s="17" t="str">
        <f>_xlfn.XLOOKUP(TabelaClean[[#This Row],[cpf]],TabelaDirty[cpfclean],TabelaDirty[regiao])</f>
        <v>Terras Fluviais</v>
      </c>
      <c r="J356" s="17" t="str">
        <f>PROPER(TabelaClean[[#This Row],[Coluna1]])</f>
        <v>Terras Fluviais</v>
      </c>
      <c r="K356" s="17" t="e">
        <f>_xlfn.TEXTBEFORE(TabelaClean[[#This Row],[CidadeCPF]]," | ")</f>
        <v>#N/A</v>
      </c>
      <c r="L356" s="24" t="e">
        <f>_xlfn.TEXTAFTER(TabelaClean[[#This Row],[CidadeCPF]]," | ")</f>
        <v>#N/A</v>
      </c>
      <c r="M356" s="26">
        <v>14000</v>
      </c>
      <c r="N356" s="78">
        <v>0</v>
      </c>
      <c r="O356" s="1" t="s">
        <v>50</v>
      </c>
      <c r="P35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6" s="84">
        <v>24</v>
      </c>
      <c r="R356" s="1" t="str" cm="1">
        <f t="array" ref="R356">_xlfn.IFS(TabelaClean[[#This Row],[qtde_batalhas]]&lt;=10,"Baixo",TabelaClean[[#This Row],[qtde_batalhas]]&gt;=26,"Alto",TabelaClean[[#This Row],[qtde_batalhas]]&lt;26,"Médio")</f>
        <v>Médio</v>
      </c>
      <c r="S356" s="1" t="str">
        <f>IF(AND(TabelaClean[[#This Row],[nivel_risco]]="Alto",TabelaClean[[#This Row],[flag_inadimplente]]="Sim"),"Arriscado","Ok")</f>
        <v>Ok</v>
      </c>
      <c r="T356" s="26">
        <v>82000</v>
      </c>
      <c r="U356" s="81">
        <f>IF(AND(TabelaClean[[#This Row],[analise_risco]]="Arriscado",TabelaClean[[#This Row],[analise_credito]]="Reprovado"),0,IF(TabelaClean[[#This Row],[status]]="Ativo",TabelaClean[[#This Row],[valor_solicitado]]*1.08,0))</f>
        <v>88560</v>
      </c>
      <c r="W356" s="1"/>
      <c r="Y356" s="16"/>
      <c r="BB356" s="26">
        <v>14000</v>
      </c>
      <c r="BC356" s="81">
        <f>IF(AND(TabelaClean[[#This Row],[analise_risco]]="Arriscado",TabelaClean[[#This Row],[analise_credito]]="Reprovado"),0,IF(TabelaClean[[#This Row],[status]]="Ativo",TabelaClean[[#This Row],[valor_solicitado]]*1.08,0))</f>
        <v>88560</v>
      </c>
    </row>
    <row r="357" spans="1:55">
      <c r="A357" s="24" t="s">
        <v>76</v>
      </c>
      <c r="B357" s="17" t="s">
        <v>228</v>
      </c>
      <c r="C357" s="25" t="s">
        <v>229</v>
      </c>
      <c r="D357" s="54">
        <v>42</v>
      </c>
      <c r="E357" s="30">
        <v>30662</v>
      </c>
      <c r="F357" s="24" t="str">
        <f>TabelaClean[[#This Row],[CidadeCPF]]</f>
        <v>Castelo Negro</v>
      </c>
      <c r="G357" s="17" t="str">
        <f>TabelaClean[[#This Row],[RegiaoCPF]]</f>
        <v>Norte</v>
      </c>
      <c r="H357" s="17" t="str">
        <f>_xlfn.XLOOKUP(TabelaClean[[#This Row],[cpf]],TabelaDirty[cpfclean],TabelaDirty[cidade])</f>
        <v>Castelo Negro</v>
      </c>
      <c r="I357" s="17" t="str">
        <f>_xlfn.XLOOKUP(TabelaClean[[#This Row],[cpf]],TabelaDirty[cpfclean],TabelaDirty[regiao])</f>
        <v>NORTE</v>
      </c>
      <c r="J357" s="17" t="str">
        <f>PROPER(TabelaClean[[#This Row],[Coluna1]])</f>
        <v>Norte</v>
      </c>
      <c r="K357" s="17" t="e">
        <f>_xlfn.TEXTBEFORE(TabelaClean[[#This Row],[CidadeCPF]]," | ")</f>
        <v>#N/A</v>
      </c>
      <c r="L357" s="24" t="e">
        <f>_xlfn.TEXTAFTER(TabelaClean[[#This Row],[CidadeCPF]]," | ")</f>
        <v>#N/A</v>
      </c>
      <c r="M357" s="26">
        <v>20400</v>
      </c>
      <c r="N357" s="78">
        <v>0</v>
      </c>
      <c r="O357" s="1" t="s">
        <v>50</v>
      </c>
      <c r="P35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7" s="84">
        <v>0</v>
      </c>
      <c r="R357" s="1" t="str" cm="1">
        <f t="array" ref="R357">_xlfn.IFS(TabelaClean[[#This Row],[qtde_batalhas]]&lt;=10,"Baixo",TabelaClean[[#This Row],[qtde_batalhas]]&gt;=26,"Alto",TabelaClean[[#This Row],[qtde_batalhas]]&lt;26,"Médio")</f>
        <v>Baixo</v>
      </c>
      <c r="S357" s="1" t="str">
        <f>IF(AND(TabelaClean[[#This Row],[nivel_risco]]="Alto",TabelaClean[[#This Row],[flag_inadimplente]]="Sim"),"Arriscado","Ok")</f>
        <v>Ok</v>
      </c>
      <c r="T357" s="26">
        <v>81000</v>
      </c>
      <c r="U357" s="81">
        <f>IF(AND(TabelaClean[[#This Row],[analise_risco]]="Arriscado",TabelaClean[[#This Row],[analise_credito]]="Reprovado"),0,IF(TabelaClean[[#This Row],[status]]="Ativo",TabelaClean[[#This Row],[valor_solicitado]]*1.08,0))</f>
        <v>87480</v>
      </c>
      <c r="W357" s="1"/>
      <c r="Y357" s="16"/>
      <c r="BB357" s="26">
        <v>20400</v>
      </c>
      <c r="BC357" s="81">
        <f>IF(AND(TabelaClean[[#This Row],[analise_risco]]="Arriscado",TabelaClean[[#This Row],[analise_credito]]="Reprovado"),0,IF(TabelaClean[[#This Row],[status]]="Ativo",TabelaClean[[#This Row],[valor_solicitado]]*1.08,0))</f>
        <v>87480</v>
      </c>
    </row>
    <row r="358" spans="1:55">
      <c r="A358" s="24" t="s">
        <v>81</v>
      </c>
      <c r="B358" s="17" t="s">
        <v>783</v>
      </c>
      <c r="C358" s="25" t="s">
        <v>784</v>
      </c>
      <c r="D358" s="54">
        <v>51</v>
      </c>
      <c r="E358" s="30">
        <v>27590</v>
      </c>
      <c r="F358" s="24" t="str">
        <f>TabelaClean[[#This Row],[CidadeCPF]]</f>
        <v>Monte Chifre</v>
      </c>
      <c r="G358" s="17" t="str">
        <f>TabelaClean[[#This Row],[RegiaoCPF]]</f>
        <v>Campina</v>
      </c>
      <c r="H358" s="17" t="str">
        <f>_xlfn.XLOOKUP(TabelaClean[[#This Row],[cpf]],TabelaDirty[cpfclean],TabelaDirty[cidade])</f>
        <v>Monte Chifre</v>
      </c>
      <c r="I358" s="17" t="str">
        <f>_xlfn.XLOOKUP(TabelaClean[[#This Row],[cpf]],TabelaDirty[cpfclean],TabelaDirty[regiao])</f>
        <v>Campina</v>
      </c>
      <c r="J358" s="17" t="str">
        <f>PROPER(TabelaClean[[#This Row],[Coluna1]])</f>
        <v>Campina</v>
      </c>
      <c r="K358" s="17" t="e">
        <f>_xlfn.TEXTBEFORE(TabelaClean[[#This Row],[CidadeCPF]]," | ")</f>
        <v>#N/A</v>
      </c>
      <c r="L358" s="24" t="e">
        <f>_xlfn.TEXTAFTER(TabelaClean[[#This Row],[CidadeCPF]]," | ")</f>
        <v>#N/A</v>
      </c>
      <c r="M358" s="26">
        <v>11400</v>
      </c>
      <c r="N358" s="78">
        <v>0</v>
      </c>
      <c r="O358" s="1" t="s">
        <v>50</v>
      </c>
      <c r="P35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8" s="84">
        <v>17</v>
      </c>
      <c r="R358" s="1" t="str" cm="1">
        <f t="array" ref="R358">_xlfn.IFS(TabelaClean[[#This Row],[qtde_batalhas]]&lt;=10,"Baixo",TabelaClean[[#This Row],[qtde_batalhas]]&gt;=26,"Alto",TabelaClean[[#This Row],[qtde_batalhas]]&lt;26,"Médio")</f>
        <v>Médio</v>
      </c>
      <c r="S358" s="1" t="str">
        <f>IF(AND(TabelaClean[[#This Row],[nivel_risco]]="Alto",TabelaClean[[#This Row],[flag_inadimplente]]="Sim"),"Arriscado","Ok")</f>
        <v>Ok</v>
      </c>
      <c r="T358" s="26">
        <v>55500</v>
      </c>
      <c r="U358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W358" s="1"/>
      <c r="Y358" s="16"/>
      <c r="BB358" s="26">
        <v>11400</v>
      </c>
      <c r="BC358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59" spans="1:55">
      <c r="A359" s="24" t="s">
        <v>76</v>
      </c>
      <c r="B359" s="17" t="s">
        <v>381</v>
      </c>
      <c r="C359" s="25" t="s">
        <v>978</v>
      </c>
      <c r="D359" s="54">
        <v>71</v>
      </c>
      <c r="E359" s="30">
        <v>20094</v>
      </c>
      <c r="F359" s="24" t="str">
        <f>TabelaClean[[#This Row],[CidadeCPF]]</f>
        <v>Monte Chifre</v>
      </c>
      <c r="G359" s="17" t="str">
        <f>TabelaClean[[#This Row],[RegiaoCPF]]</f>
        <v>Campina</v>
      </c>
      <c r="H359" s="17" t="str">
        <f>_xlfn.XLOOKUP(TabelaClean[[#This Row],[cpf]],TabelaDirty[cpfclean],TabelaDirty[cidade])</f>
        <v>Monte Chifre</v>
      </c>
      <c r="I359" s="17" t="str">
        <f>_xlfn.XLOOKUP(TabelaClean[[#This Row],[cpf]],TabelaDirty[cpfclean],TabelaDirty[regiao])</f>
        <v>Campina</v>
      </c>
      <c r="J359" s="17" t="str">
        <f>PROPER(TabelaClean[[#This Row],[Coluna1]])</f>
        <v>Campina</v>
      </c>
      <c r="K359" s="17" t="e">
        <f>_xlfn.TEXTBEFORE(TabelaClean[[#This Row],[CidadeCPF]]," | ")</f>
        <v>#N/A</v>
      </c>
      <c r="L359" s="24" t="e">
        <f>_xlfn.TEXTAFTER(TabelaClean[[#This Row],[CidadeCPF]]," | ")</f>
        <v>#N/A</v>
      </c>
      <c r="M359" s="26">
        <v>24100</v>
      </c>
      <c r="N359" s="78">
        <v>0</v>
      </c>
      <c r="O359" s="1" t="s">
        <v>50</v>
      </c>
      <c r="P35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59" s="84">
        <v>10</v>
      </c>
      <c r="R359" s="1" t="str" cm="1">
        <f t="array" ref="R359">_xlfn.IFS(TabelaClean[[#This Row],[qtde_batalhas]]&lt;=10,"Baixo",TabelaClean[[#This Row],[qtde_batalhas]]&gt;=26,"Alto",TabelaClean[[#This Row],[qtde_batalhas]]&lt;26,"Médio")</f>
        <v>Baixo</v>
      </c>
      <c r="S359" s="1" t="str">
        <f>IF(AND(TabelaClean[[#This Row],[nivel_risco]]="Alto",TabelaClean[[#This Row],[flag_inadimplente]]="Sim"),"Arriscado","Ok")</f>
        <v>Ok</v>
      </c>
      <c r="T359" s="26">
        <v>87000</v>
      </c>
      <c r="U359" s="81">
        <f>IF(AND(TabelaClean[[#This Row],[analise_risco]]="Arriscado",TabelaClean[[#This Row],[analise_credito]]="Reprovado"),0,IF(TabelaClean[[#This Row],[status]]="Ativo",TabelaClean[[#This Row],[valor_solicitado]]*1.08,0))</f>
        <v>93960</v>
      </c>
      <c r="V359"/>
      <c r="W359"/>
      <c r="AJ359"/>
      <c r="AM359"/>
      <c r="BB359" s="26">
        <v>24100</v>
      </c>
      <c r="BC359" s="81">
        <f>IF(AND(TabelaClean[[#This Row],[analise_risco]]="Arriscado",TabelaClean[[#This Row],[analise_credito]]="Reprovado"),0,IF(TabelaClean[[#This Row],[status]]="Ativo",TabelaClean[[#This Row],[valor_solicitado]]*1.08,0))</f>
        <v>93960</v>
      </c>
    </row>
    <row r="360" spans="1:55">
      <c r="A360" s="24" t="s">
        <v>76</v>
      </c>
      <c r="B360" s="17" t="s">
        <v>372</v>
      </c>
      <c r="C360" s="25" t="s">
        <v>373</v>
      </c>
      <c r="D360" s="54">
        <v>46</v>
      </c>
      <c r="E360" s="30">
        <v>29197</v>
      </c>
      <c r="F360" s="24" t="str">
        <f>TabelaClean[[#This Row],[CidadeCPF]]</f>
        <v>Meereen</v>
      </c>
      <c r="G360" s="17" t="str">
        <f>TabelaClean[[#This Row],[RegiaoCPF]]</f>
        <v>Essos</v>
      </c>
      <c r="H360" s="17" t="str">
        <f>_xlfn.XLOOKUP(TabelaClean[[#This Row],[cpf]],TabelaDirty[cpfclean],TabelaDirty[cidade])</f>
        <v>Meereen</v>
      </c>
      <c r="I360" s="17" t="str">
        <f>_xlfn.XLOOKUP(TabelaClean[[#This Row],[cpf]],TabelaDirty[cpfclean],TabelaDirty[regiao])</f>
        <v>Essos</v>
      </c>
      <c r="J360" s="17" t="str">
        <f>PROPER(TabelaClean[[#This Row],[Coluna1]])</f>
        <v>Essos</v>
      </c>
      <c r="K360" s="17" t="e">
        <f>_xlfn.TEXTBEFORE(TabelaClean[[#This Row],[CidadeCPF]]," | ")</f>
        <v>#N/A</v>
      </c>
      <c r="L360" s="24" t="e">
        <f>_xlfn.TEXTAFTER(TabelaClean[[#This Row],[CidadeCPF]]," | ")</f>
        <v>#N/A</v>
      </c>
      <c r="M360" s="26">
        <v>3200</v>
      </c>
      <c r="N360" s="78">
        <v>0</v>
      </c>
      <c r="O360" s="1" t="s">
        <v>50</v>
      </c>
      <c r="P36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0" s="84">
        <v>16</v>
      </c>
      <c r="R360" s="1" t="str" cm="1">
        <f t="array" ref="R360">_xlfn.IFS(TabelaClean[[#This Row],[qtde_batalhas]]&lt;=10,"Baixo",TabelaClean[[#This Row],[qtde_batalhas]]&gt;=26,"Alto",TabelaClean[[#This Row],[qtde_batalhas]]&lt;26,"Médio")</f>
        <v>Médio</v>
      </c>
      <c r="S360" s="1" t="str">
        <f>IF(AND(TabelaClean[[#This Row],[nivel_risco]]="Alto",TabelaClean[[#This Row],[flag_inadimplente]]="Sim"),"Arriscado","Ok")</f>
        <v>Ok</v>
      </c>
      <c r="T360" s="26">
        <v>61500</v>
      </c>
      <c r="U360" s="81">
        <f>IF(AND(TabelaClean[[#This Row],[analise_risco]]="Arriscado",TabelaClean[[#This Row],[analise_credito]]="Reprovado"),0,IF(TabelaClean[[#This Row],[status]]="Ativo",TabelaClean[[#This Row],[valor_solicitado]]*1.08,0))</f>
        <v>66420</v>
      </c>
      <c r="V360"/>
      <c r="W360"/>
      <c r="AJ360"/>
      <c r="AM360"/>
      <c r="BB360" s="26">
        <v>3200</v>
      </c>
      <c r="BC360" s="81">
        <f>IF(AND(TabelaClean[[#This Row],[analise_risco]]="Arriscado",TabelaClean[[#This Row],[analise_credito]]="Reprovado"),0,IF(TabelaClean[[#This Row],[status]]="Ativo",TabelaClean[[#This Row],[valor_solicitado]]*1.08,0))</f>
        <v>66420</v>
      </c>
    </row>
    <row r="361" spans="1:55">
      <c r="A361" s="24" t="s">
        <v>81</v>
      </c>
      <c r="B361" s="17" t="s">
        <v>477</v>
      </c>
      <c r="C361" s="25" t="s">
        <v>478</v>
      </c>
      <c r="D361" s="54">
        <v>44</v>
      </c>
      <c r="E361" s="30">
        <v>29948</v>
      </c>
      <c r="F361" s="24" t="str">
        <f>TabelaClean[[#This Row],[CidadeCPF]]</f>
        <v>Dorne</v>
      </c>
      <c r="G361" s="17" t="str">
        <f>TabelaClean[[#This Row],[RegiaoCPF]]</f>
        <v>Dorne</v>
      </c>
      <c r="H361" s="17" t="str">
        <f>_xlfn.XLOOKUP(TabelaClean[[#This Row],[cpf]],TabelaDirty[cpfclean],TabelaDirty[cidade])</f>
        <v>Dorne</v>
      </c>
      <c r="I361" s="17" t="str">
        <f>_xlfn.XLOOKUP(TabelaClean[[#This Row],[cpf]],TabelaDirty[cpfclean],TabelaDirty[regiao])</f>
        <v>Dorne</v>
      </c>
      <c r="J361" s="17" t="str">
        <f>PROPER(TabelaClean[[#This Row],[Coluna1]])</f>
        <v>Dorne</v>
      </c>
      <c r="K361" s="17" t="e">
        <f>_xlfn.TEXTBEFORE(TabelaClean[[#This Row],[CidadeCPF]]," | ")</f>
        <v>#N/A</v>
      </c>
      <c r="L361" s="24" t="e">
        <f>_xlfn.TEXTAFTER(TabelaClean[[#This Row],[CidadeCPF]]," | ")</f>
        <v>#N/A</v>
      </c>
      <c r="N361" s="78">
        <v>0</v>
      </c>
      <c r="O361" s="1" t="s">
        <v>50</v>
      </c>
      <c r="P36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1" s="84">
        <v>4</v>
      </c>
      <c r="R361" s="1" t="str" cm="1">
        <f t="array" ref="R361">_xlfn.IFS(TabelaClean[[#This Row],[qtde_batalhas]]&lt;=10,"Baixo",TabelaClean[[#This Row],[qtde_batalhas]]&gt;=26,"Alto",TabelaClean[[#This Row],[qtde_batalhas]]&lt;26,"Médio")</f>
        <v>Baixo</v>
      </c>
      <c r="S361" s="1" t="str">
        <f>IF(AND(TabelaClean[[#This Row],[nivel_risco]]="Alto",TabelaClean[[#This Row],[flag_inadimplente]]="Sim"),"Arriscado","Ok")</f>
        <v>Ok</v>
      </c>
      <c r="T361" s="26">
        <v>80000</v>
      </c>
      <c r="U361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V361"/>
      <c r="W361"/>
      <c r="AJ361"/>
      <c r="AM361"/>
      <c r="BC361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62" spans="1:55">
      <c r="A362" s="24" t="s">
        <v>76</v>
      </c>
      <c r="B362" s="17" t="s">
        <v>277</v>
      </c>
      <c r="C362" s="25" t="s">
        <v>278</v>
      </c>
      <c r="D362" s="54" t="s">
        <v>809</v>
      </c>
      <c r="E362" s="30">
        <v>34411</v>
      </c>
      <c r="F362" s="24" t="str">
        <f>TabelaClean[[#This Row],[CidadeCPF]]</f>
        <v>Dorne</v>
      </c>
      <c r="G362" s="17" t="str">
        <f>TabelaClean[[#This Row],[RegiaoCPF]]</f>
        <v>Dorne</v>
      </c>
      <c r="H362" s="17" t="str">
        <f>_xlfn.XLOOKUP(TabelaClean[[#This Row],[cpf]],TabelaDirty[cpfclean],TabelaDirty[cidade])</f>
        <v>Dorne</v>
      </c>
      <c r="I362" s="17" t="str">
        <f>_xlfn.XLOOKUP(TabelaClean[[#This Row],[cpf]],TabelaDirty[cpfclean],TabelaDirty[regiao])</f>
        <v>Dorne</v>
      </c>
      <c r="J362" s="17" t="str">
        <f>PROPER(TabelaClean[[#This Row],[Coluna1]])</f>
        <v>Dorne</v>
      </c>
      <c r="K362" s="17" t="e">
        <f>_xlfn.TEXTBEFORE(TabelaClean[[#This Row],[CidadeCPF]]," | ")</f>
        <v>#N/A</v>
      </c>
      <c r="L362" s="24" t="e">
        <f>_xlfn.TEXTAFTER(TabelaClean[[#This Row],[CidadeCPF]]," | ")</f>
        <v>#N/A</v>
      </c>
      <c r="N362" s="78">
        <v>0</v>
      </c>
      <c r="O362" s="1" t="s">
        <v>50</v>
      </c>
      <c r="P36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2" s="84">
        <v>20</v>
      </c>
      <c r="R362" s="1" t="str" cm="1">
        <f t="array" ref="R362">_xlfn.IFS(TabelaClean[[#This Row],[qtde_batalhas]]&lt;=10,"Baixo",TabelaClean[[#This Row],[qtde_batalhas]]&gt;=26,"Alto",TabelaClean[[#This Row],[qtde_batalhas]]&lt;26,"Médio")</f>
        <v>Médio</v>
      </c>
      <c r="S362" s="1" t="str">
        <f>IF(AND(TabelaClean[[#This Row],[nivel_risco]]="Alto",TabelaClean[[#This Row],[flag_inadimplente]]="Sim"),"Arriscado","Ok")</f>
        <v>Ok</v>
      </c>
      <c r="T362" s="26">
        <v>42000</v>
      </c>
      <c r="U362" s="81">
        <f>IF(AND(TabelaClean[[#This Row],[analise_risco]]="Arriscado",TabelaClean[[#This Row],[analise_credito]]="Reprovado"),0,IF(TabelaClean[[#This Row],[status]]="Ativo",TabelaClean[[#This Row],[valor_solicitado]]*1.08,0))</f>
        <v>45360</v>
      </c>
      <c r="V362"/>
      <c r="W362"/>
      <c r="AJ362"/>
      <c r="AM362"/>
      <c r="BC362" s="81">
        <f>IF(AND(TabelaClean[[#This Row],[analise_risco]]="Arriscado",TabelaClean[[#This Row],[analise_credito]]="Reprovado"),0,IF(TabelaClean[[#This Row],[status]]="Ativo",TabelaClean[[#This Row],[valor_solicitado]]*1.08,0))</f>
        <v>45360</v>
      </c>
    </row>
    <row r="363" spans="1:55">
      <c r="A363" s="24" t="s">
        <v>76</v>
      </c>
      <c r="B363" s="17" t="s">
        <v>979</v>
      </c>
      <c r="C363" s="25" t="s">
        <v>980</v>
      </c>
      <c r="D363" s="54">
        <v>26</v>
      </c>
      <c r="E363" s="30">
        <v>36757</v>
      </c>
      <c r="F363" s="25" t="s">
        <v>215</v>
      </c>
      <c r="G363" s="25" t="s">
        <v>149</v>
      </c>
      <c r="H363" s="24">
        <v>18400</v>
      </c>
      <c r="I363" s="24">
        <v>0</v>
      </c>
      <c r="J363" s="24" t="s">
        <v>51</v>
      </c>
      <c r="K363" s="24"/>
      <c r="L363" s="24"/>
      <c r="M363" s="26">
        <v>89500</v>
      </c>
      <c r="N363" s="78">
        <v>0</v>
      </c>
      <c r="O363" s="1" t="s">
        <v>51</v>
      </c>
      <c r="P363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R363" s="76" t="str" cm="1">
        <f t="array" ref="R363">_xlfn.IFS(TabelaClean[[#This Row],[qtde_batalhas]]&lt;=10,"Baixo",TabelaClean[[#This Row],[qtde_batalhas]]&gt;=26,"Alto",TabelaClean[[#This Row],[qtde_batalhas]]&lt;26,"Médio")</f>
        <v>Baixo</v>
      </c>
      <c r="S363" s="76" t="str">
        <f>IF(AND(TabelaClean[[#This Row],[nivel_risco]]="Alto",TabelaClean[[#This Row],[flag_inadimplente]]="Sim"),"Arriscado","Ok")</f>
        <v>Ok</v>
      </c>
      <c r="T363" s="26">
        <v>89500</v>
      </c>
      <c r="U363" s="81">
        <f>IF(AND(TabelaClean[[#This Row],[analise_risco]]="Arriscado",TabelaClean[[#This Row],[analise_credito]]="Reprovado"),0,IF(TabelaClean[[#This Row],[status]]="Ativo",TabelaClean[[#This Row],[valor_solicitado]]*1.08,0))</f>
        <v>96660</v>
      </c>
      <c r="V363"/>
      <c r="W363"/>
      <c r="AJ363"/>
      <c r="AM363"/>
      <c r="BB363" s="26">
        <v>89500</v>
      </c>
      <c r="BC363" s="81">
        <f>IF(AND(TabelaClean[[#This Row],[analise_risco]]="Arriscado",TabelaClean[[#This Row],[analise_credito]]="Reprovado"),0,IF(TabelaClean[[#This Row],[status]]="Ativo",TabelaClean[[#This Row],[valor_solicitado]]*1.08,0))</f>
        <v>96660</v>
      </c>
    </row>
    <row r="364" spans="1:55">
      <c r="A364" s="24" t="s">
        <v>76</v>
      </c>
      <c r="B364" s="17" t="s">
        <v>981</v>
      </c>
      <c r="C364" s="25" t="s">
        <v>982</v>
      </c>
      <c r="D364" s="54">
        <v>72</v>
      </c>
      <c r="E364" s="30">
        <v>19801</v>
      </c>
      <c r="F364" s="25" t="s">
        <v>223</v>
      </c>
      <c r="G364" s="25" t="s">
        <v>413</v>
      </c>
      <c r="H364" s="24">
        <v>10200</v>
      </c>
      <c r="I364" s="24">
        <v>0</v>
      </c>
      <c r="J364" s="24" t="s">
        <v>50</v>
      </c>
      <c r="K364" s="24">
        <v>27</v>
      </c>
      <c r="L364" s="24"/>
      <c r="M364" s="26">
        <v>99500</v>
      </c>
      <c r="N364" s="78">
        <v>0</v>
      </c>
      <c r="O364" s="1" t="s">
        <v>50</v>
      </c>
      <c r="P364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4" s="84">
        <v>27</v>
      </c>
      <c r="R364" s="76" t="str" cm="1">
        <f t="array" ref="R364">_xlfn.IFS(TabelaClean[[#This Row],[qtde_batalhas]]&lt;=10,"Baixo",TabelaClean[[#This Row],[qtde_batalhas]]&gt;=26,"Alto",TabelaClean[[#This Row],[qtde_batalhas]]&lt;26,"Médio")</f>
        <v>Alto</v>
      </c>
      <c r="S364" s="76" t="str">
        <f>IF(AND(TabelaClean[[#This Row],[nivel_risco]]="Alto",TabelaClean[[#This Row],[flag_inadimplente]]="Sim"),"Arriscado","Ok")</f>
        <v>Ok</v>
      </c>
      <c r="T364" s="26">
        <v>99500</v>
      </c>
      <c r="U364" s="81">
        <f>IF(AND(TabelaClean[[#This Row],[analise_risco]]="Arriscado",TabelaClean[[#This Row],[analise_credito]]="Reprovado"),0,IF(TabelaClean[[#This Row],[status]]="Ativo",TabelaClean[[#This Row],[valor_solicitado]]*1.08,0))</f>
        <v>107460</v>
      </c>
      <c r="V364"/>
      <c r="W364"/>
      <c r="AJ364"/>
      <c r="AM364"/>
      <c r="BB364" s="26">
        <v>99500</v>
      </c>
      <c r="BC364" s="81">
        <f>IF(AND(TabelaClean[[#This Row],[analise_risco]]="Arriscado",TabelaClean[[#This Row],[analise_credito]]="Reprovado"),0,IF(TabelaClean[[#This Row],[status]]="Ativo",TabelaClean[[#This Row],[valor_solicitado]]*1.08,0))</f>
        <v>107460</v>
      </c>
    </row>
    <row r="365" spans="1:55">
      <c r="A365" s="24" t="s">
        <v>81</v>
      </c>
      <c r="B365" s="17" t="s">
        <v>591</v>
      </c>
      <c r="C365" t="str">
        <f>_xlfn.XLOOKUP(TabelaClean[[#This Row],[nome]],Base_Dirty!$B:$B,Base_Dirty!D:D)</f>
        <v>000.000.064-00</v>
      </c>
      <c r="D365" s="54">
        <f>_xlfn.XLOOKUP(TabelaClean[[#This Row],[nome]],Base_Dirty!B:B,Base_Dirty!E:E)</f>
        <v>57</v>
      </c>
      <c r="E365" s="30">
        <v>57</v>
      </c>
      <c r="F365" s="17" t="s">
        <v>138</v>
      </c>
      <c r="G365" s="17" t="s">
        <v>139</v>
      </c>
      <c r="H365" s="24" t="s">
        <v>353</v>
      </c>
      <c r="I365" s="24">
        <v>3400</v>
      </c>
      <c r="J365" s="24">
        <v>0</v>
      </c>
      <c r="K365" s="24" t="s">
        <v>50</v>
      </c>
      <c r="L365" s="24">
        <v>20</v>
      </c>
      <c r="M365" s="23">
        <f>_xlfn.XLOOKUP(TabelaClean[[#This Row],[nome]],Base_Dirty!$B:$B,Base_Dirty!I:I)</f>
        <v>3400</v>
      </c>
      <c r="N365" s="78">
        <f>_xlfn.XLOOKUP(TabelaClean[[#This Row],[nome]],Base_Dirty!$B:$B,Base_Dirty!J:J)</f>
        <v>0</v>
      </c>
      <c r="O365" s="79" t="s">
        <v>50</v>
      </c>
      <c r="P365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5" s="84">
        <f>_xlfn.XLOOKUP(TabelaClean[[#This Row],[nome]],Base_Dirty!$B:$B,Base_Dirty!L:L)</f>
        <v>20</v>
      </c>
      <c r="R365" s="76" t="str" cm="1">
        <f t="array" ref="R365">_xlfn.IFS(TabelaClean[[#This Row],[qtde_batalhas]]&lt;=10,"Baixo",TabelaClean[[#This Row],[qtde_batalhas]]&gt;=26,"Alto",TabelaClean[[#This Row],[qtde_batalhas]]&lt;26,"Médio")</f>
        <v>Médio</v>
      </c>
      <c r="S365" s="76" t="str">
        <f>IF(AND(TabelaClean[[#This Row],[nivel_risco]]="Alto",TabelaClean[[#This Row],[flag_inadimplente]]="Sim"),"Arriscado","Ok")</f>
        <v>Ok</v>
      </c>
      <c r="T365" s="26">
        <f>_xlfn.XLOOKUP(TabelaClean[[#This Row],[nome]],Base_Dirty!$B:$B,Base_Dirty!O:O)</f>
        <v>19500</v>
      </c>
      <c r="U365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V365"/>
      <c r="W365"/>
      <c r="AJ365"/>
      <c r="AM365"/>
      <c r="BB365" s="23">
        <f>_xlfn.XLOOKUP(TabelaClean[[#This Row],[nome]],Base_Dirty!$B:$B,Base_Dirty!AX:AX)</f>
        <v>0</v>
      </c>
      <c r="BC365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66" spans="1:55">
      <c r="A366" s="24" t="s">
        <v>81</v>
      </c>
      <c r="B366" s="17" t="s">
        <v>591</v>
      </c>
      <c r="C366" t="str">
        <f>_xlfn.XLOOKUP(TabelaClean[[#This Row],[nome]],Base_Dirty!$B:$B,Base_Dirty!D:D)</f>
        <v>000.000.064-00</v>
      </c>
      <c r="D366" s="54">
        <f>_xlfn.XLOOKUP(TabelaClean[[#This Row],[nome]],Base_Dirty!B:B,Base_Dirty!E:E)</f>
        <v>57</v>
      </c>
      <c r="E366" s="30">
        <v>57</v>
      </c>
      <c r="F366" s="17" t="s">
        <v>138</v>
      </c>
      <c r="G366" s="17" t="s">
        <v>139</v>
      </c>
      <c r="H366" s="24" t="s">
        <v>353</v>
      </c>
      <c r="I366" s="24">
        <v>3400</v>
      </c>
      <c r="J366" s="24">
        <v>23500</v>
      </c>
      <c r="K366" s="24" t="s">
        <v>50</v>
      </c>
      <c r="L366" s="24">
        <v>20</v>
      </c>
      <c r="M366" s="23">
        <f>_xlfn.XLOOKUP(TabelaClean[[#This Row],[nome]],Base_Dirty!$B:$B,Base_Dirty!I:I)</f>
        <v>3400</v>
      </c>
      <c r="N366" s="78">
        <f>_xlfn.XLOOKUP(TabelaClean[[#This Row],[nome]],Base_Dirty!$B:$B,Base_Dirty!J:J)</f>
        <v>0</v>
      </c>
      <c r="O366" s="79" t="s">
        <v>50</v>
      </c>
      <c r="P36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6" s="84">
        <f>_xlfn.XLOOKUP(TabelaClean[[#This Row],[nome]],Base_Dirty!$B:$B,Base_Dirty!L:L)</f>
        <v>20</v>
      </c>
      <c r="R366" s="76" t="str" cm="1">
        <f t="array" ref="R366">_xlfn.IFS(TabelaClean[[#This Row],[qtde_batalhas]]&lt;=10,"Baixo",TabelaClean[[#This Row],[qtde_batalhas]]&gt;=26,"Alto",TabelaClean[[#This Row],[qtde_batalhas]]&lt;26,"Médio")</f>
        <v>Médio</v>
      </c>
      <c r="S366" s="76" t="str">
        <f>IF(AND(TabelaClean[[#This Row],[nivel_risco]]="Alto",TabelaClean[[#This Row],[flag_inadimplente]]="Sim"),"Arriscado","Ok")</f>
        <v>Ok</v>
      </c>
      <c r="T366" s="26">
        <f>_xlfn.XLOOKUP(TabelaClean[[#This Row],[nome]],Base_Dirty!$B:$B,Base_Dirty!O:O)</f>
        <v>19500</v>
      </c>
      <c r="U36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V366"/>
      <c r="W366"/>
      <c r="AJ366"/>
      <c r="AM366"/>
      <c r="BB366" s="23">
        <f>_xlfn.XLOOKUP(TabelaClean[[#This Row],[nome]],Base_Dirty!$B:$B,Base_Dirty!AX:AX)</f>
        <v>0</v>
      </c>
      <c r="BC36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67" spans="1:55">
      <c r="A367" s="24" t="s">
        <v>76</v>
      </c>
      <c r="B367" s="17" t="s">
        <v>267</v>
      </c>
      <c r="C367" s="25" t="s">
        <v>811</v>
      </c>
      <c r="D367" s="54">
        <v>57</v>
      </c>
      <c r="E367" s="30" t="s">
        <v>809</v>
      </c>
      <c r="F367" s="24" t="str">
        <f>TabelaClean[[#This Row],[CidadeCPF]]</f>
        <v>Lannisporto</v>
      </c>
      <c r="G367" s="17" t="str">
        <f>TabelaClean[[#This Row],[RegiaoCPF]]</f>
        <v>Oeste</v>
      </c>
      <c r="H367" s="17" t="str">
        <f>_xlfn.XLOOKUP(TabelaClean[[#This Row],[cpf]],TabelaDirty[cpfclean],TabelaDirty[cidade])</f>
        <v>Lannisporto</v>
      </c>
      <c r="I367" s="17" t="str">
        <f>_xlfn.XLOOKUP(TabelaClean[[#This Row],[cpf]],TabelaDirty[cpfclean],TabelaDirty[regiao])</f>
        <v>oeste</v>
      </c>
      <c r="J367" s="17" t="str">
        <f>PROPER(TabelaClean[[#This Row],[Coluna1]])</f>
        <v>Oeste</v>
      </c>
      <c r="K367" s="17" t="e">
        <f>_xlfn.TEXTBEFORE(TabelaClean[[#This Row],[CidadeCPF]]," | ")</f>
        <v>#N/A</v>
      </c>
      <c r="L367" s="24" t="e">
        <f>_xlfn.TEXTAFTER(TabelaClean[[#This Row],[CidadeCPF]]," | ")</f>
        <v>#N/A</v>
      </c>
      <c r="M367" s="26">
        <v>0</v>
      </c>
      <c r="N367" s="78">
        <f>_xlfn.XLOOKUP(TabelaClean[[#This Row],[nome]],Base_Dirty!$B:$B,Base_Dirty!J:J)</f>
        <v>0</v>
      </c>
      <c r="O367" s="1" t="s">
        <v>51</v>
      </c>
      <c r="P36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7" s="84">
        <v>28</v>
      </c>
      <c r="R367" s="1" t="str" cm="1">
        <f t="array" ref="R367">_xlfn.IFS(TabelaClean[[#This Row],[qtde_batalhas]]&lt;=10,"Baixo",TabelaClean[[#This Row],[qtde_batalhas]]&gt;=26,"Alto",TabelaClean[[#This Row],[qtde_batalhas]]&lt;26,"Médio")</f>
        <v>Alto</v>
      </c>
      <c r="S367" s="1" t="str">
        <f>IF(AND(TabelaClean[[#This Row],[nivel_risco]]="Alto",TabelaClean[[#This Row],[flag_inadimplente]]="Sim"),"Arriscado","Ok")</f>
        <v>Arriscado</v>
      </c>
      <c r="T367" s="26">
        <v>13000</v>
      </c>
      <c r="U367" s="81">
        <f>IF(AND(TabelaClean[[#This Row],[analise_risco]]="Arriscado",TabelaClean[[#This Row],[analise_credito]]="Reprovado"),0,IF(TabelaClean[[#This Row],[status]]="Ativo",TabelaClean[[#This Row],[valor_solicitado]]*1.08,0))</f>
        <v>14040.000000000002</v>
      </c>
      <c r="V367"/>
      <c r="W367"/>
      <c r="AJ367"/>
      <c r="AM367"/>
      <c r="BB367" s="26">
        <v>0</v>
      </c>
      <c r="BC367" s="81">
        <f>IF(AND(TabelaClean[[#This Row],[analise_risco]]="Arriscado",TabelaClean[[#This Row],[analise_credito]]="Reprovado"),0,IF(TabelaClean[[#This Row],[status]]="Ativo",TabelaClean[[#This Row],[valor_solicitado]]*1.08,0))</f>
        <v>14040.000000000002</v>
      </c>
    </row>
    <row r="368" spans="1:55">
      <c r="A368" s="24" t="s">
        <v>76</v>
      </c>
      <c r="B368" s="17" t="s">
        <v>686</v>
      </c>
      <c r="C368" s="25" t="s">
        <v>687</v>
      </c>
      <c r="D368" s="54">
        <v>63</v>
      </c>
      <c r="E368" s="30">
        <v>23006</v>
      </c>
      <c r="F368" s="17" t="str">
        <f>TabelaClean[[#This Row],[CidadeClean]]</f>
        <v>Castelo Negro</v>
      </c>
      <c r="G368" s="17" t="str">
        <f>TabelaClean[[#This Row],[RegiaoClean]]</f>
        <v>Norte</v>
      </c>
      <c r="H368" s="17" t="str">
        <f>_xlfn.XLOOKUP(TabelaClean[[#This Row],[cpf]],TabelaDirty[cpfclean],TabelaDirty[cidade])</f>
        <v>Castelo Negro | Norte</v>
      </c>
      <c r="I368" s="17">
        <f>_xlfn.XLOOKUP(TabelaClean[[#This Row],[cpf]],TabelaDirty[cpfclean],TabelaDirty[regiao])</f>
        <v>0</v>
      </c>
      <c r="J368" s="17" t="s">
        <v>142</v>
      </c>
      <c r="K368" s="17" t="str">
        <f>_xlfn.TEXTBEFORE(TabelaClean[[#This Row],[CidadeCPF]]," | ")</f>
        <v>Castelo Negro</v>
      </c>
      <c r="L368" s="24" t="str">
        <f>_xlfn.TEXTAFTER(TabelaClean[[#This Row],[CidadeCPF]]," | ")</f>
        <v>Norte</v>
      </c>
      <c r="M368" s="26">
        <v>11200</v>
      </c>
      <c r="N368" s="78">
        <f>_xlfn.XLOOKUP(TabelaClean[[#This Row],[nome]],Base_Dirty!$B:$B,Base_Dirty!J:J)</f>
        <v>0</v>
      </c>
      <c r="O368" s="1" t="s">
        <v>50</v>
      </c>
      <c r="P36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8" s="84">
        <v>41</v>
      </c>
      <c r="R368" s="1" t="str" cm="1">
        <f t="array" ref="R368">_xlfn.IFS(TabelaClean[[#This Row],[qtde_batalhas]]&lt;=10,"Baixo",TabelaClean[[#This Row],[qtde_batalhas]]&gt;=26,"Alto",TabelaClean[[#This Row],[qtde_batalhas]]&lt;26,"Médio")</f>
        <v>Alto</v>
      </c>
      <c r="S368" s="1" t="str">
        <f>IF(AND(TabelaClean[[#This Row],[nivel_risco]]="Alto",TabelaClean[[#This Row],[flag_inadimplente]]="Sim"),"Arriscado","Ok")</f>
        <v>Ok</v>
      </c>
      <c r="T368" s="26">
        <v>83500</v>
      </c>
      <c r="U368" s="81">
        <f>IF(AND(TabelaClean[[#This Row],[analise_risco]]="Arriscado",TabelaClean[[#This Row],[analise_credito]]="Reprovado"),0,IF(TabelaClean[[#This Row],[status]]="Ativo",TabelaClean[[#This Row],[valor_solicitado]]*1.08,0))</f>
        <v>90180</v>
      </c>
      <c r="V368"/>
      <c r="W368"/>
      <c r="AJ368"/>
      <c r="AM368"/>
      <c r="BB368" s="26">
        <v>11200</v>
      </c>
      <c r="BC368" s="81">
        <f>IF(AND(TabelaClean[[#This Row],[analise_risco]]="Arriscado",TabelaClean[[#This Row],[analise_credito]]="Reprovado"),0,IF(TabelaClean[[#This Row],[status]]="Ativo",TabelaClean[[#This Row],[valor_solicitado]]*1.08,0))</f>
        <v>90180</v>
      </c>
    </row>
    <row r="369" spans="1:55">
      <c r="A369" s="24" t="s">
        <v>76</v>
      </c>
      <c r="B369" s="17" t="s">
        <v>304</v>
      </c>
      <c r="C369" s="25" t="s">
        <v>305</v>
      </c>
      <c r="D369" s="54">
        <v>25</v>
      </c>
      <c r="E369" s="30">
        <v>37091</v>
      </c>
      <c r="F369" s="24" t="str">
        <f>TabelaClean[[#This Row],[CidadeCPF]]</f>
        <v>Ninho da Águia</v>
      </c>
      <c r="G369" s="17" t="str">
        <f>TabelaClean[[#This Row],[RegiaoCPF]]</f>
        <v>Vale</v>
      </c>
      <c r="H369" s="17" t="str">
        <f>_xlfn.XLOOKUP(TabelaClean[[#This Row],[cpf]],TabelaDirty[cpfclean],TabelaDirty[cidade])</f>
        <v>Ninho da Águia</v>
      </c>
      <c r="I369" s="17" t="str">
        <f>_xlfn.XLOOKUP(TabelaClean[[#This Row],[cpf]],TabelaDirty[cpfclean],TabelaDirty[regiao])</f>
        <v>Vale</v>
      </c>
      <c r="J369" s="17" t="str">
        <f>PROPER(TabelaClean[[#This Row],[Coluna1]])</f>
        <v>Vale</v>
      </c>
      <c r="K369" s="17" t="e">
        <f>_xlfn.TEXTBEFORE(TabelaClean[[#This Row],[CidadeCPF]]," | ")</f>
        <v>#N/A</v>
      </c>
      <c r="L369" s="24" t="e">
        <f>_xlfn.TEXTAFTER(TabelaClean[[#This Row],[CidadeCPF]]," | ")</f>
        <v>#N/A</v>
      </c>
      <c r="M369" s="26">
        <v>28800</v>
      </c>
      <c r="N369" s="78">
        <f>_xlfn.XLOOKUP(TabelaClean[[#This Row],[nome]],Base_Dirty!$B:$B,Base_Dirty!J:J)</f>
        <v>0</v>
      </c>
      <c r="O369" s="1" t="s">
        <v>50</v>
      </c>
      <c r="P36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69" s="84">
        <v>12</v>
      </c>
      <c r="R369" s="1" t="str" cm="1">
        <f t="array" ref="R369">_xlfn.IFS(TabelaClean[[#This Row],[qtde_batalhas]]&lt;=10,"Baixo",TabelaClean[[#This Row],[qtde_batalhas]]&gt;=26,"Alto",TabelaClean[[#This Row],[qtde_batalhas]]&lt;26,"Médio")</f>
        <v>Médio</v>
      </c>
      <c r="S369" s="1" t="str">
        <f>IF(AND(TabelaClean[[#This Row],[nivel_risco]]="Alto",TabelaClean[[#This Row],[flag_inadimplente]]="Sim"),"Arriscado","Ok")</f>
        <v>Ok</v>
      </c>
      <c r="T369" s="26">
        <v>46500</v>
      </c>
      <c r="U369" s="81">
        <f>IF(AND(TabelaClean[[#This Row],[analise_risco]]="Arriscado",TabelaClean[[#This Row],[analise_credito]]="Reprovado"),0,IF(TabelaClean[[#This Row],[status]]="Ativo",TabelaClean[[#This Row],[valor_solicitado]]*1.08,0))</f>
        <v>50220</v>
      </c>
      <c r="V369"/>
      <c r="W369"/>
      <c r="AJ369"/>
      <c r="AM369"/>
      <c r="BB369" s="26">
        <v>28800</v>
      </c>
      <c r="BC369" s="81">
        <f>IF(AND(TabelaClean[[#This Row],[analise_risco]]="Arriscado",TabelaClean[[#This Row],[analise_credito]]="Reprovado"),0,IF(TabelaClean[[#This Row],[status]]="Ativo",TabelaClean[[#This Row],[valor_solicitado]]*1.08,0))</f>
        <v>50220</v>
      </c>
    </row>
    <row r="370" spans="1:55">
      <c r="A370" s="24" t="s">
        <v>76</v>
      </c>
      <c r="B370" s="17" t="s">
        <v>258</v>
      </c>
      <c r="C370" s="25" t="s">
        <v>259</v>
      </c>
      <c r="D370" s="54">
        <v>51</v>
      </c>
      <c r="E370" s="30">
        <v>27377</v>
      </c>
      <c r="F370" s="24" t="str">
        <f>TabelaClean[[#This Row],[CidadeCPF]]</f>
        <v>Pyke</v>
      </c>
      <c r="G370" s="17" t="str">
        <f>TabelaClean[[#This Row],[RegiaoCPF]]</f>
        <v>Ilhas De Ferro</v>
      </c>
      <c r="H370" s="17" t="str">
        <f>_xlfn.XLOOKUP(TabelaClean[[#This Row],[cpf]],TabelaDirty[cpfclean],TabelaDirty[cidade])</f>
        <v>Pyke</v>
      </c>
      <c r="I370" s="17" t="str">
        <f>_xlfn.XLOOKUP(TabelaClean[[#This Row],[cpf]],TabelaDirty[cpfclean],TabelaDirty[regiao])</f>
        <v>Ilhas De Ferro</v>
      </c>
      <c r="J370" s="17" t="str">
        <f>PROPER(TabelaClean[[#This Row],[Coluna1]])</f>
        <v>Ilhas De Ferro</v>
      </c>
      <c r="K370" s="17" t="e">
        <f>_xlfn.TEXTBEFORE(TabelaClean[[#This Row],[CidadeCPF]]," | ")</f>
        <v>#N/A</v>
      </c>
      <c r="L370" s="24" t="e">
        <f>_xlfn.TEXTAFTER(TabelaClean[[#This Row],[CidadeCPF]]," | ")</f>
        <v>#N/A</v>
      </c>
      <c r="M370" s="26">
        <v>16300</v>
      </c>
      <c r="N370" s="78">
        <f>_xlfn.XLOOKUP(TabelaClean[[#This Row],[nome]],Base_Dirty!$B:$B,Base_Dirty!J:J)</f>
        <v>0</v>
      </c>
      <c r="O370" s="1" t="s">
        <v>50</v>
      </c>
      <c r="P37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70" s="84">
        <v>8</v>
      </c>
      <c r="R370" s="1" t="str" cm="1">
        <f t="array" ref="R370">_xlfn.IFS(TabelaClean[[#This Row],[qtde_batalhas]]&lt;=10,"Baixo",TabelaClean[[#This Row],[qtde_batalhas]]&gt;=26,"Alto",TabelaClean[[#This Row],[qtde_batalhas]]&lt;26,"Médio")</f>
        <v>Baixo</v>
      </c>
      <c r="S370" s="1" t="str">
        <f>IF(AND(TabelaClean[[#This Row],[nivel_risco]]="Alto",TabelaClean[[#This Row],[flag_inadimplente]]="Sim"),"Arriscado","Ok")</f>
        <v>Ok</v>
      </c>
      <c r="T370" s="26">
        <v>33000</v>
      </c>
      <c r="U370" s="81">
        <f>IF(AND(TabelaClean[[#This Row],[analise_risco]]="Arriscado",TabelaClean[[#This Row],[analise_credito]]="Reprovado"),0,IF(TabelaClean[[#This Row],[status]]="Ativo",TabelaClean[[#This Row],[valor_solicitado]]*1.08,0))</f>
        <v>35640</v>
      </c>
      <c r="V370"/>
      <c r="W370"/>
      <c r="AJ370"/>
      <c r="AM370"/>
      <c r="BB370" s="26">
        <v>16300</v>
      </c>
      <c r="BC370" s="81">
        <f>IF(AND(TabelaClean[[#This Row],[analise_risco]]="Arriscado",TabelaClean[[#This Row],[analise_credito]]="Reprovado"),0,IF(TabelaClean[[#This Row],[status]]="Ativo",TabelaClean[[#This Row],[valor_solicitado]]*1.08,0))</f>
        <v>35640</v>
      </c>
    </row>
    <row r="371" spans="1:55">
      <c r="A371" s="24" t="s">
        <v>76</v>
      </c>
      <c r="B371" s="17" t="s">
        <v>98</v>
      </c>
      <c r="C371" s="25" t="s">
        <v>99</v>
      </c>
      <c r="D371" s="54">
        <v>32</v>
      </c>
      <c r="E371" s="30">
        <v>34299</v>
      </c>
      <c r="F371" s="24" t="str">
        <f>TabelaClean[[#This Row],[CidadeCPF]]</f>
        <v>Ninho da Águia</v>
      </c>
      <c r="G371" s="17" t="str">
        <f>TabelaClean[[#This Row],[RegiaoCPF]]</f>
        <v>Vale</v>
      </c>
      <c r="H371" s="17" t="str">
        <f>_xlfn.XLOOKUP(TabelaClean[[#This Row],[cpf]],TabelaDirty[cpfclean],TabelaDirty[cidade])</f>
        <v>Ninho da Águia</v>
      </c>
      <c r="I371" s="17" t="str">
        <f>_xlfn.XLOOKUP(TabelaClean[[#This Row],[cpf]],TabelaDirty[cpfclean],TabelaDirty[regiao])</f>
        <v>vale</v>
      </c>
      <c r="J371" s="17" t="str">
        <f>PROPER(TabelaClean[[#This Row],[Coluna1]])</f>
        <v>Vale</v>
      </c>
      <c r="K371" s="17" t="e">
        <f>_xlfn.TEXTBEFORE(TabelaClean[[#This Row],[CidadeCPF]]," | ")</f>
        <v>#N/A</v>
      </c>
      <c r="L371" s="24" t="e">
        <f>_xlfn.TEXTAFTER(TabelaClean[[#This Row],[CidadeCPF]]," | ")</f>
        <v>#N/A</v>
      </c>
      <c r="M371" s="26">
        <v>30000</v>
      </c>
      <c r="N371" s="78">
        <f>_xlfn.XLOOKUP(TabelaClean[[#This Row],[nome]],Base_Dirty!$B:$B,Base_Dirty!J:J)</f>
        <v>0</v>
      </c>
      <c r="O371" s="1" t="s">
        <v>50</v>
      </c>
      <c r="P37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71" s="84">
        <v>5</v>
      </c>
      <c r="R371" s="1" t="str" cm="1">
        <f t="array" ref="R371">_xlfn.IFS(TabelaClean[[#This Row],[qtde_batalhas]]&lt;=10,"Baixo",TabelaClean[[#This Row],[qtde_batalhas]]&gt;=26,"Alto",TabelaClean[[#This Row],[qtde_batalhas]]&lt;26,"Médio")</f>
        <v>Baixo</v>
      </c>
      <c r="S371" s="1" t="str">
        <f>IF(AND(TabelaClean[[#This Row],[nivel_risco]]="Alto",TabelaClean[[#This Row],[flag_inadimplente]]="Sim"),"Arriscado","Ok")</f>
        <v>Ok</v>
      </c>
      <c r="T371" s="26">
        <v>65000</v>
      </c>
      <c r="U371" s="81">
        <f>IF(AND(TabelaClean[[#This Row],[analise_risco]]="Arriscado",TabelaClean[[#This Row],[analise_credito]]="Reprovado"),0,IF(TabelaClean[[#This Row],[status]]="Ativo",TabelaClean[[#This Row],[valor_solicitado]]*1.08,0))</f>
        <v>70200</v>
      </c>
      <c r="V371"/>
      <c r="W371"/>
      <c r="AJ371"/>
      <c r="AM371"/>
      <c r="BB371" s="26">
        <v>30000</v>
      </c>
      <c r="BC371" s="81">
        <f>IF(AND(TabelaClean[[#This Row],[analise_risco]]="Arriscado",TabelaClean[[#This Row],[analise_credito]]="Reprovado"),0,IF(TabelaClean[[#This Row],[status]]="Ativo",TabelaClean[[#This Row],[valor_solicitado]]*1.08,0))</f>
        <v>70200</v>
      </c>
    </row>
    <row r="372" spans="1:55">
      <c r="A372" s="24" t="s">
        <v>76</v>
      </c>
      <c r="B372" s="17" t="s">
        <v>625</v>
      </c>
      <c r="C372" s="25" t="s">
        <v>626</v>
      </c>
      <c r="D372" s="54" t="s">
        <v>809</v>
      </c>
      <c r="E372" s="30">
        <v>32796</v>
      </c>
      <c r="F372" s="24" t="str">
        <f>TabelaClean[[#This Row],[CidadeCPF]]</f>
        <v>Pedra do Dragão</v>
      </c>
      <c r="G372" s="17" t="str">
        <f>TabelaClean[[#This Row],[RegiaoCPF]]</f>
        <v>Terras Da Coroa</v>
      </c>
      <c r="H372" s="17" t="str">
        <f>_xlfn.XLOOKUP(TabelaClean[[#This Row],[cpf]],TabelaDirty[cpfclean],TabelaDirty[cidade])</f>
        <v>Pedra do Dragão</v>
      </c>
      <c r="I372" s="17" t="str">
        <f>_xlfn.XLOOKUP(TabelaClean[[#This Row],[cpf]],TabelaDirty[cpfclean],TabelaDirty[regiao])</f>
        <v>Terras da Coroa</v>
      </c>
      <c r="J372" s="17" t="str">
        <f>PROPER(TabelaClean[[#This Row],[Coluna1]])</f>
        <v>Terras Da Coroa</v>
      </c>
      <c r="K372" s="17" t="e">
        <f>_xlfn.TEXTBEFORE(TabelaClean[[#This Row],[CidadeCPF]]," | ")</f>
        <v>#N/A</v>
      </c>
      <c r="L372" s="24" t="e">
        <f>_xlfn.TEXTAFTER(TabelaClean[[#This Row],[CidadeCPF]]," | ")</f>
        <v>#N/A</v>
      </c>
      <c r="M372" s="26">
        <v>28600</v>
      </c>
      <c r="N372" s="78">
        <f>_xlfn.XLOOKUP(TabelaClean[[#This Row],[nome]],Base_Dirty!$B:$B,Base_Dirty!J:J)</f>
        <v>0</v>
      </c>
      <c r="O372" s="1" t="s">
        <v>50</v>
      </c>
      <c r="P37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72" s="84">
        <v>19</v>
      </c>
      <c r="R372" s="1" t="str" cm="1">
        <f t="array" ref="R372">_xlfn.IFS(TabelaClean[[#This Row],[qtde_batalhas]]&lt;=10,"Baixo",TabelaClean[[#This Row],[qtde_batalhas]]&gt;=26,"Alto",TabelaClean[[#This Row],[qtde_batalhas]]&lt;26,"Médio")</f>
        <v>Médio</v>
      </c>
      <c r="S372" s="1" t="str">
        <f>IF(AND(TabelaClean[[#This Row],[nivel_risco]]="Alto",TabelaClean[[#This Row],[flag_inadimplente]]="Sim"),"Arriscado","Ok")</f>
        <v>Ok</v>
      </c>
      <c r="T372" s="26">
        <v>90000</v>
      </c>
      <c r="U372" s="81">
        <f>IF(AND(TabelaClean[[#This Row],[analise_risco]]="Arriscado",TabelaClean[[#This Row],[analise_credito]]="Reprovado"),0,IF(TabelaClean[[#This Row],[status]]="Ativo",TabelaClean[[#This Row],[valor_solicitado]]*1.08,0))</f>
        <v>97200</v>
      </c>
      <c r="V372"/>
      <c r="W372"/>
      <c r="AJ372"/>
      <c r="AM372"/>
      <c r="BB372" s="26">
        <v>28600</v>
      </c>
      <c r="BC372" s="81">
        <f>IF(AND(TabelaClean[[#This Row],[analise_risco]]="Arriscado",TabelaClean[[#This Row],[analise_credito]]="Reprovado"),0,IF(TabelaClean[[#This Row],[status]]="Ativo",TabelaClean[[#This Row],[valor_solicitado]]*1.08,0))</f>
        <v>97200</v>
      </c>
    </row>
    <row r="373" spans="1:55">
      <c r="A373" s="24" t="s">
        <v>76</v>
      </c>
      <c r="B373" s="17" t="s">
        <v>383</v>
      </c>
      <c r="C373" s="25" t="s">
        <v>983</v>
      </c>
      <c r="D373" s="54">
        <v>57</v>
      </c>
      <c r="E373" s="30">
        <v>25238</v>
      </c>
      <c r="F373" s="17" t="str">
        <f>TabelaClean[[#This Row],[CidadeClean]]</f>
        <v>Harrenhal</v>
      </c>
      <c r="G373" s="17" t="str">
        <f>TabelaClean[[#This Row],[RegiaoClean]]</f>
        <v>Terras Fluviais</v>
      </c>
      <c r="H373" s="17" t="str">
        <f>_xlfn.XLOOKUP(TabelaClean[[#This Row],[cpf]],TabelaDirty[cpfclean],TabelaDirty[cidade])</f>
        <v>Harrenhal | Terras Fluviais</v>
      </c>
      <c r="I373" s="17">
        <f>_xlfn.XLOOKUP(TabelaClean[[#This Row],[cpf]],TabelaDirty[cpfclean],TabelaDirty[regiao])</f>
        <v>0</v>
      </c>
      <c r="J373" s="17" t="s">
        <v>139</v>
      </c>
      <c r="K373" s="17" t="str">
        <f>_xlfn.TEXTBEFORE(TabelaClean[[#This Row],[CidadeCPF]]," | ")</f>
        <v>Harrenhal</v>
      </c>
      <c r="L373" s="24" t="str">
        <f>_xlfn.TEXTAFTER(TabelaClean[[#This Row],[CidadeCPF]]," | ")</f>
        <v>Terras Fluviais</v>
      </c>
      <c r="M373" s="26">
        <v>3200</v>
      </c>
      <c r="N373" s="78">
        <f>_xlfn.XLOOKUP(TabelaClean[[#This Row],[nome]],Base_Dirty!$B:$B,Base_Dirty!J:J)</f>
        <v>0</v>
      </c>
      <c r="O373" s="1" t="s">
        <v>50</v>
      </c>
      <c r="P37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73" s="84">
        <v>18</v>
      </c>
      <c r="R373" s="1" t="str" cm="1">
        <f t="array" ref="R373">_xlfn.IFS(TabelaClean[[#This Row],[qtde_batalhas]]&lt;=10,"Baixo",TabelaClean[[#This Row],[qtde_batalhas]]&gt;=26,"Alto",TabelaClean[[#This Row],[qtde_batalhas]]&lt;26,"Médio")</f>
        <v>Médio</v>
      </c>
      <c r="S373" s="1" t="str">
        <f>IF(AND(TabelaClean[[#This Row],[nivel_risco]]="Alto",TabelaClean[[#This Row],[flag_inadimplente]]="Sim"),"Arriscado","Ok")</f>
        <v>Ok</v>
      </c>
      <c r="T373" s="26">
        <v>64000</v>
      </c>
      <c r="U373" s="81">
        <f>IF(AND(TabelaClean[[#This Row],[analise_risco]]="Arriscado",TabelaClean[[#This Row],[analise_credito]]="Reprovado"),0,IF(TabelaClean[[#This Row],[status]]="Ativo",TabelaClean[[#This Row],[valor_solicitado]]*1.08,0))</f>
        <v>69120</v>
      </c>
      <c r="V373"/>
      <c r="W373"/>
      <c r="AJ373"/>
      <c r="AM373"/>
      <c r="BB373" s="26">
        <v>3200</v>
      </c>
      <c r="BC373" s="81">
        <f>IF(AND(TabelaClean[[#This Row],[analise_risco]]="Arriscado",TabelaClean[[#This Row],[analise_credito]]="Reprovado"),0,IF(TabelaClean[[#This Row],[status]]="Ativo",TabelaClean[[#This Row],[valor_solicitado]]*1.08,0))</f>
        <v>69120</v>
      </c>
    </row>
    <row r="374" spans="1:55">
      <c r="A374" s="24" t="s">
        <v>76</v>
      </c>
      <c r="B374" s="17" t="s">
        <v>422</v>
      </c>
      <c r="C374" s="25" t="s">
        <v>423</v>
      </c>
      <c r="D374" s="54">
        <v>45</v>
      </c>
      <c r="E374" s="30">
        <v>29598</v>
      </c>
      <c r="F374" s="24" t="str">
        <f>TabelaClean[[#This Row],[CidadeCPF]]</f>
        <v>Lannisporto</v>
      </c>
      <c r="G374" s="17" t="str">
        <f>TabelaClean[[#This Row],[RegiaoCPF]]</f>
        <v>Oeste</v>
      </c>
      <c r="H374" s="17" t="str">
        <f>_xlfn.XLOOKUP(TabelaClean[[#This Row],[cpf]],TabelaDirty[cpfclean],TabelaDirty[cidade])</f>
        <v>Lannisporto</v>
      </c>
      <c r="I374" s="17" t="str">
        <f>_xlfn.XLOOKUP(TabelaClean[[#This Row],[cpf]],TabelaDirty[cpfclean],TabelaDirty[regiao])</f>
        <v>oeste</v>
      </c>
      <c r="J374" s="17" t="str">
        <f>PROPER(TabelaClean[[#This Row],[Coluna1]])</f>
        <v>Oeste</v>
      </c>
      <c r="K374" s="17" t="e">
        <f>_xlfn.TEXTBEFORE(TabelaClean[[#This Row],[CidadeCPF]]," | ")</f>
        <v>#N/A</v>
      </c>
      <c r="L374" s="24" t="e">
        <f>_xlfn.TEXTAFTER(TabelaClean[[#This Row],[CidadeCPF]]," | ")</f>
        <v>#N/A</v>
      </c>
      <c r="M374" s="26">
        <v>22800</v>
      </c>
      <c r="N374" s="78">
        <f>_xlfn.XLOOKUP(TabelaClean[[#This Row],[nome]],Base_Dirty!$B:$B,Base_Dirty!J:J)</f>
        <v>0</v>
      </c>
      <c r="O374" s="1" t="s">
        <v>50</v>
      </c>
      <c r="P37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74" s="84">
        <v>10</v>
      </c>
      <c r="R374" s="1" t="str" cm="1">
        <f t="array" ref="R374">_xlfn.IFS(TabelaClean[[#This Row],[qtde_batalhas]]&lt;=10,"Baixo",TabelaClean[[#This Row],[qtde_batalhas]]&gt;=26,"Alto",TabelaClean[[#This Row],[qtde_batalhas]]&lt;26,"Médio")</f>
        <v>Baixo</v>
      </c>
      <c r="S374" s="1" t="str">
        <f>IF(AND(TabelaClean[[#This Row],[nivel_risco]]="Alto",TabelaClean[[#This Row],[flag_inadimplente]]="Sim"),"Arriscado","Ok")</f>
        <v>Ok</v>
      </c>
      <c r="T374" s="26">
        <v>31000</v>
      </c>
      <c r="U374" s="81">
        <f>IF(AND(TabelaClean[[#This Row],[analise_risco]]="Arriscado",TabelaClean[[#This Row],[analise_credito]]="Reprovado"),0,IF(TabelaClean[[#This Row],[status]]="Ativo",TabelaClean[[#This Row],[valor_solicitado]]*1.08,0))</f>
        <v>33480</v>
      </c>
      <c r="V374"/>
      <c r="W374"/>
      <c r="AJ374"/>
      <c r="AM374"/>
      <c r="BB374" s="26">
        <v>22800</v>
      </c>
      <c r="BC374" s="81">
        <f>IF(AND(TabelaClean[[#This Row],[analise_risco]]="Arriscado",TabelaClean[[#This Row],[analise_credito]]="Reprovado"),0,IF(TabelaClean[[#This Row],[status]]="Ativo",TabelaClean[[#This Row],[valor_solicitado]]*1.08,0))</f>
        <v>33480</v>
      </c>
    </row>
    <row r="375" spans="1:55">
      <c r="A375" s="24" t="s">
        <v>76</v>
      </c>
      <c r="B375" s="17" t="s">
        <v>240</v>
      </c>
      <c r="C375" s="25" t="s">
        <v>241</v>
      </c>
      <c r="D375" s="54">
        <v>24</v>
      </c>
      <c r="E375" s="30">
        <v>37435</v>
      </c>
      <c r="F375" s="24" t="str">
        <f>TabelaClean[[#This Row],[CidadeCPF]]</f>
        <v>Atalaia da Água Cinzenta</v>
      </c>
      <c r="G375" s="17" t="str">
        <f>TabelaClean[[#This Row],[RegiaoCPF]]</f>
        <v>Gargalo</v>
      </c>
      <c r="H375" s="17" t="str">
        <f>_xlfn.XLOOKUP(TabelaClean[[#This Row],[cpf]],TabelaDirty[cpfclean],TabelaDirty[cidade])</f>
        <v>Atalaia da Água Cinzenta</v>
      </c>
      <c r="I375" s="17" t="str">
        <f>_xlfn.XLOOKUP(TabelaClean[[#This Row],[cpf]],TabelaDirty[cpfclean],TabelaDirty[regiao])</f>
        <v>gargalo</v>
      </c>
      <c r="J375" s="17" t="str">
        <f>PROPER(TabelaClean[[#This Row],[Coluna1]])</f>
        <v>Gargalo</v>
      </c>
      <c r="K375" s="17" t="e">
        <f>_xlfn.TEXTBEFORE(TabelaClean[[#This Row],[CidadeCPF]]," | ")</f>
        <v>#N/A</v>
      </c>
      <c r="L375" s="24" t="e">
        <f>_xlfn.TEXTAFTER(TabelaClean[[#This Row],[CidadeCPF]]," | ")</f>
        <v>#N/A</v>
      </c>
      <c r="M375" s="26">
        <v>6100</v>
      </c>
      <c r="N375" s="78">
        <f>_xlfn.XLOOKUP(TabelaClean[[#This Row],[nome]],Base_Dirty!$B:$B,Base_Dirty!J:J)</f>
        <v>0</v>
      </c>
      <c r="O375" s="1" t="s">
        <v>50</v>
      </c>
      <c r="P375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Aprovado</v>
      </c>
      <c r="Q375" s="84">
        <v>15</v>
      </c>
      <c r="R375" s="1" t="str" cm="1">
        <f t="array" ref="R375">_xlfn.IFS(TabelaClean[[#This Row],[qtde_batalhas]]&lt;=10,"Baixo",TabelaClean[[#This Row],[qtde_batalhas]]&gt;=26,"Alto",TabelaClean[[#This Row],[qtde_batalhas]]&lt;26,"Médio")</f>
        <v>Médio</v>
      </c>
      <c r="S375" s="1" t="str">
        <f>IF(AND(TabelaClean[[#This Row],[nivel_risco]]="Alto",TabelaClean[[#This Row],[flag_inadimplente]]="Sim"),"Arriscado","Ok")</f>
        <v>Ok</v>
      </c>
      <c r="T375" s="26">
        <v>67000</v>
      </c>
      <c r="U375" s="81">
        <f>IF(AND(TabelaClean[[#This Row],[analise_risco]]="Arriscado",TabelaClean[[#This Row],[analise_credito]]="Reprovado"),0,IF(TabelaClean[[#This Row],[status]]="Ativo",TabelaClean[[#This Row],[valor_solicitado]]*1.08,0))</f>
        <v>72360</v>
      </c>
      <c r="V375"/>
      <c r="W375"/>
      <c r="AJ375"/>
      <c r="AM375"/>
      <c r="BB375" s="26">
        <v>6100</v>
      </c>
      <c r="BC375" s="81">
        <f>IF(AND(TabelaClean[[#This Row],[analise_risco]]="Arriscado",TabelaClean[[#This Row],[analise_credito]]="Reprovado"),0,IF(TabelaClean[[#This Row],[status]]="Ativo",TabelaClean[[#This Row],[valor_solicitado]]*1.08,0))</f>
        <v>72360</v>
      </c>
    </row>
    <row r="376" spans="1:55">
      <c r="A376" s="24" t="s">
        <v>76</v>
      </c>
      <c r="B376" s="17" t="s">
        <v>984</v>
      </c>
      <c r="C376" s="25" t="s">
        <v>438</v>
      </c>
      <c r="D376" s="54">
        <v>58</v>
      </c>
      <c r="E376" s="30">
        <v>25066</v>
      </c>
      <c r="F376" s="24" t="str">
        <f>TabelaClean[[#This Row],[CidadeCPF]]</f>
        <v>Jardim de Cima</v>
      </c>
      <c r="G376" s="17" t="str">
        <f>TabelaClean[[#This Row],[RegiaoCPF]]</f>
        <v>Campina</v>
      </c>
      <c r="H376" s="17" t="str">
        <f>_xlfn.XLOOKUP(TabelaClean[[#This Row],[cpf]],TabelaDirty[cpfclean],TabelaDirty[cidade])</f>
        <v>Jardim de Cima</v>
      </c>
      <c r="I376" s="17" t="str">
        <f>_xlfn.XLOOKUP(TabelaClean[[#This Row],[cpf]],TabelaDirty[cpfclean],TabelaDirty[regiao])</f>
        <v>campina</v>
      </c>
      <c r="J376" s="17" t="str">
        <f>PROPER(TabelaClean[[#This Row],[Coluna1]])</f>
        <v>Campina</v>
      </c>
      <c r="K376" s="17" t="e">
        <f>_xlfn.TEXTBEFORE(TabelaClean[[#This Row],[CidadeCPF]]," | ")</f>
        <v>#N/A</v>
      </c>
      <c r="L376" s="24" t="e">
        <f>_xlfn.TEXTAFTER(TabelaClean[[#This Row],[CidadeCPF]]," | ")</f>
        <v>#N/A</v>
      </c>
      <c r="M376" s="26">
        <v>4500</v>
      </c>
      <c r="O376" s="1" t="s">
        <v>51</v>
      </c>
      <c r="P376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76" s="84">
        <v>31</v>
      </c>
      <c r="R376" s="1" t="str" cm="1">
        <f t="array" ref="R376">_xlfn.IFS(TabelaClean[[#This Row],[qtde_batalhas]]&lt;=10,"Baixo",TabelaClean[[#This Row],[qtde_batalhas]]&gt;=26,"Alto",TabelaClean[[#This Row],[qtde_batalhas]]&lt;26,"Médio")</f>
        <v>Alto</v>
      </c>
      <c r="S376" s="1" t="str">
        <f>IF(AND(TabelaClean[[#This Row],[nivel_risco]]="Alto",TabelaClean[[#This Row],[flag_inadimplente]]="Sim"),"Arriscado","Ok")</f>
        <v>Arriscado</v>
      </c>
      <c r="T376" s="26">
        <v>97500</v>
      </c>
      <c r="U376" s="81">
        <f>IF(AND(TabelaClean[[#This Row],[analise_risco]]="Arriscado",TabelaClean[[#This Row],[analise_credito]]="Reprovado"),0,IF(TabelaClean[[#This Row],[status]]="Ativo",TabelaClean[[#This Row],[valor_solicitado]]*1.08,0))</f>
        <v>105300</v>
      </c>
      <c r="V376"/>
      <c r="W376"/>
      <c r="AJ376"/>
      <c r="AM376"/>
      <c r="BB376" s="26">
        <v>4500</v>
      </c>
      <c r="BC376" s="81">
        <f>IF(AND(TabelaClean[[#This Row],[analise_risco]]="Arriscado",TabelaClean[[#This Row],[analise_credito]]="Reprovado"),0,IF(TabelaClean[[#This Row],[status]]="Ativo",TabelaClean[[#This Row],[valor_solicitado]]*1.08,0))</f>
        <v>105300</v>
      </c>
    </row>
    <row r="377" spans="1:55">
      <c r="A377" s="24" t="s">
        <v>76</v>
      </c>
      <c r="B377" s="17" t="s">
        <v>236</v>
      </c>
      <c r="C377" s="25" t="s">
        <v>985</v>
      </c>
      <c r="D377" s="54">
        <v>48</v>
      </c>
      <c r="E377" s="30">
        <v>28681</v>
      </c>
      <c r="F377" s="17" t="str">
        <f>TabelaClean[[#This Row],[CidadeClean]]</f>
        <v>Dorne</v>
      </c>
      <c r="G377" s="17" t="str">
        <f>TabelaClean[[#This Row],[RegiaoClean]]</f>
        <v>Dorne</v>
      </c>
      <c r="H377" s="17" t="str">
        <f>_xlfn.XLOOKUP(TabelaClean[[#This Row],[cpf]],TabelaDirty[cpfclean],TabelaDirty[cidade])</f>
        <v>Dorne | Dorne</v>
      </c>
      <c r="I377" s="17">
        <f>_xlfn.XLOOKUP(TabelaClean[[#This Row],[cpf]],TabelaDirty[cpfclean],TabelaDirty[regiao])</f>
        <v>0</v>
      </c>
      <c r="J377" s="17" t="s">
        <v>183</v>
      </c>
      <c r="K377" s="17" t="str">
        <f>_xlfn.TEXTBEFORE(TabelaClean[[#This Row],[CidadeCPF]]," | ")</f>
        <v>Dorne</v>
      </c>
      <c r="L377" s="24" t="str">
        <f>_xlfn.TEXTAFTER(TabelaClean[[#This Row],[CidadeCPF]]," | ")</f>
        <v>Dorne</v>
      </c>
      <c r="M377" s="26">
        <v>15800</v>
      </c>
      <c r="O377" s="1" t="s">
        <v>50</v>
      </c>
      <c r="P377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77" s="84">
        <v>12</v>
      </c>
      <c r="R377" s="1" t="str" cm="1">
        <f t="array" ref="R377">_xlfn.IFS(TabelaClean[[#This Row],[qtde_batalhas]]&lt;=10,"Baixo",TabelaClean[[#This Row],[qtde_batalhas]]&gt;=26,"Alto",TabelaClean[[#This Row],[qtde_batalhas]]&lt;26,"Médio")</f>
        <v>Médio</v>
      </c>
      <c r="S377" s="1" t="str">
        <f>IF(AND(TabelaClean[[#This Row],[nivel_risco]]="Alto",TabelaClean[[#This Row],[flag_inadimplente]]="Sim"),"Arriscado","Ok")</f>
        <v>Ok</v>
      </c>
      <c r="T377" s="26">
        <v>69500</v>
      </c>
      <c r="U377" s="81">
        <f>IF(AND(TabelaClean[[#This Row],[analise_risco]]="Arriscado",TabelaClean[[#This Row],[analise_credito]]="Reprovado"),0,IF(TabelaClean[[#This Row],[status]]="Ativo",TabelaClean[[#This Row],[valor_solicitado]]*1.08,0))</f>
        <v>75060</v>
      </c>
      <c r="V377"/>
      <c r="W377"/>
      <c r="AJ377"/>
      <c r="AM377"/>
      <c r="BB377" s="26">
        <v>15800</v>
      </c>
      <c r="BC377" s="81">
        <f>IF(AND(TabelaClean[[#This Row],[analise_risco]]="Arriscado",TabelaClean[[#This Row],[analise_credito]]="Reprovado"),0,IF(TabelaClean[[#This Row],[status]]="Ativo",TabelaClean[[#This Row],[valor_solicitado]]*1.08,0))</f>
        <v>75060</v>
      </c>
    </row>
    <row r="378" spans="1:55">
      <c r="A378" s="24" t="s">
        <v>76</v>
      </c>
      <c r="B378" s="17" t="s">
        <v>729</v>
      </c>
      <c r="C378" s="25" t="s">
        <v>730</v>
      </c>
      <c r="D378" s="54">
        <v>69</v>
      </c>
      <c r="E378" s="30">
        <v>21054</v>
      </c>
      <c r="F378" s="24" t="str">
        <f>TabelaClean[[#This Row],[CidadeCPF]]</f>
        <v>Jardim de Cima</v>
      </c>
      <c r="G378" s="17" t="str">
        <f>TabelaClean[[#This Row],[RegiaoCPF]]</f>
        <v>Campina</v>
      </c>
      <c r="H378" s="17" t="str">
        <f>_xlfn.XLOOKUP(TabelaClean[[#This Row],[cpf]],TabelaDirty[cpfclean],TabelaDirty[cidade])</f>
        <v>Jardim de Cima</v>
      </c>
      <c r="I378" s="17" t="str">
        <f>_xlfn.XLOOKUP(TabelaClean[[#This Row],[cpf]],TabelaDirty[cpfclean],TabelaDirty[regiao])</f>
        <v>Campina</v>
      </c>
      <c r="J378" s="17" t="str">
        <f>PROPER(TabelaClean[[#This Row],[Coluna1]])</f>
        <v>Campina</v>
      </c>
      <c r="K378" s="17" t="e">
        <f>_xlfn.TEXTBEFORE(TabelaClean[[#This Row],[CidadeCPF]]," | ")</f>
        <v>#N/A</v>
      </c>
      <c r="L378" s="24" t="e">
        <f>_xlfn.TEXTAFTER(TabelaClean[[#This Row],[CidadeCPF]]," | ")</f>
        <v>#N/A</v>
      </c>
      <c r="M378" s="26">
        <v>23800</v>
      </c>
      <c r="O378" s="1" t="s">
        <v>50</v>
      </c>
      <c r="P378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78" s="84">
        <v>26</v>
      </c>
      <c r="R378" s="1" t="str" cm="1">
        <f t="array" ref="R378">_xlfn.IFS(TabelaClean[[#This Row],[qtde_batalhas]]&lt;=10,"Baixo",TabelaClean[[#This Row],[qtde_batalhas]]&gt;=26,"Alto",TabelaClean[[#This Row],[qtde_batalhas]]&lt;26,"Médio")</f>
        <v>Alto</v>
      </c>
      <c r="S378" s="1" t="str">
        <f>IF(AND(TabelaClean[[#This Row],[nivel_risco]]="Alto",TabelaClean[[#This Row],[flag_inadimplente]]="Sim"),"Arriscado","Ok")</f>
        <v>Ok</v>
      </c>
      <c r="T378" s="26">
        <v>89000</v>
      </c>
      <c r="U378" s="81">
        <f>IF(AND(TabelaClean[[#This Row],[analise_risco]]="Arriscado",TabelaClean[[#This Row],[analise_credito]]="Reprovado"),0,IF(TabelaClean[[#This Row],[status]]="Ativo",TabelaClean[[#This Row],[valor_solicitado]]*1.08,0))</f>
        <v>96120</v>
      </c>
      <c r="V378"/>
      <c r="W378"/>
      <c r="AJ378"/>
      <c r="AM378"/>
      <c r="BB378" s="26">
        <v>23800</v>
      </c>
      <c r="BC378" s="81">
        <f>IF(AND(TabelaClean[[#This Row],[analise_risco]]="Arriscado",TabelaClean[[#This Row],[analise_credito]]="Reprovado"),0,IF(TabelaClean[[#This Row],[status]]="Ativo",TabelaClean[[#This Row],[valor_solicitado]]*1.08,0))</f>
        <v>96120</v>
      </c>
    </row>
    <row r="379" spans="1:55">
      <c r="A379" s="24" t="s">
        <v>76</v>
      </c>
      <c r="B379" s="17" t="s">
        <v>87</v>
      </c>
      <c r="C379" s="25" t="s">
        <v>88</v>
      </c>
      <c r="D379" s="54">
        <v>33</v>
      </c>
      <c r="E379" s="30">
        <v>34144</v>
      </c>
      <c r="F379" s="24" t="str">
        <f>TabelaClean[[#This Row],[CidadeCPF]]</f>
        <v>Pedra do Dragão</v>
      </c>
      <c r="G379" s="17" t="str">
        <f>TabelaClean[[#This Row],[RegiaoCPF]]</f>
        <v>Terras Da Coroa</v>
      </c>
      <c r="H379" s="17" t="str">
        <f>_xlfn.XLOOKUP(TabelaClean[[#This Row],[cpf]],TabelaDirty[cpfclean],TabelaDirty[cidade])</f>
        <v>Pedra do Dragão</v>
      </c>
      <c r="I379" s="17" t="str">
        <f>_xlfn.XLOOKUP(TabelaClean[[#This Row],[cpf]],TabelaDirty[cpfclean],TabelaDirty[regiao])</f>
        <v>Terras da Coroa</v>
      </c>
      <c r="J379" s="17" t="str">
        <f>PROPER(TabelaClean[[#This Row],[Coluna1]])</f>
        <v>Terras Da Coroa</v>
      </c>
      <c r="K379" s="17" t="e">
        <f>_xlfn.TEXTBEFORE(TabelaClean[[#This Row],[CidadeCPF]]," | ")</f>
        <v>#N/A</v>
      </c>
      <c r="L379" s="24" t="e">
        <f>_xlfn.TEXTAFTER(TabelaClean[[#This Row],[CidadeCPF]]," | ")</f>
        <v>#N/A</v>
      </c>
      <c r="M379" s="26">
        <v>21500</v>
      </c>
      <c r="O379" s="1" t="s">
        <v>50</v>
      </c>
      <c r="P379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79" s="84">
        <v>22</v>
      </c>
      <c r="R379" s="1" t="str" cm="1">
        <f t="array" ref="R379">_xlfn.IFS(TabelaClean[[#This Row],[qtde_batalhas]]&lt;=10,"Baixo",TabelaClean[[#This Row],[qtde_batalhas]]&gt;=26,"Alto",TabelaClean[[#This Row],[qtde_batalhas]]&lt;26,"Médio")</f>
        <v>Médio</v>
      </c>
      <c r="S379" s="1" t="str">
        <f>IF(AND(TabelaClean[[#This Row],[nivel_risco]]="Alto",TabelaClean[[#This Row],[flag_inadimplente]]="Sim"),"Arriscado","Ok")</f>
        <v>Ok</v>
      </c>
      <c r="T379" s="26">
        <v>51500</v>
      </c>
      <c r="U379" s="81">
        <f>IF(AND(TabelaClean[[#This Row],[analise_risco]]="Arriscado",TabelaClean[[#This Row],[analise_credito]]="Reprovado"),0,IF(TabelaClean[[#This Row],[status]]="Ativo",TabelaClean[[#This Row],[valor_solicitado]]*1.08,0))</f>
        <v>55620.000000000007</v>
      </c>
      <c r="V379"/>
      <c r="W379"/>
      <c r="AJ379"/>
      <c r="AM379"/>
      <c r="BB379" s="26">
        <v>21500</v>
      </c>
      <c r="BC379" s="81">
        <f>IF(AND(TabelaClean[[#This Row],[analise_risco]]="Arriscado",TabelaClean[[#This Row],[analise_credito]]="Reprovado"),0,IF(TabelaClean[[#This Row],[status]]="Ativo",TabelaClean[[#This Row],[valor_solicitado]]*1.08,0))</f>
        <v>55620.000000000007</v>
      </c>
    </row>
    <row r="380" spans="1:55">
      <c r="A380" s="24" t="s">
        <v>81</v>
      </c>
      <c r="B380" s="17" t="s">
        <v>624</v>
      </c>
      <c r="C380" s="25" t="s">
        <v>868</v>
      </c>
      <c r="D380" s="54">
        <v>25</v>
      </c>
      <c r="E380" s="30">
        <v>37131</v>
      </c>
      <c r="F380" s="24" t="str">
        <f>TabelaClean[[#This Row],[CidadeCPF]]</f>
        <v>Lannisporto</v>
      </c>
      <c r="G380" s="17" t="str">
        <f>TabelaClean[[#This Row],[RegiaoCPF]]</f>
        <v>Oeste</v>
      </c>
      <c r="H380" s="17" t="str">
        <f>_xlfn.XLOOKUP(TabelaClean[[#This Row],[cpf]],TabelaDirty[cpfclean],TabelaDirty[cidade])</f>
        <v>Lannisporto</v>
      </c>
      <c r="I380" s="17" t="str">
        <f>_xlfn.XLOOKUP(TabelaClean[[#This Row],[cpf]],TabelaDirty[cpfclean],TabelaDirty[regiao])</f>
        <v>Oeste</v>
      </c>
      <c r="J380" s="17" t="str">
        <f>PROPER(TabelaClean[[#This Row],[Coluna1]])</f>
        <v>Oeste</v>
      </c>
      <c r="K380" s="17" t="e">
        <f>_xlfn.TEXTBEFORE(TabelaClean[[#This Row],[CidadeCPF]]," | ")</f>
        <v>#N/A</v>
      </c>
      <c r="L380" s="24" t="e">
        <f>_xlfn.TEXTAFTER(TabelaClean[[#This Row],[CidadeCPF]]," | ")</f>
        <v>#N/A</v>
      </c>
      <c r="M380" s="26">
        <v>24500</v>
      </c>
      <c r="O380" s="1" t="s">
        <v>50</v>
      </c>
      <c r="P380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0" s="84">
        <v>0</v>
      </c>
      <c r="R380" s="1" t="str" cm="1">
        <f t="array" ref="R380">_xlfn.IFS(TabelaClean[[#This Row],[qtde_batalhas]]&lt;=10,"Baixo",TabelaClean[[#This Row],[qtde_batalhas]]&gt;=26,"Alto",TabelaClean[[#This Row],[qtde_batalhas]]&lt;26,"Médio")</f>
        <v>Baixo</v>
      </c>
      <c r="S380" s="1" t="str">
        <f>IF(AND(TabelaClean[[#This Row],[nivel_risco]]="Alto",TabelaClean[[#This Row],[flag_inadimplente]]="Sim"),"Arriscado","Ok")</f>
        <v>Ok</v>
      </c>
      <c r="T380" s="26">
        <v>55000</v>
      </c>
      <c r="U380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V380"/>
      <c r="W380"/>
      <c r="AJ380"/>
      <c r="AM380"/>
      <c r="BB380" s="26">
        <v>24500</v>
      </c>
      <c r="BC380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81" spans="1:55">
      <c r="A381" s="24" t="s">
        <v>76</v>
      </c>
      <c r="B381" s="17" t="s">
        <v>986</v>
      </c>
      <c r="C381" s="25" t="s">
        <v>315</v>
      </c>
      <c r="D381" s="54">
        <v>62</v>
      </c>
      <c r="E381" s="30">
        <v>23488</v>
      </c>
      <c r="F381" s="24" t="str">
        <f>TabelaClean[[#This Row],[CidadeCPF]]</f>
        <v>Ninho da Águia</v>
      </c>
      <c r="G381" s="17" t="str">
        <f>TabelaClean[[#This Row],[RegiaoCPF]]</f>
        <v>Vale</v>
      </c>
      <c r="H381" s="17" t="str">
        <f>_xlfn.XLOOKUP(TabelaClean[[#This Row],[cpf]],TabelaDirty[cpfclean],TabelaDirty[cidade])</f>
        <v>Ninho da Águia</v>
      </c>
      <c r="I381" s="17" t="str">
        <f>_xlfn.XLOOKUP(TabelaClean[[#This Row],[cpf]],TabelaDirty[cpfclean],TabelaDirty[regiao])</f>
        <v>Vale</v>
      </c>
      <c r="J381" s="17" t="str">
        <f>PROPER(TabelaClean[[#This Row],[Coluna1]])</f>
        <v>Vale</v>
      </c>
      <c r="K381" s="17" t="e">
        <f>_xlfn.TEXTBEFORE(TabelaClean[[#This Row],[CidadeCPF]]," | ")</f>
        <v>#N/A</v>
      </c>
      <c r="L381" s="24" t="e">
        <f>_xlfn.TEXTAFTER(TabelaClean[[#This Row],[CidadeCPF]]," | ")</f>
        <v>#N/A</v>
      </c>
      <c r="M381" s="26">
        <v>0</v>
      </c>
      <c r="O381" s="1" t="s">
        <v>50</v>
      </c>
      <c r="P381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1" s="84">
        <v>38</v>
      </c>
      <c r="R381" s="1" t="str" cm="1">
        <f t="array" ref="R381">_xlfn.IFS(TabelaClean[[#This Row],[qtde_batalhas]]&lt;=10,"Baixo",TabelaClean[[#This Row],[qtde_batalhas]]&gt;=26,"Alto",TabelaClean[[#This Row],[qtde_batalhas]]&lt;26,"Médio")</f>
        <v>Alto</v>
      </c>
      <c r="S381" s="1" t="str">
        <f>IF(AND(TabelaClean[[#This Row],[nivel_risco]]="Alto",TabelaClean[[#This Row],[flag_inadimplente]]="Sim"),"Arriscado","Ok")</f>
        <v>Ok</v>
      </c>
      <c r="T381" s="26">
        <v>72000</v>
      </c>
      <c r="U381" s="81">
        <f>IF(AND(TabelaClean[[#This Row],[analise_risco]]="Arriscado",TabelaClean[[#This Row],[analise_credito]]="Reprovado"),0,IF(TabelaClean[[#This Row],[status]]="Ativo",TabelaClean[[#This Row],[valor_solicitado]]*1.08,0))</f>
        <v>77760</v>
      </c>
      <c r="V381"/>
      <c r="W381"/>
      <c r="AJ381"/>
      <c r="AM381"/>
      <c r="BB381" s="26">
        <v>0</v>
      </c>
      <c r="BC381" s="81">
        <f>IF(AND(TabelaClean[[#This Row],[analise_risco]]="Arriscado",TabelaClean[[#This Row],[analise_credito]]="Reprovado"),0,IF(TabelaClean[[#This Row],[status]]="Ativo",TabelaClean[[#This Row],[valor_solicitado]]*1.08,0))</f>
        <v>77760</v>
      </c>
    </row>
    <row r="382" spans="1:55">
      <c r="A382" s="24" t="s">
        <v>76</v>
      </c>
      <c r="B382" s="17" t="s">
        <v>563</v>
      </c>
      <c r="C382" s="25" t="s">
        <v>564</v>
      </c>
      <c r="D382" s="54">
        <v>39</v>
      </c>
      <c r="E382" s="30">
        <v>31972</v>
      </c>
      <c r="F382" s="24" t="str">
        <f>TabelaClean[[#This Row],[CidadeCPF]]</f>
        <v>Correrrio</v>
      </c>
      <c r="G382" s="17" t="str">
        <f>TabelaClean[[#This Row],[RegiaoCPF]]</f>
        <v>Terras Fluviais</v>
      </c>
      <c r="H382" s="17" t="str">
        <f>_xlfn.XLOOKUP(TabelaClean[[#This Row],[cpf]],TabelaDirty[cpfclean],TabelaDirty[cidade])</f>
        <v>Correrrio</v>
      </c>
      <c r="I382" s="17" t="str">
        <f>_xlfn.XLOOKUP(TabelaClean[[#This Row],[cpf]],TabelaDirty[cpfclean],TabelaDirty[regiao])</f>
        <v>TERRAS FLUVIAIS</v>
      </c>
      <c r="J382" s="17" t="str">
        <f>PROPER(TabelaClean[[#This Row],[Coluna1]])</f>
        <v>Terras Fluviais</v>
      </c>
      <c r="K382" s="17" t="e">
        <f>_xlfn.TEXTBEFORE(TabelaClean[[#This Row],[CidadeCPF]]," | ")</f>
        <v>#N/A</v>
      </c>
      <c r="L382" s="24" t="e">
        <f>_xlfn.TEXTAFTER(TabelaClean[[#This Row],[CidadeCPF]]," | ")</f>
        <v>#N/A</v>
      </c>
      <c r="M382" s="26">
        <v>8700</v>
      </c>
      <c r="O382" s="1" t="s">
        <v>50</v>
      </c>
      <c r="P382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2" s="84">
        <v>16</v>
      </c>
      <c r="R382" s="1" t="str" cm="1">
        <f t="array" ref="R382">_xlfn.IFS(TabelaClean[[#This Row],[qtde_batalhas]]&lt;=10,"Baixo",TabelaClean[[#This Row],[qtde_batalhas]]&gt;=26,"Alto",TabelaClean[[#This Row],[qtde_batalhas]]&lt;26,"Médio")</f>
        <v>Médio</v>
      </c>
      <c r="S382" s="1" t="str">
        <f>IF(AND(TabelaClean[[#This Row],[nivel_risco]]="Alto",TabelaClean[[#This Row],[flag_inadimplente]]="Sim"),"Arriscado","Ok")</f>
        <v>Ok</v>
      </c>
      <c r="T382" s="26">
        <v>93500</v>
      </c>
      <c r="U382" s="81">
        <f>IF(AND(TabelaClean[[#This Row],[analise_risco]]="Arriscado",TabelaClean[[#This Row],[analise_credito]]="Reprovado"),0,IF(TabelaClean[[#This Row],[status]]="Ativo",TabelaClean[[#This Row],[valor_solicitado]]*1.08,0))</f>
        <v>100980</v>
      </c>
      <c r="V382"/>
      <c r="W382"/>
      <c r="AJ382"/>
      <c r="AM382"/>
      <c r="BB382" s="26">
        <v>8700</v>
      </c>
      <c r="BC382" s="81">
        <f>IF(AND(TabelaClean[[#This Row],[analise_risco]]="Arriscado",TabelaClean[[#This Row],[analise_credito]]="Reprovado"),0,IF(TabelaClean[[#This Row],[status]]="Ativo",TabelaClean[[#This Row],[valor_solicitado]]*1.08,0))</f>
        <v>100980</v>
      </c>
    </row>
    <row r="383" spans="1:55">
      <c r="A383" s="24" t="s">
        <v>76</v>
      </c>
      <c r="B383" s="17" t="s">
        <v>214</v>
      </c>
      <c r="C383" s="25" t="s">
        <v>878</v>
      </c>
      <c r="D383" s="54">
        <v>37</v>
      </c>
      <c r="E383" s="30">
        <v>32513</v>
      </c>
      <c r="F383" s="24" t="str">
        <f>TabelaClean[[#This Row],[CidadeCPF]]</f>
        <v>Monte Chifre</v>
      </c>
      <c r="G383" s="17" t="str">
        <f>TabelaClean[[#This Row],[RegiaoCPF]]</f>
        <v>Campina</v>
      </c>
      <c r="H383" s="17" t="str">
        <f>_xlfn.XLOOKUP(TabelaClean[[#This Row],[cpf]],TabelaDirty[cpfclean],TabelaDirty[cidade])</f>
        <v>Monte Chifre</v>
      </c>
      <c r="I383" s="17" t="str">
        <f>_xlfn.XLOOKUP(TabelaClean[[#This Row],[cpf]],TabelaDirty[cpfclean],TabelaDirty[regiao])</f>
        <v>campina</v>
      </c>
      <c r="J383" s="17" t="str">
        <f>PROPER(TabelaClean[[#This Row],[Coluna1]])</f>
        <v>Campina</v>
      </c>
      <c r="K383" s="17" t="e">
        <f>_xlfn.TEXTBEFORE(TabelaClean[[#This Row],[CidadeCPF]]," | ")</f>
        <v>#N/A</v>
      </c>
      <c r="L383" s="24" t="e">
        <f>_xlfn.TEXTAFTER(TabelaClean[[#This Row],[CidadeCPF]]," | ")</f>
        <v>#N/A</v>
      </c>
      <c r="M383" s="26">
        <v>2600</v>
      </c>
      <c r="O383" s="1" t="s">
        <v>50</v>
      </c>
      <c r="P383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3" s="84">
        <v>5</v>
      </c>
      <c r="R383" s="1" t="str" cm="1">
        <f t="array" ref="R383">_xlfn.IFS(TabelaClean[[#This Row],[qtde_batalhas]]&lt;=10,"Baixo",TabelaClean[[#This Row],[qtde_batalhas]]&gt;=26,"Alto",TabelaClean[[#This Row],[qtde_batalhas]]&lt;26,"Médio")</f>
        <v>Baixo</v>
      </c>
      <c r="S383" s="1" t="str">
        <f>IF(AND(TabelaClean[[#This Row],[nivel_risco]]="Alto",TabelaClean[[#This Row],[flag_inadimplente]]="Sim"),"Arriscado","Ok")</f>
        <v>Ok</v>
      </c>
      <c r="T383" s="26">
        <v>16500</v>
      </c>
      <c r="U383" s="81">
        <f>IF(AND(TabelaClean[[#This Row],[analise_risco]]="Arriscado",TabelaClean[[#This Row],[analise_credito]]="Reprovado"),0,IF(TabelaClean[[#This Row],[status]]="Ativo",TabelaClean[[#This Row],[valor_solicitado]]*1.08,0))</f>
        <v>17820</v>
      </c>
      <c r="V383"/>
      <c r="W383"/>
      <c r="AJ383"/>
      <c r="AM383"/>
      <c r="BB383" s="26">
        <v>2600</v>
      </c>
      <c r="BC383" s="81">
        <f>IF(AND(TabelaClean[[#This Row],[analise_risco]]="Arriscado",TabelaClean[[#This Row],[analise_credito]]="Reprovado"),0,IF(TabelaClean[[#This Row],[status]]="Ativo",TabelaClean[[#This Row],[valor_solicitado]]*1.08,0))</f>
        <v>17820</v>
      </c>
    </row>
    <row r="384" spans="1:55">
      <c r="A384" s="24" t="s">
        <v>76</v>
      </c>
      <c r="B384" s="17" t="s">
        <v>263</v>
      </c>
      <c r="C384" s="25" t="s">
        <v>884</v>
      </c>
      <c r="D384" s="54">
        <v>39</v>
      </c>
      <c r="E384" s="30">
        <v>31740</v>
      </c>
      <c r="F384" s="24" t="str">
        <f>TabelaClean[[#This Row],[CidadeCPF]]</f>
        <v>Pyke</v>
      </c>
      <c r="G384" s="17" t="str">
        <f>TabelaClean[[#This Row],[RegiaoCPF]]</f>
        <v>Ilhas De Ferro</v>
      </c>
      <c r="H384" s="17" t="str">
        <f>_xlfn.XLOOKUP(TabelaClean[[#This Row],[cpf]],TabelaDirty[cpfclean],TabelaDirty[cidade])</f>
        <v>Pyke</v>
      </c>
      <c r="I384" s="17" t="str">
        <f>_xlfn.XLOOKUP(TabelaClean[[#This Row],[cpf]],TabelaDirty[cpfclean],TabelaDirty[regiao])</f>
        <v>ILHAS DE FERRO</v>
      </c>
      <c r="J384" s="17" t="str">
        <f>PROPER(TabelaClean[[#This Row],[Coluna1]])</f>
        <v>Ilhas De Ferro</v>
      </c>
      <c r="K384" s="17" t="e">
        <f>_xlfn.TEXTBEFORE(TabelaClean[[#This Row],[CidadeCPF]]," | ")</f>
        <v>#N/A</v>
      </c>
      <c r="L384" s="24" t="e">
        <f>_xlfn.TEXTAFTER(TabelaClean[[#This Row],[CidadeCPF]]," | ")</f>
        <v>#N/A</v>
      </c>
      <c r="M384" s="26">
        <v>13200</v>
      </c>
      <c r="O384" s="1" t="s">
        <v>50</v>
      </c>
      <c r="P384" s="41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4" s="84">
        <v>38</v>
      </c>
      <c r="R384" s="1" t="str" cm="1">
        <f t="array" ref="R384">_xlfn.IFS(TabelaClean[[#This Row],[qtde_batalhas]]&lt;=10,"Baixo",TabelaClean[[#This Row],[qtde_batalhas]]&gt;=26,"Alto",TabelaClean[[#This Row],[qtde_batalhas]]&lt;26,"Médio")</f>
        <v>Alto</v>
      </c>
      <c r="S384" s="1" t="str">
        <f>IF(AND(TabelaClean[[#This Row],[nivel_risco]]="Alto",TabelaClean[[#This Row],[flag_inadimplente]]="Sim"),"Arriscado","Ok")</f>
        <v>Ok</v>
      </c>
      <c r="T384" s="26">
        <v>36000</v>
      </c>
      <c r="U384" s="81">
        <f>IF(AND(TabelaClean[[#This Row],[analise_risco]]="Arriscado",TabelaClean[[#This Row],[analise_credito]]="Reprovado"),0,IF(TabelaClean[[#This Row],[status]]="Ativo",TabelaClean[[#This Row],[valor_solicitado]]*1.08,0))</f>
        <v>38880</v>
      </c>
      <c r="V384"/>
      <c r="W384"/>
      <c r="AJ384"/>
      <c r="AM384"/>
      <c r="BB384" s="26">
        <v>13200</v>
      </c>
      <c r="BC384" s="81">
        <f>IF(AND(TabelaClean[[#This Row],[analise_risco]]="Arriscado",TabelaClean[[#This Row],[analise_credito]]="Reprovado"),0,IF(TabelaClean[[#This Row],[status]]="Ativo",TabelaClean[[#This Row],[valor_solicitado]]*1.08,0))</f>
        <v>38880</v>
      </c>
    </row>
    <row r="385" spans="1:55">
      <c r="A385" s="24" t="s">
        <v>76</v>
      </c>
      <c r="B385" s="17" t="s">
        <v>987</v>
      </c>
      <c r="C385" s="25" t="s">
        <v>988</v>
      </c>
      <c r="D385" s="54">
        <v>70</v>
      </c>
      <c r="E385" s="30">
        <v>20681</v>
      </c>
      <c r="F385" s="17" t="s">
        <v>127</v>
      </c>
      <c r="G385" s="17" t="s">
        <v>122</v>
      </c>
      <c r="H385" s="24">
        <v>15800</v>
      </c>
      <c r="I385" s="24"/>
      <c r="J385" s="24" t="s">
        <v>50</v>
      </c>
      <c r="K385" s="24"/>
      <c r="L385" s="24"/>
      <c r="M385" s="26">
        <v>91000</v>
      </c>
      <c r="O385" s="1" t="s">
        <v>50</v>
      </c>
      <c r="P385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R385" s="76" t="str" cm="1">
        <f t="array" ref="R385">_xlfn.IFS(TabelaClean[[#This Row],[qtde_batalhas]]&lt;=10,"Baixo",TabelaClean[[#This Row],[qtde_batalhas]]&gt;=26,"Alto",TabelaClean[[#This Row],[qtde_batalhas]]&lt;26,"Médio")</f>
        <v>Baixo</v>
      </c>
      <c r="S385" s="76" t="str">
        <f>IF(AND(TabelaClean[[#This Row],[nivel_risco]]="Alto",TabelaClean[[#This Row],[flag_inadimplente]]="Sim"),"Arriscado","Ok")</f>
        <v>Ok</v>
      </c>
      <c r="T385" s="26">
        <v>91000</v>
      </c>
      <c r="U385" s="81">
        <f>IF(AND(TabelaClean[[#This Row],[analise_risco]]="Arriscado",TabelaClean[[#This Row],[analise_credito]]="Reprovado"),0,IF(TabelaClean[[#This Row],[status]]="Ativo",TabelaClean[[#This Row],[valor_solicitado]]*1.08,0))</f>
        <v>98280</v>
      </c>
      <c r="V385"/>
      <c r="W385"/>
      <c r="AJ385"/>
      <c r="AM385"/>
      <c r="BB385" s="26">
        <v>91000</v>
      </c>
      <c r="BC385" s="81">
        <f>IF(AND(TabelaClean[[#This Row],[analise_risco]]="Arriscado",TabelaClean[[#This Row],[analise_credito]]="Reprovado"),0,IF(TabelaClean[[#This Row],[status]]="Ativo",TabelaClean[[#This Row],[valor_solicitado]]*1.08,0))</f>
        <v>98280</v>
      </c>
    </row>
    <row r="386" spans="1:55">
      <c r="A386" s="24" t="s">
        <v>812</v>
      </c>
      <c r="B386" s="17" t="s">
        <v>989</v>
      </c>
      <c r="C386" s="25" t="s">
        <v>990</v>
      </c>
      <c r="D386" s="54">
        <v>64</v>
      </c>
      <c r="E386" s="30">
        <v>22845</v>
      </c>
      <c r="F386" s="25" t="s">
        <v>242</v>
      </c>
      <c r="G386" s="25" t="s">
        <v>456</v>
      </c>
      <c r="H386" s="24">
        <v>94000</v>
      </c>
      <c r="I386" s="24"/>
      <c r="J386" s="24" t="s">
        <v>50</v>
      </c>
      <c r="K386" s="24"/>
      <c r="L386" s="24"/>
      <c r="M386" s="26">
        <v>14500</v>
      </c>
      <c r="O386" s="1" t="s">
        <v>50</v>
      </c>
      <c r="P386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R386" s="76" t="str" cm="1">
        <f t="array" ref="R386">_xlfn.IFS(TabelaClean[[#This Row],[qtde_batalhas]]&lt;=10,"Baixo",TabelaClean[[#This Row],[qtde_batalhas]]&gt;=26,"Alto",TabelaClean[[#This Row],[qtde_batalhas]]&lt;26,"Médio")</f>
        <v>Baixo</v>
      </c>
      <c r="S386" s="76" t="str">
        <f>IF(AND(TabelaClean[[#This Row],[nivel_risco]]="Alto",TabelaClean[[#This Row],[flag_inadimplente]]="Sim"),"Arriscado","Ok")</f>
        <v>Ok</v>
      </c>
      <c r="T386" s="26">
        <v>14500</v>
      </c>
      <c r="U386" s="81">
        <f>IF(AND(TabelaClean[[#This Row],[analise_risco]]="Arriscado",TabelaClean[[#This Row],[analise_credito]]="Reprovado"),0,IF(TabelaClean[[#This Row],[status]]="Ativo",TabelaClean[[#This Row],[valor_solicitado]]*1.08,0))</f>
        <v>0</v>
      </c>
      <c r="V386"/>
      <c r="W386"/>
      <c r="AJ386"/>
      <c r="AM386"/>
      <c r="BB386" s="26">
        <v>14500</v>
      </c>
      <c r="BC386" s="81">
        <f>IF(AND(TabelaClean[[#This Row],[analise_risco]]="Arriscado",TabelaClean[[#This Row],[analise_credito]]="Reprovado"),0,IF(TabelaClean[[#This Row],[status]]="Ativo",TabelaClean[[#This Row],[valor_solicitado]]*1.08,0))</f>
        <v>0</v>
      </c>
    </row>
    <row r="387" spans="1:55">
      <c r="A387" s="24" t="s">
        <v>76</v>
      </c>
      <c r="B387" s="17" t="s">
        <v>991</v>
      </c>
      <c r="C387" s="25" t="s">
        <v>992</v>
      </c>
      <c r="D387" s="54">
        <v>73</v>
      </c>
      <c r="E387" s="30">
        <v>19364</v>
      </c>
      <c r="F387" s="25" t="s">
        <v>215</v>
      </c>
      <c r="G387" s="25" t="s">
        <v>149</v>
      </c>
      <c r="H387" s="24">
        <v>16500</v>
      </c>
      <c r="I387" s="24"/>
      <c r="J387" s="24" t="s">
        <v>50</v>
      </c>
      <c r="K387" s="24">
        <v>11</v>
      </c>
      <c r="L387" s="24"/>
      <c r="M387" s="26">
        <v>33500</v>
      </c>
      <c r="O387" s="1" t="s">
        <v>50</v>
      </c>
      <c r="P387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7" s="84">
        <v>11</v>
      </c>
      <c r="R387" s="76" t="str" cm="1">
        <f t="array" ref="R387">_xlfn.IFS(TabelaClean[[#This Row],[qtde_batalhas]]&lt;=10,"Baixo",TabelaClean[[#This Row],[qtde_batalhas]]&gt;=26,"Alto",TabelaClean[[#This Row],[qtde_batalhas]]&lt;26,"Médio")</f>
        <v>Médio</v>
      </c>
      <c r="S387" s="76" t="str">
        <f>IF(AND(TabelaClean[[#This Row],[nivel_risco]]="Alto",TabelaClean[[#This Row],[flag_inadimplente]]="Sim"),"Arriscado","Ok")</f>
        <v>Ok</v>
      </c>
      <c r="T387" s="26">
        <v>33500</v>
      </c>
      <c r="U387" s="81">
        <f>IF(AND(TabelaClean[[#This Row],[analise_risco]]="Arriscado",TabelaClean[[#This Row],[analise_credito]]="Reprovado"),0,IF(TabelaClean[[#This Row],[status]]="Ativo",TabelaClean[[#This Row],[valor_solicitado]]*1.08,0))</f>
        <v>36180</v>
      </c>
      <c r="V387"/>
      <c r="W387"/>
      <c r="AJ387"/>
      <c r="AM387"/>
      <c r="BB387" s="26">
        <v>33500</v>
      </c>
      <c r="BC387" s="81">
        <f>IF(AND(TabelaClean[[#This Row],[analise_risco]]="Arriscado",TabelaClean[[#This Row],[analise_credito]]="Reprovado"),0,IF(TabelaClean[[#This Row],[status]]="Ativo",TabelaClean[[#This Row],[valor_solicitado]]*1.08,0))</f>
        <v>36180</v>
      </c>
    </row>
    <row r="388" spans="1:55">
      <c r="A388" s="24" t="s">
        <v>76</v>
      </c>
      <c r="B388" s="17" t="s">
        <v>993</v>
      </c>
      <c r="C388" s="25" t="s">
        <v>994</v>
      </c>
      <c r="D388" s="54">
        <v>26</v>
      </c>
      <c r="E388" s="30">
        <v>36422</v>
      </c>
      <c r="F388" s="25" t="s">
        <v>89</v>
      </c>
      <c r="G388" s="25" t="s">
        <v>413</v>
      </c>
      <c r="H388" s="24">
        <v>8900</v>
      </c>
      <c r="I388" s="24"/>
      <c r="J388" s="24"/>
      <c r="K388" s="24">
        <v>17</v>
      </c>
      <c r="L388" s="24"/>
      <c r="M388" s="26">
        <v>11000</v>
      </c>
      <c r="P388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8" s="84">
        <v>17</v>
      </c>
      <c r="R388" s="76" t="str" cm="1">
        <f t="array" ref="R388">_xlfn.IFS(TabelaClean[[#This Row],[qtde_batalhas]]&lt;=10,"Baixo",TabelaClean[[#This Row],[qtde_batalhas]]&gt;=26,"Alto",TabelaClean[[#This Row],[qtde_batalhas]]&lt;26,"Médio")</f>
        <v>Médio</v>
      </c>
      <c r="S388" s="76" t="str">
        <f>IF(AND(TabelaClean[[#This Row],[nivel_risco]]="Alto",TabelaClean[[#This Row],[flag_inadimplente]]="Sim"),"Arriscado","Ok")</f>
        <v>Ok</v>
      </c>
      <c r="T388" s="26">
        <v>11000</v>
      </c>
      <c r="U388" s="81">
        <f>IF(AND(TabelaClean[[#This Row],[analise_risco]]="Arriscado",TabelaClean[[#This Row],[analise_credito]]="Reprovado"),0,IF(TabelaClean[[#This Row],[status]]="Ativo",TabelaClean[[#This Row],[valor_solicitado]]*1.08,0))</f>
        <v>11880</v>
      </c>
      <c r="V388"/>
      <c r="W388"/>
      <c r="AJ388"/>
      <c r="AM388"/>
      <c r="BB388" s="26">
        <v>11000</v>
      </c>
      <c r="BC388" s="81">
        <f>IF(AND(TabelaClean[[#This Row],[analise_risco]]="Arriscado",TabelaClean[[#This Row],[analise_credito]]="Reprovado"),0,IF(TabelaClean[[#This Row],[status]]="Ativo",TabelaClean[[#This Row],[valor_solicitado]]*1.08,0))</f>
        <v>11880</v>
      </c>
    </row>
    <row r="389" spans="1:55">
      <c r="A389" s="24" t="s">
        <v>76</v>
      </c>
      <c r="B389" s="17" t="s">
        <v>995</v>
      </c>
      <c r="C389" s="25" t="s">
        <v>996</v>
      </c>
      <c r="D389" s="54">
        <v>58</v>
      </c>
      <c r="E389" s="30">
        <v>24777</v>
      </c>
      <c r="F389" s="25" t="s">
        <v>79</v>
      </c>
      <c r="G389" s="25" t="s">
        <v>80</v>
      </c>
      <c r="H389" s="24">
        <v>22200</v>
      </c>
      <c r="I389" s="24"/>
      <c r="J389" s="24" t="s">
        <v>50</v>
      </c>
      <c r="K389" s="24">
        <v>42</v>
      </c>
      <c r="L389" s="24"/>
      <c r="M389" s="26">
        <v>33000</v>
      </c>
      <c r="O389" s="1" t="s">
        <v>50</v>
      </c>
      <c r="P389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89" s="84">
        <v>42</v>
      </c>
      <c r="R389" s="76" t="str" cm="1">
        <f t="array" ref="R389">_xlfn.IFS(TabelaClean[[#This Row],[qtde_batalhas]]&lt;=10,"Baixo",TabelaClean[[#This Row],[qtde_batalhas]]&gt;=26,"Alto",TabelaClean[[#This Row],[qtde_batalhas]]&lt;26,"Médio")</f>
        <v>Alto</v>
      </c>
      <c r="S389" s="76" t="str">
        <f>IF(AND(TabelaClean[[#This Row],[nivel_risco]]="Alto",TabelaClean[[#This Row],[flag_inadimplente]]="Sim"),"Arriscado","Ok")</f>
        <v>Ok</v>
      </c>
      <c r="T389" s="26">
        <v>33000</v>
      </c>
      <c r="U389" s="81">
        <f>IF(AND(TabelaClean[[#This Row],[analise_risco]]="Arriscado",TabelaClean[[#This Row],[analise_credito]]="Reprovado"),0,IF(TabelaClean[[#This Row],[status]]="Ativo",TabelaClean[[#This Row],[valor_solicitado]]*1.08,0))</f>
        <v>35640</v>
      </c>
      <c r="V389"/>
      <c r="W389"/>
      <c r="AJ389"/>
      <c r="AM389"/>
      <c r="BB389" s="26">
        <v>33000</v>
      </c>
      <c r="BC389" s="81">
        <f>IF(AND(TabelaClean[[#This Row],[analise_risco]]="Arriscado",TabelaClean[[#This Row],[analise_credito]]="Reprovado"),0,IF(TabelaClean[[#This Row],[status]]="Ativo",TabelaClean[[#This Row],[valor_solicitado]]*1.08,0))</f>
        <v>35640</v>
      </c>
    </row>
    <row r="390" spans="1:55">
      <c r="A390" s="24" t="s">
        <v>76</v>
      </c>
      <c r="B390" s="17" t="s">
        <v>997</v>
      </c>
      <c r="C390" s="25" t="s">
        <v>998</v>
      </c>
      <c r="D390" s="54">
        <v>56</v>
      </c>
      <c r="E390" s="30">
        <v>25578</v>
      </c>
      <c r="F390" s="25" t="s">
        <v>112</v>
      </c>
      <c r="G390" s="25" t="s">
        <v>113</v>
      </c>
      <c r="H390" s="24">
        <v>14900</v>
      </c>
      <c r="I390" s="24"/>
      <c r="J390" s="24" t="s">
        <v>50</v>
      </c>
      <c r="K390" s="24">
        <v>13</v>
      </c>
      <c r="L390" s="24"/>
      <c r="M390" s="26">
        <v>71000</v>
      </c>
      <c r="O390" s="1" t="s">
        <v>50</v>
      </c>
      <c r="P390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90" s="84">
        <v>13</v>
      </c>
      <c r="R390" s="76" t="str" cm="1">
        <f t="array" ref="R390">_xlfn.IFS(TabelaClean[[#This Row],[qtde_batalhas]]&lt;=10,"Baixo",TabelaClean[[#This Row],[qtde_batalhas]]&gt;=26,"Alto",TabelaClean[[#This Row],[qtde_batalhas]]&lt;26,"Médio")</f>
        <v>Médio</v>
      </c>
      <c r="S390" s="76" t="str">
        <f>IF(AND(TabelaClean[[#This Row],[nivel_risco]]="Alto",TabelaClean[[#This Row],[flag_inadimplente]]="Sim"),"Arriscado","Ok")</f>
        <v>Ok</v>
      </c>
      <c r="T390" s="26">
        <v>71000</v>
      </c>
      <c r="U390" s="81">
        <f>IF(AND(TabelaClean[[#This Row],[analise_risco]]="Arriscado",TabelaClean[[#This Row],[analise_credito]]="Reprovado"),0,IF(TabelaClean[[#This Row],[status]]="Ativo",TabelaClean[[#This Row],[valor_solicitado]]*1.08,0))</f>
        <v>76680</v>
      </c>
      <c r="V390"/>
      <c r="W390"/>
      <c r="AJ390"/>
      <c r="AM390"/>
      <c r="BB390" s="26">
        <v>71000</v>
      </c>
      <c r="BC390" s="81">
        <f>IF(AND(TabelaClean[[#This Row],[analise_risco]]="Arriscado",TabelaClean[[#This Row],[analise_credito]]="Reprovado"),0,IF(TabelaClean[[#This Row],[status]]="Ativo",TabelaClean[[#This Row],[valor_solicitado]]*1.08,0))</f>
        <v>76680</v>
      </c>
    </row>
    <row r="391" spans="1:55">
      <c r="A391" s="24" t="s">
        <v>76</v>
      </c>
      <c r="B391" s="17" t="s">
        <v>999</v>
      </c>
      <c r="C391" s="25" t="s">
        <v>1000</v>
      </c>
      <c r="D391" s="54">
        <v>35</v>
      </c>
      <c r="E391" s="30">
        <v>33306</v>
      </c>
      <c r="F391" s="25" t="s">
        <v>83</v>
      </c>
      <c r="G391" s="25" t="s">
        <v>303</v>
      </c>
      <c r="H391" s="24">
        <v>9700</v>
      </c>
      <c r="I391" s="24"/>
      <c r="J391" s="24" t="s">
        <v>50</v>
      </c>
      <c r="K391" s="24">
        <v>20</v>
      </c>
      <c r="L391" s="24"/>
      <c r="M391" s="26">
        <v>31000</v>
      </c>
      <c r="O391" s="1" t="s">
        <v>50</v>
      </c>
      <c r="P391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91" s="84">
        <v>20</v>
      </c>
      <c r="R391" s="76" t="str" cm="1">
        <f t="array" ref="R391">_xlfn.IFS(TabelaClean[[#This Row],[qtde_batalhas]]&lt;=10,"Baixo",TabelaClean[[#This Row],[qtde_batalhas]]&gt;=26,"Alto",TabelaClean[[#This Row],[qtde_batalhas]]&lt;26,"Médio")</f>
        <v>Médio</v>
      </c>
      <c r="S391" s="76" t="str">
        <f>IF(AND(TabelaClean[[#This Row],[nivel_risco]]="Alto",TabelaClean[[#This Row],[flag_inadimplente]]="Sim"),"Arriscado","Ok")</f>
        <v>Ok</v>
      </c>
      <c r="T391" s="26">
        <v>31000</v>
      </c>
      <c r="U391" s="81">
        <f>IF(AND(TabelaClean[[#This Row],[analise_risco]]="Arriscado",TabelaClean[[#This Row],[analise_credito]]="Reprovado"),0,IF(TabelaClean[[#This Row],[status]]="Ativo",TabelaClean[[#This Row],[valor_solicitado]]*1.08,0))</f>
        <v>33480</v>
      </c>
      <c r="V391"/>
      <c r="W391"/>
      <c r="AJ391"/>
      <c r="AM391"/>
      <c r="BB391" s="26">
        <v>31000</v>
      </c>
      <c r="BC391" s="81">
        <f>IF(AND(TabelaClean[[#This Row],[analise_risco]]="Arriscado",TabelaClean[[#This Row],[analise_credito]]="Reprovado"),0,IF(TabelaClean[[#This Row],[status]]="Ativo",TabelaClean[[#This Row],[valor_solicitado]]*1.08,0))</f>
        <v>33480</v>
      </c>
    </row>
    <row r="392" spans="1:55">
      <c r="A392" s="24" t="s">
        <v>76</v>
      </c>
      <c r="B392" s="17" t="s">
        <v>1001</v>
      </c>
      <c r="C392" s="25" t="s">
        <v>1002</v>
      </c>
      <c r="D392" s="54">
        <v>52</v>
      </c>
      <c r="E392" s="30">
        <v>27214</v>
      </c>
      <c r="F392" s="25" t="s">
        <v>172</v>
      </c>
      <c r="G392" s="25" t="s">
        <v>149</v>
      </c>
      <c r="H392" s="24">
        <v>17500</v>
      </c>
      <c r="I392" s="24"/>
      <c r="J392" s="24" t="s">
        <v>50</v>
      </c>
      <c r="K392" s="24">
        <v>0</v>
      </c>
      <c r="L392" s="24"/>
      <c r="M392" s="26">
        <v>42500</v>
      </c>
      <c r="O392" s="1" t="s">
        <v>50</v>
      </c>
      <c r="P392" s="75" t="str">
        <f>IF(AND(TabelaClean[[#This Row],[credito_tomado]]&gt;50000, TabelaClean[[#This Row],[flag_inadimplente]]="Sim"), "Reprovado", IF(OR(ISBLANK(TabelaClean[[#This Row],[credito_tomado]]), ISBLANK(TabelaClean[[#This Row],[flag_inadimplente]])), "null", "Aprovado"))</f>
        <v>null</v>
      </c>
      <c r="Q392" s="84">
        <v>0</v>
      </c>
      <c r="R392" s="76" t="str" cm="1">
        <f t="array" ref="R392">_xlfn.IFS(TabelaClean[[#This Row],[qtde_batalhas]]&lt;=10,"Baixo",TabelaClean[[#This Row],[qtde_batalhas]]&gt;=26,"Alto",TabelaClean[[#This Row],[qtde_batalhas]]&lt;26,"Médio")</f>
        <v>Baixo</v>
      </c>
      <c r="S392" s="76" t="str">
        <f>IF(AND(TabelaClean[[#This Row],[nivel_risco]]="Alto",TabelaClean[[#This Row],[flag_inadimplente]]="Sim"),"Arriscado","Ok")</f>
        <v>Ok</v>
      </c>
      <c r="T392" s="26">
        <v>42500</v>
      </c>
      <c r="U392" s="81">
        <f>IF(AND(TabelaClean[[#This Row],[analise_risco]]="Arriscado",TabelaClean[[#This Row],[analise_credito]]="Reprovado"),0,IF(TabelaClean[[#This Row],[status]]="Ativo",TabelaClean[[#This Row],[valor_solicitado]]*1.08,0))</f>
        <v>45900</v>
      </c>
      <c r="V392"/>
      <c r="W392"/>
      <c r="AJ392"/>
      <c r="AM392"/>
      <c r="BB392" s="26">
        <v>42500</v>
      </c>
      <c r="BC392" s="81">
        <f>IF(AND(TabelaClean[[#This Row],[analise_risco]]="Arriscado",TabelaClean[[#This Row],[analise_credito]]="Reprovado"),0,IF(TabelaClean[[#This Row],[status]]="Ativo",TabelaClean[[#This Row],[valor_solicitado]]*1.08,0))</f>
        <v>45900</v>
      </c>
    </row>
    <row r="402" spans="21:55">
      <c r="U402" s="43"/>
      <c r="BC402" s="43"/>
    </row>
    <row r="403" spans="21:55">
      <c r="U403" s="43"/>
      <c r="BC403" s="43"/>
    </row>
    <row r="404" spans="21:55">
      <c r="U404" s="43"/>
      <c r="BC404" s="43"/>
    </row>
    <row r="405" spans="21:55">
      <c r="U405" s="43"/>
      <c r="BC405" s="43"/>
    </row>
    <row r="406" spans="21:55">
      <c r="U406" s="43"/>
      <c r="BC406" s="43"/>
    </row>
    <row r="407" spans="21:55">
      <c r="U407" s="43"/>
      <c r="BC407" s="43"/>
    </row>
    <row r="408" spans="21:55">
      <c r="U408" s="43"/>
      <c r="BC408" s="43"/>
    </row>
    <row r="409" spans="21:55">
      <c r="U409" s="43"/>
      <c r="BC409" s="43"/>
    </row>
    <row r="410" spans="21:55">
      <c r="U410" s="43"/>
      <c r="BC410" s="43"/>
    </row>
    <row r="411" spans="21:55">
      <c r="U411" s="43"/>
      <c r="BC411" s="43"/>
    </row>
    <row r="412" spans="21:55">
      <c r="U412" s="43"/>
      <c r="BC412" s="43"/>
    </row>
    <row r="413" spans="21:55">
      <c r="U413" s="43"/>
      <c r="BC413" s="43"/>
    </row>
    <row r="414" spans="21:55">
      <c r="U414" s="43"/>
      <c r="BC414" s="43"/>
    </row>
    <row r="415" spans="21:55">
      <c r="U415" s="43"/>
      <c r="BC415" s="43"/>
    </row>
    <row r="416" spans="21:55">
      <c r="U416" s="43"/>
      <c r="BC416" s="43"/>
    </row>
    <row r="417" spans="21:55">
      <c r="U417" s="43"/>
      <c r="BC417" s="43"/>
    </row>
    <row r="418" spans="21:55">
      <c r="U418" s="43"/>
      <c r="BC418" s="43"/>
    </row>
    <row r="419" spans="21:55">
      <c r="U419" s="43"/>
      <c r="BC419" s="43"/>
    </row>
    <row r="420" spans="21:55">
      <c r="U420" s="43"/>
      <c r="BC420" s="43"/>
    </row>
    <row r="421" spans="21:55">
      <c r="U421" s="43"/>
      <c r="BC421" s="43"/>
    </row>
    <row r="422" spans="21:55">
      <c r="U422" s="43"/>
      <c r="BC422" s="43"/>
    </row>
    <row r="423" spans="21:55">
      <c r="U423" s="43"/>
      <c r="BC423" s="43"/>
    </row>
    <row r="424" spans="21:55">
      <c r="U424" s="43"/>
      <c r="BC424" s="43"/>
    </row>
    <row r="425" spans="21:55">
      <c r="U425" s="43"/>
      <c r="BC425" s="43"/>
    </row>
    <row r="426" spans="21:55">
      <c r="U426" s="43"/>
      <c r="BC426" s="43"/>
    </row>
    <row r="427" spans="21:55">
      <c r="U427" s="43"/>
      <c r="BC427" s="43"/>
    </row>
  </sheetData>
  <autoFilter ref="AE1:AE326" xr:uid="{32A3A245-B79E-4975-A562-C077F4929AC2}">
    <sortState xmlns:xlrd2="http://schemas.microsoft.com/office/spreadsheetml/2017/richdata2" ref="AE2:AE326">
      <sortCondition ref="AE1:AE326"/>
    </sortState>
  </autoFilter>
  <conditionalFormatting sqref="T1:T324 T428:W1048576 A1:S358 A393:S1048576 P359:P392 V327:V358 T327:T392 V393:W427 V1:V324 N344:N392 T402:T427 T393:U401">
    <cfRule type="cellIs" dxfId="84" priority="48" operator="equal">
      <formula>"null"</formula>
    </cfRule>
  </conditionalFormatting>
  <conditionalFormatting sqref="AM1:AM326">
    <cfRule type="cellIs" dxfId="83" priority="30" operator="equal">
      <formula>"null"</formula>
    </cfRule>
  </conditionalFormatting>
  <conditionalFormatting sqref="Q1">
    <cfRule type="cellIs" dxfId="82" priority="29" operator="equal">
      <formula>"null"</formula>
    </cfRule>
  </conditionalFormatting>
  <conditionalFormatting sqref="R2:S358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{3ED57C92-BFE0-48F7-9E06-B6E902AA0243}</x14:id>
        </ext>
      </extLst>
    </cfRule>
  </conditionalFormatting>
  <conditionalFormatting sqref="Q1:Q1048576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{6BAA9567-A3B0-4613-B8A4-A72C41E2FA89}</x14:id>
        </ext>
      </extLst>
    </cfRule>
  </conditionalFormatting>
  <conditionalFormatting sqref="AZ2:AZ200">
    <cfRule type="cellIs" dxfId="81" priority="24" operator="equal">
      <formula>"null"</formula>
    </cfRule>
  </conditionalFormatting>
  <conditionalFormatting sqref="G373">
    <cfRule type="cellIs" dxfId="80" priority="22" operator="equal">
      <formula>"null"</formula>
    </cfRule>
  </conditionalFormatting>
  <conditionalFormatting sqref="G375">
    <cfRule type="cellIs" dxfId="79" priority="21" operator="equal">
      <formula>"null"</formula>
    </cfRule>
  </conditionalFormatting>
  <conditionalFormatting sqref="G364">
    <cfRule type="cellIs" dxfId="78" priority="20" operator="equal">
      <formula>"null"</formula>
    </cfRule>
  </conditionalFormatting>
  <conditionalFormatting sqref="G369">
    <cfRule type="cellIs" dxfId="77" priority="19" operator="equal">
      <formula>"null"</formula>
    </cfRule>
  </conditionalFormatting>
  <conditionalFormatting sqref="G382">
    <cfRule type="cellIs" dxfId="76" priority="18" operator="equal">
      <formula>"null"</formula>
    </cfRule>
  </conditionalFormatting>
  <conditionalFormatting sqref="G389">
    <cfRule type="cellIs" dxfId="75" priority="17" operator="equal">
      <formula>"null"</formula>
    </cfRule>
  </conditionalFormatting>
  <conditionalFormatting sqref="Q359:Q392">
    <cfRule type="cellIs" dxfId="74" priority="16" operator="equal">
      <formula>"null"</formula>
    </cfRule>
  </conditionalFormatting>
  <conditionalFormatting sqref="G359">
    <cfRule type="cellIs" dxfId="73" priority="15" operator="equal">
      <formula>"null"</formula>
    </cfRule>
  </conditionalFormatting>
  <conditionalFormatting sqref="G361">
    <cfRule type="cellIs" dxfId="72" priority="14" operator="equal">
      <formula>"null"</formula>
    </cfRule>
  </conditionalFormatting>
  <conditionalFormatting sqref="G363">
    <cfRule type="cellIs" dxfId="71" priority="13" operator="equal">
      <formula>"null"</formula>
    </cfRule>
  </conditionalFormatting>
  <conditionalFormatting sqref="G379">
    <cfRule type="cellIs" dxfId="70" priority="12" operator="equal">
      <formula>"null"</formula>
    </cfRule>
  </conditionalFormatting>
  <conditionalFormatting sqref="G383">
    <cfRule type="cellIs" dxfId="69" priority="11" operator="equal">
      <formula>"null"</formula>
    </cfRule>
  </conditionalFormatting>
  <conditionalFormatting sqref="M2:M392">
    <cfRule type="colorScale" priority="10">
      <colorScale>
        <cfvo type="min"/>
        <cfvo type="max"/>
        <color rgb="FFFCFCFF"/>
        <color rgb="FF63BE7B"/>
      </colorScale>
    </cfRule>
  </conditionalFormatting>
  <conditionalFormatting sqref="N2:N392">
    <cfRule type="colorScale" priority="9">
      <colorScale>
        <cfvo type="min"/>
        <cfvo type="max"/>
        <color rgb="FFFCFCFF"/>
        <color rgb="FFF8696B"/>
      </colorScale>
    </cfRule>
  </conditionalFormatting>
  <conditionalFormatting sqref="G391">
    <cfRule type="cellIs" dxfId="68" priority="8" operator="equal">
      <formula>"null"</formula>
    </cfRule>
  </conditionalFormatting>
  <conditionalFormatting sqref="G376">
    <cfRule type="cellIs" dxfId="67" priority="7" operator="equal">
      <formula>"null"</formula>
    </cfRule>
  </conditionalFormatting>
  <conditionalFormatting sqref="G360">
    <cfRule type="cellIs" dxfId="66" priority="6" operator="equal">
      <formula>"null"</formula>
    </cfRule>
  </conditionalFormatting>
  <conditionalFormatting sqref="G387">
    <cfRule type="cellIs" dxfId="65" priority="5" operator="equal">
      <formula>"null"</formula>
    </cfRule>
  </conditionalFormatting>
  <conditionalFormatting sqref="U2:U392">
    <cfRule type="cellIs" dxfId="64" priority="4" operator="equal">
      <formula>0</formula>
    </cfRule>
  </conditionalFormatting>
  <conditionalFormatting sqref="BC428:BC1048576 BC393:BC401 BB1:BB358 BB393:BB1048576">
    <cfRule type="cellIs" dxfId="63" priority="3" operator="equal">
      <formula>"null"</formula>
    </cfRule>
  </conditionalFormatting>
  <conditionalFormatting sqref="BB2:BB392">
    <cfRule type="colorScale" priority="2">
      <colorScale>
        <cfvo type="min"/>
        <cfvo type="max"/>
        <color rgb="FFFCFCFF"/>
        <color rgb="FF63BE7B"/>
      </colorScale>
    </cfRule>
  </conditionalFormatting>
  <conditionalFormatting sqref="BC2:BC392">
    <cfRule type="cellIs" dxfId="62" priority="1" operator="equal">
      <formula>0</formula>
    </cfRule>
  </conditionalFormatting>
  <dataValidations count="1">
    <dataValidation type="list" allowBlank="1" showInputMessage="1" showErrorMessage="1" sqref="A2:A38" xr:uid="{9B54097F-FC85-4211-A267-FC8EBE6A0162}">
      <formula1>$AB$1:$AB$2</formula1>
    </dataValidation>
  </dataValidations>
  <pageMargins left="0.7" right="0.7" top="0.75" bottom="0.75" header="0.3" footer="0.3"/>
  <drawing r:id="rId1"/>
  <legacy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57C92-BFE0-48F7-9E06-B6E902AA02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R2:S358</xm:sqref>
        </x14:conditionalFormatting>
        <x14:conditionalFormatting xmlns:xm="http://schemas.microsoft.com/office/excel/2006/main">
          <x14:cfRule type="dataBar" id="{6BAA9567-A3B0-4613-B8A4-A72C41E2FA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DED7-3AE1-4EEF-8712-ABB03D4D951B}">
  <dimension ref="A1:AH359"/>
  <sheetViews>
    <sheetView workbookViewId="0">
      <selection activeCell="C36" sqref="C3:C36"/>
    </sheetView>
  </sheetViews>
  <sheetFormatPr defaultRowHeight="15"/>
  <cols>
    <col min="1" max="1" width="8.85546875" bestFit="1" customWidth="1"/>
    <col min="2" max="2" width="20.85546875" bestFit="1" customWidth="1"/>
    <col min="3" max="3" width="15.5703125" bestFit="1" customWidth="1"/>
    <col min="4" max="4" width="8.42578125" style="1" bestFit="1" customWidth="1"/>
    <col min="5" max="5" width="18.42578125" style="11" bestFit="1" customWidth="1"/>
    <col min="6" max="6" width="23" bestFit="1" customWidth="1"/>
    <col min="7" max="7" width="15.7109375" bestFit="1" customWidth="1"/>
    <col min="8" max="8" width="26.42578125" style="23" bestFit="1" customWidth="1"/>
    <col min="9" max="9" width="17.42578125" style="23" bestFit="1" customWidth="1"/>
    <col min="10" max="10" width="27.140625" bestFit="1" customWidth="1"/>
    <col min="11" max="11" width="27.140625" style="1" customWidth="1"/>
    <col min="12" max="12" width="24.42578125" bestFit="1" customWidth="1"/>
    <col min="13" max="13" width="17.140625" style="23" bestFit="1" customWidth="1"/>
    <col min="19" max="19" width="8.85546875" bestFit="1" customWidth="1"/>
    <col min="20" max="20" width="20.85546875" bestFit="1" customWidth="1"/>
    <col min="21" max="21" width="15.28515625" bestFit="1" customWidth="1"/>
    <col min="22" max="22" width="8.42578125" bestFit="1" customWidth="1"/>
    <col min="23" max="23" width="18.42578125" bestFit="1" customWidth="1"/>
    <col min="24" max="24" width="18.5703125" bestFit="1" customWidth="1"/>
    <col min="25" max="25" width="21.28515625" bestFit="1" customWidth="1"/>
    <col min="26" max="26" width="15.7109375" style="52" bestFit="1" customWidth="1"/>
    <col min="27" max="27" width="17.42578125" style="52" bestFit="1" customWidth="1"/>
    <col min="28" max="28" width="10.85546875" bestFit="1" customWidth="1"/>
    <col min="29" max="29" width="9.5703125" bestFit="1" customWidth="1"/>
    <col min="30" max="30" width="10.7109375" bestFit="1" customWidth="1"/>
    <col min="31" max="31" width="16.140625" bestFit="1" customWidth="1"/>
    <col min="32" max="32" width="27.140625" customWidth="1"/>
    <col min="33" max="33" width="10.7109375" bestFit="1" customWidth="1"/>
    <col min="34" max="34" width="17.140625" bestFit="1" customWidth="1"/>
  </cols>
  <sheetData>
    <row r="1" spans="1:24">
      <c r="C1" s="85"/>
      <c r="F1" s="85"/>
      <c r="I1" s="48"/>
      <c r="L1" s="85"/>
    </row>
    <row r="2" spans="1:24" s="44" customFormat="1">
      <c r="A2" s="44" t="s">
        <v>61</v>
      </c>
      <c r="B2" s="45" t="s">
        <v>62</v>
      </c>
      <c r="C2" s="44" t="s">
        <v>63</v>
      </c>
      <c r="D2" s="49" t="s">
        <v>65</v>
      </c>
      <c r="E2" s="46" t="s">
        <v>1003</v>
      </c>
      <c r="F2" s="45" t="s">
        <v>67</v>
      </c>
      <c r="G2" s="44" t="s">
        <v>68</v>
      </c>
      <c r="H2" s="57" t="s">
        <v>1004</v>
      </c>
      <c r="I2" s="59" t="s">
        <v>1005</v>
      </c>
      <c r="J2" s="44" t="s">
        <v>1006</v>
      </c>
      <c r="K2" s="49" t="s">
        <v>1007</v>
      </c>
      <c r="L2" s="45" t="s">
        <v>1008</v>
      </c>
      <c r="M2" s="56" t="s">
        <v>1009</v>
      </c>
      <c r="N2" s="14" t="s">
        <v>800</v>
      </c>
      <c r="O2" s="60">
        <v>49</v>
      </c>
      <c r="P2" s="61">
        <v>28126</v>
      </c>
      <c r="Q2" s="62" t="s">
        <v>955</v>
      </c>
      <c r="R2" s="14" t="s">
        <v>149</v>
      </c>
      <c r="S2" s="63">
        <v>20300</v>
      </c>
      <c r="T2" s="63">
        <v>12000</v>
      </c>
      <c r="U2" s="14" t="s">
        <v>51</v>
      </c>
      <c r="V2" s="64">
        <v>27</v>
      </c>
      <c r="W2" s="14"/>
      <c r="X2" s="65">
        <v>67500</v>
      </c>
    </row>
    <row r="3" spans="1:24">
      <c r="A3" t="s">
        <v>76</v>
      </c>
      <c r="B3" s="85" t="s">
        <v>944</v>
      </c>
      <c r="C3" s="13" t="s">
        <v>945</v>
      </c>
      <c r="D3" s="1">
        <v>31</v>
      </c>
      <c r="E3" s="30">
        <v>34914</v>
      </c>
      <c r="F3" s="85" t="s">
        <v>112</v>
      </c>
      <c r="G3" t="s">
        <v>113</v>
      </c>
      <c r="H3" s="58">
        <v>20800</v>
      </c>
      <c r="I3" s="48">
        <v>17500</v>
      </c>
      <c r="J3" t="s">
        <v>50</v>
      </c>
      <c r="M3" s="48">
        <v>58000</v>
      </c>
      <c r="N3" s="15" t="s">
        <v>992</v>
      </c>
      <c r="O3" s="66">
        <v>73</v>
      </c>
      <c r="P3" s="67">
        <v>19364</v>
      </c>
      <c r="Q3" s="68" t="s">
        <v>215</v>
      </c>
      <c r="R3" s="15" t="s">
        <v>149</v>
      </c>
      <c r="S3" s="69">
        <v>16500</v>
      </c>
      <c r="T3" s="70"/>
      <c r="U3" s="15" t="s">
        <v>50</v>
      </c>
      <c r="V3" s="71">
        <v>11</v>
      </c>
      <c r="W3" s="72"/>
      <c r="X3" s="73">
        <v>33500</v>
      </c>
    </row>
    <row r="4" spans="1:24">
      <c r="A4" t="s">
        <v>76</v>
      </c>
      <c r="B4" s="85" t="s">
        <v>987</v>
      </c>
      <c r="C4" s="13" t="s">
        <v>988</v>
      </c>
      <c r="D4" s="1">
        <v>70</v>
      </c>
      <c r="E4" s="30">
        <v>20681</v>
      </c>
      <c r="F4" s="55" t="s">
        <v>127</v>
      </c>
      <c r="G4" s="85" t="s">
        <v>122</v>
      </c>
      <c r="H4" s="48">
        <v>15800</v>
      </c>
      <c r="I4" s="48"/>
      <c r="J4" t="s">
        <v>50</v>
      </c>
      <c r="M4" s="48">
        <v>91000</v>
      </c>
      <c r="N4" s="14" t="s">
        <v>994</v>
      </c>
      <c r="O4" s="60">
        <v>26</v>
      </c>
      <c r="P4" s="61">
        <v>36422</v>
      </c>
      <c r="Q4" s="62" t="s">
        <v>89</v>
      </c>
      <c r="R4" s="14" t="s">
        <v>413</v>
      </c>
      <c r="S4" s="63">
        <v>8900</v>
      </c>
      <c r="T4" s="74"/>
      <c r="U4" s="14"/>
      <c r="V4" s="64">
        <v>17</v>
      </c>
      <c r="W4" s="14"/>
      <c r="X4" s="65">
        <v>11000</v>
      </c>
    </row>
    <row r="5" spans="1:24">
      <c r="A5" t="s">
        <v>81</v>
      </c>
      <c r="B5" s="85" t="s">
        <v>833</v>
      </c>
      <c r="C5" t="s">
        <v>834</v>
      </c>
      <c r="D5" s="1">
        <v>57</v>
      </c>
      <c r="E5" s="30">
        <v>25147</v>
      </c>
      <c r="F5" s="85" t="s">
        <v>835</v>
      </c>
      <c r="G5" t="s">
        <v>149</v>
      </c>
      <c r="H5" s="48">
        <v>26300</v>
      </c>
      <c r="I5" s="48">
        <v>75500</v>
      </c>
      <c r="J5" t="s">
        <v>51</v>
      </c>
      <c r="M5" s="48">
        <v>44000</v>
      </c>
      <c r="N5" s="15" t="s">
        <v>963</v>
      </c>
      <c r="O5" s="66">
        <v>33</v>
      </c>
      <c r="P5" s="67">
        <v>33892</v>
      </c>
      <c r="Q5" s="68" t="s">
        <v>127</v>
      </c>
      <c r="R5" s="15" t="s">
        <v>122</v>
      </c>
      <c r="S5" s="69">
        <v>29200</v>
      </c>
      <c r="T5" s="70">
        <v>3000</v>
      </c>
      <c r="U5" s="15" t="s">
        <v>51</v>
      </c>
      <c r="V5" s="71">
        <v>40</v>
      </c>
      <c r="W5" s="15"/>
      <c r="X5" s="73">
        <v>26000</v>
      </c>
    </row>
    <row r="6" spans="1:24">
      <c r="A6" t="s">
        <v>76</v>
      </c>
      <c r="B6" s="85" t="s">
        <v>938</v>
      </c>
      <c r="C6" t="s">
        <v>939</v>
      </c>
      <c r="D6" s="1">
        <v>28</v>
      </c>
      <c r="E6" s="30">
        <v>35948</v>
      </c>
      <c r="F6" s="85" t="s">
        <v>169</v>
      </c>
      <c r="G6" s="85" t="s">
        <v>139</v>
      </c>
      <c r="H6" s="48">
        <v>14600</v>
      </c>
      <c r="I6" s="48">
        <v>23000</v>
      </c>
      <c r="K6" s="1">
        <v>1</v>
      </c>
      <c r="M6" s="23">
        <v>99000</v>
      </c>
      <c r="N6" s="14" t="s">
        <v>907</v>
      </c>
      <c r="O6" s="60">
        <v>67</v>
      </c>
      <c r="P6" s="61">
        <v>21671</v>
      </c>
      <c r="Q6" s="62" t="s">
        <v>83</v>
      </c>
      <c r="R6" s="14" t="s">
        <v>303</v>
      </c>
      <c r="S6" s="63">
        <v>6500</v>
      </c>
      <c r="T6" s="74">
        <v>42500</v>
      </c>
      <c r="U6" s="14" t="s">
        <v>51</v>
      </c>
      <c r="V6" s="64">
        <v>3</v>
      </c>
      <c r="W6" s="14"/>
      <c r="X6" s="65">
        <v>8000</v>
      </c>
    </row>
    <row r="7" spans="1:24">
      <c r="A7" t="s">
        <v>76</v>
      </c>
      <c r="B7" s="85" t="s">
        <v>845</v>
      </c>
      <c r="C7" t="s">
        <v>846</v>
      </c>
      <c r="D7" s="1">
        <v>50</v>
      </c>
      <c r="E7" s="30">
        <v>27729</v>
      </c>
      <c r="F7" s="85" t="s">
        <v>89</v>
      </c>
      <c r="G7" t="s">
        <v>90</v>
      </c>
      <c r="H7" s="48">
        <v>22800</v>
      </c>
      <c r="I7" s="48">
        <v>70000</v>
      </c>
      <c r="J7" t="s">
        <v>51</v>
      </c>
      <c r="M7" s="23">
        <v>25500</v>
      </c>
      <c r="N7" s="15" t="s">
        <v>982</v>
      </c>
      <c r="O7" s="66">
        <v>72</v>
      </c>
      <c r="P7" s="67">
        <v>19801</v>
      </c>
      <c r="Q7" s="68" t="s">
        <v>223</v>
      </c>
      <c r="R7" s="15" t="s">
        <v>413</v>
      </c>
      <c r="S7" s="69">
        <v>10200</v>
      </c>
      <c r="T7" s="70">
        <v>0</v>
      </c>
      <c r="U7" s="15" t="s">
        <v>50</v>
      </c>
      <c r="V7" s="71">
        <v>27</v>
      </c>
      <c r="W7" s="15"/>
      <c r="X7" s="73">
        <v>99500</v>
      </c>
    </row>
    <row r="8" spans="1:24">
      <c r="A8" t="s">
        <v>81</v>
      </c>
      <c r="B8" s="85" t="s">
        <v>826</v>
      </c>
      <c r="C8" t="s">
        <v>827</v>
      </c>
      <c r="D8" s="1">
        <v>68</v>
      </c>
      <c r="E8" s="30">
        <v>21190</v>
      </c>
      <c r="F8" s="85" t="s">
        <v>828</v>
      </c>
      <c r="G8" t="s">
        <v>142</v>
      </c>
      <c r="H8" s="48">
        <v>2800</v>
      </c>
      <c r="I8" s="48">
        <v>76000</v>
      </c>
      <c r="J8" t="s">
        <v>50</v>
      </c>
      <c r="M8" s="23">
        <v>27000</v>
      </c>
      <c r="N8" s="14" t="s">
        <v>849</v>
      </c>
      <c r="O8" s="60">
        <v>35</v>
      </c>
      <c r="P8" s="61">
        <v>33370</v>
      </c>
      <c r="Q8" s="62" t="s">
        <v>89</v>
      </c>
      <c r="R8" s="14" t="s">
        <v>413</v>
      </c>
      <c r="S8" s="63">
        <v>5600</v>
      </c>
      <c r="T8" s="74">
        <v>69500</v>
      </c>
      <c r="U8" s="14" t="s">
        <v>50</v>
      </c>
      <c r="V8" s="64">
        <v>13</v>
      </c>
      <c r="W8" s="14"/>
      <c r="X8" s="65">
        <v>43500</v>
      </c>
    </row>
    <row r="9" spans="1:24">
      <c r="A9" t="s">
        <v>76</v>
      </c>
      <c r="B9" s="85" t="s">
        <v>898</v>
      </c>
      <c r="C9" t="s">
        <v>899</v>
      </c>
      <c r="D9" s="1">
        <v>40</v>
      </c>
      <c r="E9" s="30">
        <v>31458</v>
      </c>
      <c r="F9" s="85" t="s">
        <v>154</v>
      </c>
      <c r="G9" t="s">
        <v>142</v>
      </c>
      <c r="H9" s="48">
        <v>21300</v>
      </c>
      <c r="I9" s="48">
        <v>48500</v>
      </c>
      <c r="J9" t="s">
        <v>50</v>
      </c>
      <c r="K9" s="1">
        <v>44</v>
      </c>
      <c r="M9" s="23">
        <v>62500</v>
      </c>
      <c r="N9" s="15" t="s">
        <v>916</v>
      </c>
      <c r="O9" s="66">
        <v>33</v>
      </c>
      <c r="P9" s="67">
        <v>34084</v>
      </c>
      <c r="Q9" s="68" t="s">
        <v>154</v>
      </c>
      <c r="R9" s="15" t="s">
        <v>142</v>
      </c>
      <c r="S9" s="69">
        <v>29700</v>
      </c>
      <c r="T9" s="70" t="s">
        <v>1010</v>
      </c>
      <c r="U9" s="15" t="s">
        <v>51</v>
      </c>
      <c r="V9" s="71">
        <v>41</v>
      </c>
      <c r="W9" s="15"/>
      <c r="X9" s="73">
        <v>83500</v>
      </c>
    </row>
    <row r="10" spans="1:24">
      <c r="A10" t="s">
        <v>812</v>
      </c>
      <c r="B10" s="85" t="s">
        <v>786</v>
      </c>
      <c r="C10" t="s">
        <v>897</v>
      </c>
      <c r="D10" s="1">
        <v>61</v>
      </c>
      <c r="E10" s="30">
        <v>23834</v>
      </c>
      <c r="F10" s="85" t="s">
        <v>215</v>
      </c>
      <c r="G10" t="s">
        <v>149</v>
      </c>
      <c r="H10" s="48">
        <v>9100</v>
      </c>
      <c r="I10" s="48">
        <v>49000</v>
      </c>
      <c r="J10" t="s">
        <v>50</v>
      </c>
      <c r="M10" s="23">
        <v>48000</v>
      </c>
      <c r="N10" s="14" t="s">
        <v>996</v>
      </c>
      <c r="O10" s="60">
        <v>58</v>
      </c>
      <c r="P10" s="61">
        <v>24777</v>
      </c>
      <c r="Q10" s="62" t="s">
        <v>79</v>
      </c>
      <c r="R10" s="14" t="s">
        <v>80</v>
      </c>
      <c r="S10" s="63">
        <v>22200</v>
      </c>
      <c r="T10" s="74"/>
      <c r="U10" s="14" t="s">
        <v>50</v>
      </c>
      <c r="V10" s="64">
        <v>42</v>
      </c>
      <c r="W10" s="14"/>
      <c r="X10" s="65">
        <v>33000</v>
      </c>
    </row>
    <row r="11" spans="1:24">
      <c r="A11" t="s">
        <v>76</v>
      </c>
      <c r="B11" s="85" t="s">
        <v>880</v>
      </c>
      <c r="C11" t="s">
        <v>881</v>
      </c>
      <c r="D11" s="1">
        <v>45</v>
      </c>
      <c r="E11" s="30" t="s">
        <v>882</v>
      </c>
      <c r="F11" s="85" t="s">
        <v>127</v>
      </c>
      <c r="G11" t="s">
        <v>122</v>
      </c>
      <c r="H11" s="48">
        <v>16200</v>
      </c>
      <c r="I11" s="48">
        <v>59000</v>
      </c>
      <c r="J11" t="s">
        <v>50</v>
      </c>
      <c r="M11" s="23">
        <v>73500</v>
      </c>
      <c r="N11" s="15" t="s">
        <v>502</v>
      </c>
      <c r="O11" s="66">
        <v>65</v>
      </c>
      <c r="P11" s="67">
        <v>22205</v>
      </c>
      <c r="Q11" s="68" t="s">
        <v>141</v>
      </c>
      <c r="R11" s="15" t="s">
        <v>142</v>
      </c>
      <c r="S11" s="69">
        <v>19800</v>
      </c>
      <c r="T11" s="70">
        <v>78500</v>
      </c>
      <c r="U11" s="15" t="s">
        <v>50</v>
      </c>
      <c r="V11" s="71">
        <v>34</v>
      </c>
      <c r="W11" s="15"/>
      <c r="X11" s="73">
        <v>84000</v>
      </c>
    </row>
    <row r="12" spans="1:24">
      <c r="A12" t="s">
        <v>81</v>
      </c>
      <c r="B12" s="85" t="s">
        <v>948</v>
      </c>
      <c r="C12" t="s">
        <v>949</v>
      </c>
      <c r="D12" s="1">
        <v>62</v>
      </c>
      <c r="E12" s="30">
        <v>23358</v>
      </c>
      <c r="F12" s="85" t="s">
        <v>950</v>
      </c>
      <c r="G12" t="s">
        <v>149</v>
      </c>
      <c r="H12" s="48">
        <v>14600</v>
      </c>
      <c r="I12" s="23">
        <v>15500</v>
      </c>
      <c r="M12" s="23">
        <v>2500</v>
      </c>
      <c r="N12" s="14" t="s">
        <v>956</v>
      </c>
      <c r="O12" s="60">
        <v>38</v>
      </c>
      <c r="P12" s="61" t="s">
        <v>957</v>
      </c>
      <c r="Q12" s="62" t="s">
        <v>1011</v>
      </c>
      <c r="R12" s="14" t="s">
        <v>413</v>
      </c>
      <c r="S12" s="63">
        <v>23600</v>
      </c>
      <c r="T12" s="74"/>
      <c r="U12" s="14" t="s">
        <v>50</v>
      </c>
      <c r="V12" s="64"/>
      <c r="W12" s="14"/>
      <c r="X12" s="65">
        <v>28500</v>
      </c>
    </row>
    <row r="13" spans="1:24">
      <c r="A13" t="s">
        <v>76</v>
      </c>
      <c r="B13" s="85" t="s">
        <v>721</v>
      </c>
      <c r="C13" t="s">
        <v>722</v>
      </c>
      <c r="D13" s="1">
        <v>39</v>
      </c>
      <c r="E13" s="30">
        <v>31968</v>
      </c>
      <c r="F13" s="85" t="s">
        <v>154</v>
      </c>
      <c r="G13" t="s">
        <v>142</v>
      </c>
      <c r="H13" s="48">
        <v>8000</v>
      </c>
      <c r="I13" s="48">
        <v>69000</v>
      </c>
      <c r="J13" t="s">
        <v>50</v>
      </c>
      <c r="M13" s="23">
        <v>6500</v>
      </c>
      <c r="N13" s="15" t="s">
        <v>872</v>
      </c>
      <c r="O13" s="66">
        <v>60</v>
      </c>
      <c r="P13" s="67">
        <v>24100</v>
      </c>
      <c r="Q13" s="68" t="s">
        <v>138</v>
      </c>
      <c r="R13" s="15" t="s">
        <v>139</v>
      </c>
      <c r="S13" s="69">
        <v>9700</v>
      </c>
      <c r="T13" s="70">
        <v>61000</v>
      </c>
      <c r="U13" s="15" t="s">
        <v>51</v>
      </c>
      <c r="V13" s="71">
        <v>9</v>
      </c>
      <c r="W13" s="15"/>
      <c r="X13" s="73">
        <v>88000</v>
      </c>
    </row>
    <row r="14" spans="1:24">
      <c r="A14" t="s">
        <v>76</v>
      </c>
      <c r="B14" s="85" t="s">
        <v>889</v>
      </c>
      <c r="C14" t="s">
        <v>890</v>
      </c>
      <c r="D14" s="1">
        <v>50</v>
      </c>
      <c r="E14" s="30" t="e">
        <v>#VALUE!</v>
      </c>
      <c r="F14" t="s">
        <v>809</v>
      </c>
      <c r="G14" s="85" t="s">
        <v>138</v>
      </c>
      <c r="H14" s="48"/>
      <c r="I14" s="48">
        <v>55000</v>
      </c>
      <c r="J14" t="s">
        <v>50</v>
      </c>
      <c r="M14" s="23">
        <v>17000</v>
      </c>
      <c r="N14" s="14" t="s">
        <v>998</v>
      </c>
      <c r="O14" s="60">
        <v>56</v>
      </c>
      <c r="P14" s="61">
        <v>25578</v>
      </c>
      <c r="Q14" s="62" t="s">
        <v>112</v>
      </c>
      <c r="R14" s="14" t="s">
        <v>113</v>
      </c>
      <c r="S14" s="63">
        <v>14900</v>
      </c>
      <c r="T14" s="74"/>
      <c r="U14" s="14" t="s">
        <v>50</v>
      </c>
      <c r="V14" s="64">
        <v>13</v>
      </c>
      <c r="W14" s="14"/>
      <c r="X14" s="65">
        <v>71000</v>
      </c>
    </row>
    <row r="15" spans="1:24">
      <c r="A15" t="s">
        <v>81</v>
      </c>
      <c r="B15" s="85" t="s">
        <v>712</v>
      </c>
      <c r="C15" t="s">
        <v>858</v>
      </c>
      <c r="D15" s="1">
        <v>35</v>
      </c>
      <c r="E15" s="30">
        <v>33417</v>
      </c>
      <c r="F15" s="85" t="s">
        <v>172</v>
      </c>
      <c r="G15" t="s">
        <v>149</v>
      </c>
      <c r="H15" s="48">
        <v>12400</v>
      </c>
      <c r="I15" s="48">
        <v>36000</v>
      </c>
      <c r="J15" t="s">
        <v>50</v>
      </c>
      <c r="M15" s="23">
        <v>71500</v>
      </c>
      <c r="N15" s="15" t="s">
        <v>1000</v>
      </c>
      <c r="O15" s="66">
        <v>35</v>
      </c>
      <c r="P15" s="67">
        <v>33306</v>
      </c>
      <c r="Q15" s="68" t="s">
        <v>83</v>
      </c>
      <c r="R15" s="15" t="s">
        <v>303</v>
      </c>
      <c r="S15" s="69">
        <v>9700</v>
      </c>
      <c r="T15" s="70"/>
      <c r="U15" s="15" t="s">
        <v>50</v>
      </c>
      <c r="V15" s="71">
        <v>20</v>
      </c>
      <c r="W15" s="15"/>
      <c r="X15" s="73">
        <v>31000</v>
      </c>
    </row>
    <row r="16" spans="1:24">
      <c r="A16" t="s">
        <v>812</v>
      </c>
      <c r="B16" s="85" t="s">
        <v>989</v>
      </c>
      <c r="C16" t="s">
        <v>990</v>
      </c>
      <c r="D16" s="1">
        <v>64</v>
      </c>
      <c r="E16" s="30">
        <v>22845</v>
      </c>
      <c r="F16" s="85" t="s">
        <v>242</v>
      </c>
      <c r="G16" t="s">
        <v>456</v>
      </c>
      <c r="H16" s="48">
        <v>94000</v>
      </c>
      <c r="I16" s="48"/>
      <c r="J16" t="s">
        <v>50</v>
      </c>
      <c r="M16" s="23">
        <v>14500</v>
      </c>
      <c r="N16" s="14" t="s">
        <v>843</v>
      </c>
      <c r="O16" s="60">
        <v>72</v>
      </c>
      <c r="P16" s="61">
        <v>19852</v>
      </c>
      <c r="Q16" s="62" t="s">
        <v>302</v>
      </c>
      <c r="R16" s="14" t="s">
        <v>303</v>
      </c>
      <c r="S16" s="63">
        <v>27100</v>
      </c>
      <c r="T16" s="74">
        <v>71000</v>
      </c>
      <c r="U16" s="14" t="s">
        <v>50</v>
      </c>
      <c r="V16" s="64">
        <v>32</v>
      </c>
      <c r="W16" s="14"/>
      <c r="X16" s="65">
        <v>29500</v>
      </c>
    </row>
    <row r="17" spans="1:34">
      <c r="A17" t="s">
        <v>76</v>
      </c>
      <c r="B17" s="85" t="s">
        <v>936</v>
      </c>
      <c r="C17" t="s">
        <v>937</v>
      </c>
      <c r="D17" s="1">
        <v>36</v>
      </c>
      <c r="E17" s="30">
        <v>32908</v>
      </c>
      <c r="F17" s="85" t="s">
        <v>121</v>
      </c>
      <c r="G17" t="s">
        <v>122</v>
      </c>
      <c r="H17" s="48">
        <v>16600</v>
      </c>
      <c r="I17" s="48">
        <v>23500</v>
      </c>
      <c r="J17" t="s">
        <v>50</v>
      </c>
      <c r="M17" s="23">
        <v>21500</v>
      </c>
      <c r="N17" s="15" t="s">
        <v>1002</v>
      </c>
      <c r="O17" s="66">
        <v>52</v>
      </c>
      <c r="P17" s="67">
        <v>27214</v>
      </c>
      <c r="Q17" s="68" t="s">
        <v>172</v>
      </c>
      <c r="R17" s="68" t="s">
        <v>149</v>
      </c>
      <c r="S17" s="69">
        <v>17500</v>
      </c>
      <c r="T17" s="70"/>
      <c r="U17" s="15" t="s">
        <v>50</v>
      </c>
      <c r="V17" s="71">
        <v>0</v>
      </c>
      <c r="W17" s="15"/>
      <c r="X17" s="73">
        <v>42500</v>
      </c>
    </row>
    <row r="18" spans="1:34">
      <c r="A18" t="s">
        <v>76</v>
      </c>
      <c r="B18" s="85" t="s">
        <v>979</v>
      </c>
      <c r="C18" t="s">
        <v>980</v>
      </c>
      <c r="D18" s="1">
        <v>26</v>
      </c>
      <c r="E18" s="30">
        <v>36757</v>
      </c>
      <c r="F18" s="85" t="s">
        <v>215</v>
      </c>
      <c r="G18" t="s">
        <v>149</v>
      </c>
      <c r="H18" s="48">
        <v>18400</v>
      </c>
      <c r="I18" s="48">
        <v>0</v>
      </c>
      <c r="J18" t="s">
        <v>51</v>
      </c>
      <c r="M18" s="23">
        <v>89500</v>
      </c>
      <c r="N18" s="14" t="s">
        <v>945</v>
      </c>
      <c r="O18" s="60">
        <v>31</v>
      </c>
      <c r="P18" s="61">
        <v>34914</v>
      </c>
      <c r="Q18" s="62" t="s">
        <v>112</v>
      </c>
      <c r="R18" s="14" t="s">
        <v>113</v>
      </c>
      <c r="S18" s="63">
        <v>20800</v>
      </c>
      <c r="T18" s="74">
        <v>17500</v>
      </c>
      <c r="U18" s="14" t="s">
        <v>50</v>
      </c>
      <c r="V18" s="64">
        <v>35</v>
      </c>
      <c r="W18" s="14"/>
      <c r="X18" s="65">
        <v>58000</v>
      </c>
    </row>
    <row r="19" spans="1:34">
      <c r="A19" t="s">
        <v>81</v>
      </c>
      <c r="B19" t="s">
        <v>136</v>
      </c>
      <c r="C19" t="s">
        <v>965</v>
      </c>
      <c r="D19" s="1">
        <v>47</v>
      </c>
      <c r="E19" s="30">
        <v>29064</v>
      </c>
      <c r="F19" s="85" t="s">
        <v>138</v>
      </c>
      <c r="G19" t="s">
        <v>139</v>
      </c>
      <c r="H19" s="48">
        <v>13300</v>
      </c>
      <c r="I19" s="48">
        <v>1000</v>
      </c>
      <c r="J19" t="s">
        <v>51</v>
      </c>
      <c r="M19" s="23">
        <v>39500</v>
      </c>
      <c r="V19" s="85"/>
      <c r="W19" s="85"/>
      <c r="X19" s="85"/>
      <c r="AA19" s="47"/>
      <c r="AB19" s="85"/>
      <c r="AH19" s="85"/>
    </row>
    <row r="20" spans="1:34">
      <c r="A20" t="s">
        <v>76</v>
      </c>
      <c r="B20" s="85" t="s">
        <v>954</v>
      </c>
      <c r="C20" t="s">
        <v>800</v>
      </c>
      <c r="D20" s="1">
        <v>49</v>
      </c>
      <c r="E20" s="30">
        <v>28126</v>
      </c>
      <c r="F20" s="85" t="s">
        <v>955</v>
      </c>
      <c r="G20" t="s">
        <v>149</v>
      </c>
      <c r="H20" s="48">
        <v>20300</v>
      </c>
      <c r="I20" s="48">
        <v>12000</v>
      </c>
      <c r="J20" t="s">
        <v>51</v>
      </c>
      <c r="K20" s="1">
        <v>27</v>
      </c>
      <c r="M20" s="23">
        <v>67500</v>
      </c>
      <c r="N20" s="44" t="s">
        <v>61</v>
      </c>
      <c r="W20" s="52"/>
      <c r="X20" s="52"/>
      <c r="Z20"/>
      <c r="AA20"/>
    </row>
    <row r="21" spans="1:34">
      <c r="A21" t="s">
        <v>76</v>
      </c>
      <c r="B21" s="85" t="s">
        <v>991</v>
      </c>
      <c r="C21" t="s">
        <v>992</v>
      </c>
      <c r="D21" s="1">
        <v>73</v>
      </c>
      <c r="E21" s="30">
        <v>19364</v>
      </c>
      <c r="F21" s="85" t="s">
        <v>215</v>
      </c>
      <c r="G21" t="s">
        <v>149</v>
      </c>
      <c r="H21" s="48">
        <v>16500</v>
      </c>
      <c r="I21" s="48"/>
      <c r="J21" t="s">
        <v>50</v>
      </c>
      <c r="K21" s="1">
        <v>11</v>
      </c>
      <c r="M21" s="23">
        <v>33500</v>
      </c>
      <c r="W21" s="52"/>
      <c r="X21" s="52"/>
      <c r="Z21"/>
      <c r="AA21"/>
    </row>
    <row r="22" spans="1:34" s="44" customFormat="1">
      <c r="A22" t="s">
        <v>76</v>
      </c>
      <c r="B22" s="85" t="s">
        <v>993</v>
      </c>
      <c r="C22" t="s">
        <v>994</v>
      </c>
      <c r="D22" s="1">
        <v>26</v>
      </c>
      <c r="E22" s="30">
        <v>36422</v>
      </c>
      <c r="F22" s="85" t="s">
        <v>89</v>
      </c>
      <c r="G22" t="s">
        <v>413</v>
      </c>
      <c r="H22" s="48">
        <v>8900</v>
      </c>
      <c r="I22" s="48"/>
      <c r="J22"/>
      <c r="K22" s="1">
        <v>17</v>
      </c>
      <c r="L22"/>
      <c r="M22" s="23">
        <v>11000</v>
      </c>
      <c r="W22" s="53"/>
      <c r="X22" s="53"/>
    </row>
    <row r="23" spans="1:34">
      <c r="A23" t="s">
        <v>76</v>
      </c>
      <c r="B23" s="85" t="s">
        <v>721</v>
      </c>
      <c r="C23" t="s">
        <v>963</v>
      </c>
      <c r="D23" s="1">
        <v>33</v>
      </c>
      <c r="E23" s="30">
        <v>33892</v>
      </c>
      <c r="F23" s="85" t="s">
        <v>127</v>
      </c>
      <c r="G23" t="s">
        <v>122</v>
      </c>
      <c r="H23" s="48">
        <v>29200</v>
      </c>
      <c r="I23" s="48">
        <v>3000</v>
      </c>
      <c r="J23" t="s">
        <v>51</v>
      </c>
      <c r="K23" s="1">
        <v>40</v>
      </c>
      <c r="M23" s="23">
        <v>26000</v>
      </c>
      <c r="W23" s="52"/>
      <c r="X23" s="52"/>
      <c r="Z23"/>
      <c r="AA23"/>
    </row>
    <row r="24" spans="1:34">
      <c r="A24" t="s">
        <v>76</v>
      </c>
      <c r="B24" s="85" t="s">
        <v>906</v>
      </c>
      <c r="C24" t="s">
        <v>907</v>
      </c>
      <c r="D24" s="1">
        <v>67</v>
      </c>
      <c r="E24" s="30">
        <v>21671</v>
      </c>
      <c r="F24" s="85" t="s">
        <v>83</v>
      </c>
      <c r="G24" t="s">
        <v>303</v>
      </c>
      <c r="H24" s="48">
        <v>6500</v>
      </c>
      <c r="I24" s="48">
        <v>42500</v>
      </c>
      <c r="J24" t="s">
        <v>51</v>
      </c>
      <c r="K24" s="1">
        <v>3</v>
      </c>
      <c r="M24" s="23">
        <v>8000</v>
      </c>
      <c r="W24" s="52"/>
      <c r="X24" s="52"/>
      <c r="Z24"/>
      <c r="AA24"/>
    </row>
    <row r="25" spans="1:34">
      <c r="A25" t="s">
        <v>76</v>
      </c>
      <c r="B25" s="85" t="s">
        <v>981</v>
      </c>
      <c r="C25" t="s">
        <v>982</v>
      </c>
      <c r="D25" s="1">
        <v>72</v>
      </c>
      <c r="E25" s="30">
        <v>19801</v>
      </c>
      <c r="F25" s="85" t="s">
        <v>223</v>
      </c>
      <c r="G25" t="s">
        <v>413</v>
      </c>
      <c r="H25" s="48">
        <v>10200</v>
      </c>
      <c r="I25" s="48">
        <v>0</v>
      </c>
      <c r="J25" t="s">
        <v>50</v>
      </c>
      <c r="K25" s="1">
        <v>27</v>
      </c>
      <c r="M25" s="23">
        <v>99500</v>
      </c>
      <c r="W25" s="52"/>
      <c r="X25" s="52"/>
      <c r="Z25"/>
      <c r="AA25"/>
    </row>
    <row r="26" spans="1:34">
      <c r="A26" t="s">
        <v>76</v>
      </c>
      <c r="B26" s="85" t="s">
        <v>848</v>
      </c>
      <c r="C26" t="s">
        <v>849</v>
      </c>
      <c r="D26" s="1">
        <v>35</v>
      </c>
      <c r="E26" s="30">
        <v>33370</v>
      </c>
      <c r="F26" s="85" t="s">
        <v>89</v>
      </c>
      <c r="G26" t="s">
        <v>413</v>
      </c>
      <c r="H26" s="48">
        <v>5600</v>
      </c>
      <c r="I26" s="48">
        <v>69500</v>
      </c>
      <c r="J26" t="s">
        <v>50</v>
      </c>
      <c r="K26" s="1">
        <v>13</v>
      </c>
      <c r="M26" s="23">
        <v>43500</v>
      </c>
      <c r="W26" s="52"/>
      <c r="X26" s="52"/>
      <c r="Z26"/>
      <c r="AA26"/>
    </row>
    <row r="27" spans="1:34">
      <c r="A27" t="s">
        <v>76</v>
      </c>
      <c r="B27" s="85" t="s">
        <v>477</v>
      </c>
      <c r="C27" t="s">
        <v>916</v>
      </c>
      <c r="D27" s="1">
        <v>33</v>
      </c>
      <c r="E27" s="30">
        <v>34084</v>
      </c>
      <c r="F27" s="85" t="s">
        <v>154</v>
      </c>
      <c r="G27" t="s">
        <v>142</v>
      </c>
      <c r="H27" s="48">
        <v>29700</v>
      </c>
      <c r="I27" s="48">
        <v>38000</v>
      </c>
      <c r="J27" t="s">
        <v>51</v>
      </c>
      <c r="K27" s="1">
        <v>41</v>
      </c>
      <c r="M27" s="23">
        <v>83500</v>
      </c>
      <c r="W27" s="52"/>
      <c r="X27" s="52"/>
      <c r="Z27"/>
      <c r="AA27"/>
    </row>
    <row r="28" spans="1:34">
      <c r="A28" t="s">
        <v>76</v>
      </c>
      <c r="B28" s="85" t="s">
        <v>995</v>
      </c>
      <c r="C28" t="s">
        <v>996</v>
      </c>
      <c r="D28" s="1">
        <v>58</v>
      </c>
      <c r="E28" s="30">
        <v>24777</v>
      </c>
      <c r="F28" s="85" t="s">
        <v>79</v>
      </c>
      <c r="G28" t="s">
        <v>80</v>
      </c>
      <c r="H28" s="48">
        <v>22200</v>
      </c>
      <c r="I28" s="48"/>
      <c r="J28" t="s">
        <v>50</v>
      </c>
      <c r="K28" s="1">
        <v>42</v>
      </c>
      <c r="M28" s="23">
        <v>33000</v>
      </c>
      <c r="W28" s="52"/>
      <c r="X28" s="52"/>
      <c r="Z28"/>
      <c r="AA28"/>
    </row>
    <row r="29" spans="1:34">
      <c r="A29" t="s">
        <v>81</v>
      </c>
      <c r="B29" s="85" t="s">
        <v>818</v>
      </c>
      <c r="C29" t="s">
        <v>502</v>
      </c>
      <c r="D29" s="1">
        <v>65</v>
      </c>
      <c r="E29" s="30">
        <v>22205</v>
      </c>
      <c r="F29" s="85" t="s">
        <v>141</v>
      </c>
      <c r="G29" t="s">
        <v>142</v>
      </c>
      <c r="H29" s="48">
        <v>19800</v>
      </c>
      <c r="I29" s="48">
        <v>78500</v>
      </c>
      <c r="J29" t="s">
        <v>50</v>
      </c>
      <c r="K29" s="1">
        <v>34</v>
      </c>
      <c r="M29" s="23">
        <v>84000</v>
      </c>
      <c r="W29" s="52"/>
      <c r="X29" s="52"/>
      <c r="Z29"/>
      <c r="AA29"/>
    </row>
    <row r="30" spans="1:34">
      <c r="A30" t="s">
        <v>81</v>
      </c>
      <c r="B30" s="85" t="s">
        <v>775</v>
      </c>
      <c r="C30" t="s">
        <v>956</v>
      </c>
      <c r="D30" s="1">
        <v>38</v>
      </c>
      <c r="E30" s="30" t="s">
        <v>957</v>
      </c>
      <c r="F30" s="85" t="s">
        <v>1011</v>
      </c>
      <c r="G30" t="s">
        <v>413</v>
      </c>
      <c r="H30" s="48">
        <v>23600</v>
      </c>
      <c r="I30" s="48"/>
      <c r="J30" t="s">
        <v>50</v>
      </c>
      <c r="M30" s="23">
        <v>28500</v>
      </c>
      <c r="W30" s="52"/>
      <c r="X30" s="52"/>
      <c r="Z30"/>
      <c r="AA30"/>
    </row>
    <row r="31" spans="1:34">
      <c r="A31" t="s">
        <v>76</v>
      </c>
      <c r="B31" s="85" t="s">
        <v>579</v>
      </c>
      <c r="C31" t="s">
        <v>872</v>
      </c>
      <c r="D31" s="1">
        <v>60</v>
      </c>
      <c r="E31" s="30">
        <v>24100</v>
      </c>
      <c r="F31" s="85" t="s">
        <v>138</v>
      </c>
      <c r="G31" t="s">
        <v>139</v>
      </c>
      <c r="H31" s="48">
        <v>9700</v>
      </c>
      <c r="I31" s="48">
        <v>61000</v>
      </c>
      <c r="J31" t="s">
        <v>51</v>
      </c>
      <c r="K31" s="1">
        <v>9</v>
      </c>
      <c r="M31" s="23">
        <v>88000</v>
      </c>
      <c r="W31" s="52"/>
      <c r="X31" s="52"/>
      <c r="Z31"/>
      <c r="AA31"/>
    </row>
    <row r="32" spans="1:34">
      <c r="A32" t="s">
        <v>76</v>
      </c>
      <c r="B32" s="85" t="s">
        <v>997</v>
      </c>
      <c r="C32" t="s">
        <v>998</v>
      </c>
      <c r="D32" s="1">
        <v>56</v>
      </c>
      <c r="E32" s="30">
        <v>25578</v>
      </c>
      <c r="F32" s="85" t="s">
        <v>112</v>
      </c>
      <c r="G32" t="s">
        <v>113</v>
      </c>
      <c r="H32" s="48">
        <v>14900</v>
      </c>
      <c r="I32" s="48"/>
      <c r="J32" t="s">
        <v>50</v>
      </c>
      <c r="K32" s="1">
        <v>13</v>
      </c>
      <c r="M32" s="23">
        <v>71000</v>
      </c>
      <c r="W32" s="52"/>
      <c r="X32" s="52"/>
      <c r="Z32"/>
      <c r="AA32"/>
    </row>
    <row r="33" spans="1:27">
      <c r="A33" t="s">
        <v>76</v>
      </c>
      <c r="B33" s="85" t="s">
        <v>999</v>
      </c>
      <c r="C33" t="s">
        <v>1000</v>
      </c>
      <c r="D33" s="1">
        <v>35</v>
      </c>
      <c r="E33" s="30">
        <v>33306</v>
      </c>
      <c r="F33" s="85" t="s">
        <v>83</v>
      </c>
      <c r="G33" t="s">
        <v>303</v>
      </c>
      <c r="H33" s="48">
        <v>9700</v>
      </c>
      <c r="I33" s="48"/>
      <c r="J33" t="s">
        <v>50</v>
      </c>
      <c r="K33" s="1">
        <v>20</v>
      </c>
      <c r="M33" s="23">
        <v>31000</v>
      </c>
      <c r="W33" s="52"/>
      <c r="X33" s="52"/>
      <c r="Z33"/>
      <c r="AA33"/>
    </row>
    <row r="34" spans="1:27">
      <c r="A34" t="s">
        <v>76</v>
      </c>
      <c r="B34" s="85" t="s">
        <v>842</v>
      </c>
      <c r="C34" t="s">
        <v>843</v>
      </c>
      <c r="D34" s="1">
        <v>72</v>
      </c>
      <c r="E34" s="30">
        <v>19852</v>
      </c>
      <c r="F34" s="85" t="s">
        <v>302</v>
      </c>
      <c r="G34" t="s">
        <v>303</v>
      </c>
      <c r="H34" s="48">
        <v>27100</v>
      </c>
      <c r="I34" s="48">
        <v>71000</v>
      </c>
      <c r="J34" t="s">
        <v>50</v>
      </c>
      <c r="K34" s="1">
        <v>32</v>
      </c>
      <c r="M34" s="23">
        <v>29500</v>
      </c>
      <c r="W34" s="52"/>
      <c r="X34" s="52"/>
      <c r="Z34"/>
      <c r="AA34"/>
    </row>
    <row r="35" spans="1:27">
      <c r="A35" t="s">
        <v>76</v>
      </c>
      <c r="B35" s="85" t="s">
        <v>1001</v>
      </c>
      <c r="C35" t="s">
        <v>1002</v>
      </c>
      <c r="D35" s="1">
        <v>52</v>
      </c>
      <c r="E35" s="30">
        <v>27214</v>
      </c>
      <c r="F35" s="85" t="s">
        <v>172</v>
      </c>
      <c r="G35" t="s">
        <v>149</v>
      </c>
      <c r="H35" s="48">
        <v>17500</v>
      </c>
      <c r="I35" s="48"/>
      <c r="J35" t="s">
        <v>50</v>
      </c>
      <c r="K35" s="1">
        <v>0</v>
      </c>
      <c r="M35" s="23">
        <v>42500</v>
      </c>
      <c r="W35" s="52"/>
      <c r="X35" s="52"/>
      <c r="Z35"/>
      <c r="AA35"/>
    </row>
    <row r="36" spans="1:27">
      <c r="A36" t="s">
        <v>76</v>
      </c>
      <c r="B36" s="85" t="s">
        <v>944</v>
      </c>
      <c r="C36" t="s">
        <v>945</v>
      </c>
      <c r="D36" s="1">
        <v>31</v>
      </c>
      <c r="E36" s="30">
        <v>34914</v>
      </c>
      <c r="F36" s="85" t="s">
        <v>112</v>
      </c>
      <c r="G36" t="s">
        <v>113</v>
      </c>
      <c r="H36" s="48">
        <v>20800</v>
      </c>
      <c r="I36" s="48">
        <v>17500</v>
      </c>
      <c r="J36" t="s">
        <v>50</v>
      </c>
      <c r="K36" s="1">
        <v>35</v>
      </c>
      <c r="M36" s="23">
        <v>58000</v>
      </c>
      <c r="W36" s="52"/>
      <c r="X36" s="52"/>
      <c r="Z36"/>
      <c r="AA36"/>
    </row>
    <row r="37" spans="1:27">
      <c r="W37" s="52"/>
      <c r="X37" s="52"/>
      <c r="Z37"/>
      <c r="AA37"/>
    </row>
    <row r="359" spans="4:4">
      <c r="D359" s="1" t="s">
        <v>1012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231B-A15A-4145-85EB-B5ACC0BC0C00}">
  <dimension ref="A1:AW37"/>
  <sheetViews>
    <sheetView topLeftCell="A2" workbookViewId="0">
      <selection activeCell="K22" sqref="K22"/>
    </sheetView>
  </sheetViews>
  <sheetFormatPr defaultRowHeight="15"/>
  <cols>
    <col min="1" max="1" width="8.85546875" bestFit="1" customWidth="1"/>
    <col min="2" max="2" width="20.85546875" bestFit="1" customWidth="1"/>
    <col min="3" max="3" width="15.5703125" bestFit="1" customWidth="1"/>
    <col min="4" max="4" width="8.42578125" bestFit="1" customWidth="1"/>
    <col min="5" max="5" width="30.7109375" bestFit="1" customWidth="1"/>
    <col min="6" max="6" width="9.28515625" bestFit="1" customWidth="1"/>
    <col min="7" max="7" width="10.7109375" bestFit="1" customWidth="1"/>
    <col min="8" max="8" width="13.7109375" bestFit="1" customWidth="1"/>
    <col min="9" max="9" width="10.7109375" bestFit="1" customWidth="1"/>
    <col min="10" max="10" width="21.28515625" bestFit="1" customWidth="1"/>
    <col min="11" max="11" width="15.7109375" bestFit="1" customWidth="1"/>
    <col min="12" max="12" width="26.42578125" bestFit="1" customWidth="1"/>
    <col min="13" max="13" width="17.42578125" bestFit="1" customWidth="1"/>
    <col min="14" max="14" width="16.7109375" bestFit="1" customWidth="1"/>
    <col min="15" max="15" width="11.140625" bestFit="1" customWidth="1"/>
    <col min="16" max="16" width="27.140625" bestFit="1" customWidth="1"/>
    <col min="17" max="17" width="24.42578125" bestFit="1" customWidth="1"/>
    <col min="18" max="18" width="11.7109375" bestFit="1" customWidth="1"/>
    <col min="19" max="19" width="17.140625" bestFit="1" customWidth="1"/>
    <col min="20" max="20" width="12" customWidth="1"/>
    <col min="29" max="29" width="8.85546875" bestFit="1" customWidth="1"/>
    <col min="30" max="30" width="20.85546875" bestFit="1" customWidth="1"/>
    <col min="31" max="31" width="15.28515625" bestFit="1" customWidth="1"/>
    <col min="32" max="32" width="8.42578125" bestFit="1" customWidth="1"/>
    <col min="33" max="33" width="10.7109375" bestFit="1" customWidth="1"/>
    <col min="34" max="34" width="29.85546875" bestFit="1" customWidth="1"/>
    <col min="35" max="35" width="10.7109375" bestFit="1" customWidth="1"/>
    <col min="36" max="36" width="9.28515625" bestFit="1" customWidth="1"/>
    <col min="37" max="39" width="10.7109375" bestFit="1" customWidth="1"/>
    <col min="40" max="40" width="21.28515625" bestFit="1" customWidth="1"/>
    <col min="41" max="41" width="15.7109375" bestFit="1" customWidth="1"/>
    <col min="42" max="42" width="17.42578125" bestFit="1" customWidth="1"/>
    <col min="43" max="43" width="10.85546875" bestFit="1" customWidth="1"/>
    <col min="44" max="44" width="9.5703125" bestFit="1" customWidth="1"/>
    <col min="45" max="45" width="10.7109375" bestFit="1" customWidth="1"/>
    <col min="46" max="46" width="27.140625" bestFit="1" customWidth="1"/>
    <col min="47" max="47" width="10.7109375" bestFit="1" customWidth="1"/>
    <col min="48" max="48" width="17.140625" bestFit="1" customWidth="1"/>
    <col min="49" max="49" width="10.7109375" bestFit="1" customWidth="1"/>
  </cols>
  <sheetData>
    <row r="1" spans="1:49">
      <c r="C1" s="85"/>
      <c r="F1" s="90"/>
      <c r="G1" s="90"/>
      <c r="H1" s="90"/>
      <c r="I1" s="90"/>
      <c r="M1" s="90"/>
      <c r="N1" s="90"/>
      <c r="Q1" s="90"/>
      <c r="R1" s="90"/>
      <c r="AC1" s="44" t="s">
        <v>61</v>
      </c>
      <c r="AD1" s="44" t="s">
        <v>62</v>
      </c>
      <c r="AE1" s="44" t="s">
        <v>63</v>
      </c>
      <c r="AF1" s="44" t="s">
        <v>65</v>
      </c>
      <c r="AG1" s="44" t="s">
        <v>802</v>
      </c>
      <c r="AH1" s="45" t="s">
        <v>1003</v>
      </c>
      <c r="AI1" s="45" t="s">
        <v>1013</v>
      </c>
      <c r="AJ1" s="45" t="s">
        <v>67</v>
      </c>
      <c r="AK1" s="45" t="s">
        <v>1014</v>
      </c>
      <c r="AL1" s="45" t="s">
        <v>1015</v>
      </c>
      <c r="AM1" s="45" t="s">
        <v>1016</v>
      </c>
      <c r="AN1" s="44" t="s">
        <v>1017</v>
      </c>
      <c r="AO1" s="44" t="s">
        <v>1004</v>
      </c>
      <c r="AP1" s="44" t="s">
        <v>1005</v>
      </c>
      <c r="AQ1" s="44" t="s">
        <v>1018</v>
      </c>
      <c r="AR1" s="44" t="s">
        <v>1019</v>
      </c>
      <c r="AS1" s="44" t="s">
        <v>1020</v>
      </c>
      <c r="AT1" s="45" t="s">
        <v>1021</v>
      </c>
      <c r="AU1" s="45" t="s">
        <v>1022</v>
      </c>
      <c r="AV1" s="85" t="s">
        <v>1009</v>
      </c>
      <c r="AW1" s="85" t="s">
        <v>1023</v>
      </c>
    </row>
    <row r="2" spans="1:49" s="44" customFormat="1">
      <c r="A2" s="44" t="s">
        <v>61</v>
      </c>
      <c r="B2" s="45" t="s">
        <v>62</v>
      </c>
      <c r="C2" s="44" t="s">
        <v>63</v>
      </c>
      <c r="D2" s="44" t="s">
        <v>65</v>
      </c>
      <c r="E2" s="44" t="s">
        <v>1003</v>
      </c>
      <c r="F2" s="45" t="s">
        <v>67</v>
      </c>
      <c r="G2" s="45" t="s">
        <v>1014</v>
      </c>
      <c r="H2" s="45" t="s">
        <v>1015</v>
      </c>
      <c r="I2" s="45" t="s">
        <v>1016</v>
      </c>
      <c r="J2" s="44" t="s">
        <v>1020</v>
      </c>
      <c r="K2" s="44" t="s">
        <v>68</v>
      </c>
      <c r="L2" s="44" t="s">
        <v>1004</v>
      </c>
      <c r="M2" s="45" t="s">
        <v>1005</v>
      </c>
      <c r="N2" s="45" t="s">
        <v>1022</v>
      </c>
      <c r="O2" s="44" t="s">
        <v>1023</v>
      </c>
      <c r="P2" s="44" t="s">
        <v>1006</v>
      </c>
      <c r="Q2" s="45" t="s">
        <v>1024</v>
      </c>
      <c r="R2" s="45" t="s">
        <v>1025</v>
      </c>
      <c r="S2" s="1" t="s">
        <v>1009</v>
      </c>
      <c r="T2" s="1" t="s">
        <v>1026</v>
      </c>
      <c r="AC2" t="s">
        <v>76</v>
      </c>
      <c r="AD2" t="s">
        <v>1027</v>
      </c>
      <c r="AE2" t="s">
        <v>1028</v>
      </c>
      <c r="AF2"/>
      <c r="AG2">
        <v>49</v>
      </c>
      <c r="AH2">
        <v>1</v>
      </c>
      <c r="AI2" s="85" t="s">
        <v>1029</v>
      </c>
      <c r="AJ2" s="85"/>
      <c r="AK2" t="s">
        <v>1030</v>
      </c>
      <c r="AL2" s="85" t="s">
        <v>1031</v>
      </c>
      <c r="AM2" s="85"/>
      <c r="AN2" t="s">
        <v>216</v>
      </c>
      <c r="AO2">
        <v>20300</v>
      </c>
      <c r="AP2"/>
      <c r="AQ2" t="s">
        <v>1032</v>
      </c>
      <c r="AR2"/>
      <c r="AS2"/>
      <c r="AT2">
        <v>27</v>
      </c>
      <c r="AU2" t="s">
        <v>51</v>
      </c>
      <c r="AV2" s="85">
        <v>67500</v>
      </c>
      <c r="AW2" s="85"/>
    </row>
    <row r="3" spans="1:49">
      <c r="A3" t="s">
        <v>76</v>
      </c>
      <c r="B3" s="85" t="s">
        <v>944</v>
      </c>
      <c r="C3" s="13" t="s">
        <v>945</v>
      </c>
      <c r="D3" s="1">
        <v>31</v>
      </c>
      <c r="E3" s="85" t="s">
        <v>1033</v>
      </c>
      <c r="F3" s="85" t="s">
        <v>112</v>
      </c>
      <c r="G3" s="85"/>
      <c r="H3" s="85"/>
      <c r="I3" s="85"/>
      <c r="K3" t="s">
        <v>1034</v>
      </c>
      <c r="L3" t="s">
        <v>788</v>
      </c>
      <c r="M3" s="85"/>
      <c r="N3" s="85"/>
      <c r="O3" t="s">
        <v>1035</v>
      </c>
      <c r="R3" t="s">
        <v>190</v>
      </c>
      <c r="S3" s="85">
        <v>58000</v>
      </c>
      <c r="T3" s="85"/>
      <c r="AC3" t="s">
        <v>105</v>
      </c>
      <c r="AD3" t="s">
        <v>991</v>
      </c>
      <c r="AE3" t="s">
        <v>992</v>
      </c>
      <c r="AF3" s="85"/>
      <c r="AG3" s="85">
        <v>73</v>
      </c>
      <c r="AH3" s="85" t="s">
        <v>1036</v>
      </c>
      <c r="AI3" s="85"/>
      <c r="AJ3" s="85"/>
      <c r="AK3" s="85"/>
      <c r="AL3" s="85"/>
      <c r="AM3" s="85"/>
      <c r="AN3" t="s">
        <v>149</v>
      </c>
      <c r="AO3" s="13">
        <v>16500</v>
      </c>
      <c r="AP3" s="85" t="s">
        <v>1037</v>
      </c>
      <c r="AQ3" s="85"/>
      <c r="AT3">
        <v>11</v>
      </c>
      <c r="AU3" t="s">
        <v>50</v>
      </c>
      <c r="AV3" s="85">
        <v>33500</v>
      </c>
      <c r="AW3" s="85"/>
    </row>
    <row r="4" spans="1:49">
      <c r="A4" t="s">
        <v>76</v>
      </c>
      <c r="B4" s="85" t="s">
        <v>987</v>
      </c>
      <c r="C4" s="13" t="s">
        <v>988</v>
      </c>
      <c r="D4" s="1">
        <v>70</v>
      </c>
      <c r="E4" s="85" t="s">
        <v>1038</v>
      </c>
      <c r="F4" s="44" t="s">
        <v>127</v>
      </c>
      <c r="G4" s="85"/>
      <c r="H4" s="85"/>
      <c r="I4" s="85"/>
      <c r="K4" s="85" t="s">
        <v>122</v>
      </c>
      <c r="L4" s="85" t="s">
        <v>1039</v>
      </c>
      <c r="M4" s="85"/>
      <c r="N4" s="85"/>
      <c r="O4" t="s">
        <v>50</v>
      </c>
      <c r="R4" t="s">
        <v>50</v>
      </c>
      <c r="S4" s="85">
        <v>91000</v>
      </c>
      <c r="T4" s="85"/>
      <c r="AC4" t="s">
        <v>76</v>
      </c>
      <c r="AD4" t="s">
        <v>993</v>
      </c>
      <c r="AE4" t="s">
        <v>994</v>
      </c>
      <c r="AF4" s="85"/>
      <c r="AG4" s="85">
        <v>26</v>
      </c>
      <c r="AH4" s="85" t="s">
        <v>1040</v>
      </c>
      <c r="AI4" s="85"/>
      <c r="AJ4" s="85"/>
      <c r="AK4" s="85"/>
      <c r="AL4" s="85"/>
      <c r="AM4" s="85"/>
      <c r="AN4" t="s">
        <v>331</v>
      </c>
      <c r="AO4" s="12">
        <v>8900</v>
      </c>
      <c r="AP4" s="85">
        <v>72000</v>
      </c>
      <c r="AQ4" s="85"/>
      <c r="AT4">
        <v>17</v>
      </c>
      <c r="AV4" s="85">
        <v>11000</v>
      </c>
      <c r="AW4" s="85"/>
    </row>
    <row r="5" spans="1:49">
      <c r="A5" t="s">
        <v>81</v>
      </c>
      <c r="B5" s="85" t="s">
        <v>833</v>
      </c>
      <c r="C5" t="s">
        <v>834</v>
      </c>
      <c r="D5" s="1">
        <v>57</v>
      </c>
      <c r="E5" s="85" t="s">
        <v>1041</v>
      </c>
      <c r="F5" s="85" t="s">
        <v>835</v>
      </c>
      <c r="G5" s="85"/>
      <c r="H5" s="85"/>
      <c r="I5" s="85"/>
      <c r="K5" t="s">
        <v>149</v>
      </c>
      <c r="L5" s="40">
        <v>26300</v>
      </c>
      <c r="M5" s="85"/>
      <c r="N5" s="85"/>
      <c r="O5" t="s">
        <v>1042</v>
      </c>
      <c r="R5" t="s">
        <v>51</v>
      </c>
      <c r="S5" s="85">
        <v>44000</v>
      </c>
      <c r="T5" s="85"/>
      <c r="AC5" t="s">
        <v>76</v>
      </c>
      <c r="AD5" t="s">
        <v>721</v>
      </c>
      <c r="AE5" t="s">
        <v>1043</v>
      </c>
      <c r="AF5" s="85"/>
      <c r="AG5" s="85">
        <v>33</v>
      </c>
      <c r="AH5" s="85" t="s">
        <v>1044</v>
      </c>
      <c r="AI5" s="85"/>
      <c r="AJ5" s="85"/>
      <c r="AK5" s="85"/>
      <c r="AL5" s="85"/>
      <c r="AM5" s="85"/>
      <c r="AO5">
        <v>29200</v>
      </c>
      <c r="AP5" s="85" t="s">
        <v>1045</v>
      </c>
      <c r="AQ5" s="85"/>
      <c r="AT5">
        <v>40</v>
      </c>
      <c r="AU5" t="s">
        <v>51</v>
      </c>
      <c r="AV5" s="85">
        <v>26000</v>
      </c>
      <c r="AW5" s="85"/>
    </row>
    <row r="6" spans="1:49">
      <c r="A6" t="s">
        <v>76</v>
      </c>
      <c r="B6" s="85" t="s">
        <v>938</v>
      </c>
      <c r="C6" t="s">
        <v>939</v>
      </c>
      <c r="D6" s="1">
        <v>28</v>
      </c>
      <c r="E6" s="85" t="s">
        <v>1046</v>
      </c>
      <c r="F6" s="85" t="s">
        <v>169</v>
      </c>
      <c r="G6" s="85"/>
      <c r="H6" s="85"/>
      <c r="I6" s="85"/>
      <c r="K6" s="85" t="s">
        <v>139</v>
      </c>
      <c r="L6" s="85">
        <v>14600</v>
      </c>
      <c r="M6" s="85"/>
      <c r="N6" s="40">
        <v>23000</v>
      </c>
      <c r="O6" s="85"/>
      <c r="R6">
        <v>1</v>
      </c>
      <c r="S6">
        <v>99000</v>
      </c>
      <c r="AC6" t="s">
        <v>76</v>
      </c>
      <c r="AD6" t="s">
        <v>906</v>
      </c>
      <c r="AE6" t="s">
        <v>907</v>
      </c>
      <c r="AF6" s="85" t="s">
        <v>1047</v>
      </c>
      <c r="AG6" s="85"/>
      <c r="AH6" s="85" t="s">
        <v>1048</v>
      </c>
      <c r="AI6" s="85"/>
      <c r="AJ6" s="85"/>
      <c r="AK6" s="85"/>
      <c r="AL6" s="85"/>
      <c r="AM6" s="85"/>
      <c r="AN6" t="s">
        <v>1049</v>
      </c>
      <c r="AO6">
        <v>6500</v>
      </c>
      <c r="AP6" s="85" t="s">
        <v>1050</v>
      </c>
      <c r="AQ6" s="85"/>
      <c r="AT6" t="s">
        <v>1051</v>
      </c>
      <c r="AU6" t="s">
        <v>51</v>
      </c>
      <c r="AV6" s="85">
        <v>8000</v>
      </c>
      <c r="AW6" s="85"/>
    </row>
    <row r="7" spans="1:49">
      <c r="A7" t="s">
        <v>76</v>
      </c>
      <c r="B7" s="85" t="s">
        <v>845</v>
      </c>
      <c r="C7" t="s">
        <v>846</v>
      </c>
      <c r="D7" s="1">
        <v>50</v>
      </c>
      <c r="E7" s="85" t="s">
        <v>1052</v>
      </c>
      <c r="F7" s="85" t="s">
        <v>1053</v>
      </c>
      <c r="G7" s="85"/>
      <c r="H7" s="85"/>
      <c r="I7" s="85"/>
      <c r="K7" t="s">
        <v>331</v>
      </c>
      <c r="L7" s="85">
        <v>22800</v>
      </c>
      <c r="M7" s="85"/>
      <c r="N7" s="85" t="s">
        <v>1054</v>
      </c>
      <c r="O7" s="85"/>
      <c r="R7" t="s">
        <v>51</v>
      </c>
      <c r="S7">
        <v>25500</v>
      </c>
      <c r="AC7" t="s">
        <v>76</v>
      </c>
      <c r="AD7" t="s">
        <v>981</v>
      </c>
      <c r="AE7">
        <v>18300</v>
      </c>
      <c r="AF7" s="85">
        <v>72</v>
      </c>
      <c r="AG7" s="85"/>
      <c r="AH7" s="85" t="s">
        <v>1055</v>
      </c>
      <c r="AI7" s="85"/>
      <c r="AJ7" s="85"/>
      <c r="AK7" s="85"/>
      <c r="AL7" s="85"/>
      <c r="AM7" s="85"/>
      <c r="AN7" t="s">
        <v>413</v>
      </c>
      <c r="AO7">
        <v>10200</v>
      </c>
      <c r="AP7" s="85" t="s">
        <v>1056</v>
      </c>
      <c r="AQ7" s="85"/>
      <c r="AT7">
        <v>27</v>
      </c>
      <c r="AU7" t="s">
        <v>50</v>
      </c>
      <c r="AV7" s="85">
        <v>99500</v>
      </c>
      <c r="AW7" s="85"/>
    </row>
    <row r="8" spans="1:49">
      <c r="A8" t="s">
        <v>81</v>
      </c>
      <c r="B8" s="85" t="s">
        <v>826</v>
      </c>
      <c r="C8" t="s">
        <v>827</v>
      </c>
      <c r="D8" s="1">
        <v>68</v>
      </c>
      <c r="E8" s="85" t="s">
        <v>1057</v>
      </c>
      <c r="F8" s="85" t="s">
        <v>828</v>
      </c>
      <c r="G8" s="85"/>
      <c r="H8" s="85"/>
      <c r="I8" s="85"/>
      <c r="K8" t="s">
        <v>155</v>
      </c>
      <c r="L8" s="85">
        <v>2800</v>
      </c>
      <c r="M8" s="85"/>
      <c r="N8" s="85" t="s">
        <v>1058</v>
      </c>
      <c r="O8" s="85"/>
      <c r="Q8" t="s">
        <v>1059</v>
      </c>
      <c r="R8" t="s">
        <v>50</v>
      </c>
      <c r="S8">
        <v>27000</v>
      </c>
      <c r="AC8" t="s">
        <v>76</v>
      </c>
      <c r="AD8" t="s">
        <v>848</v>
      </c>
      <c r="AE8" t="s">
        <v>849</v>
      </c>
      <c r="AF8" s="85">
        <v>35</v>
      </c>
      <c r="AG8" s="85"/>
      <c r="AH8" s="85" t="s">
        <v>1060</v>
      </c>
      <c r="AI8" s="85"/>
      <c r="AJ8" s="85"/>
      <c r="AK8" s="85"/>
      <c r="AL8" s="85"/>
      <c r="AM8" s="85"/>
      <c r="AN8" t="s">
        <v>90</v>
      </c>
      <c r="AO8" s="12">
        <v>5600</v>
      </c>
      <c r="AP8" s="85" t="s">
        <v>1061</v>
      </c>
      <c r="AQ8" s="85"/>
      <c r="AT8">
        <v>13</v>
      </c>
      <c r="AU8" t="s">
        <v>50</v>
      </c>
      <c r="AV8" s="85">
        <v>43500</v>
      </c>
      <c r="AW8" s="85"/>
    </row>
    <row r="9" spans="1:49">
      <c r="A9" t="s">
        <v>76</v>
      </c>
      <c r="B9" s="85" t="s">
        <v>898</v>
      </c>
      <c r="C9" t="s">
        <v>899</v>
      </c>
      <c r="D9" s="1">
        <v>40</v>
      </c>
      <c r="E9" s="85" t="s">
        <v>1062</v>
      </c>
      <c r="F9" s="85" t="s">
        <v>1063</v>
      </c>
      <c r="G9" s="85"/>
      <c r="H9" s="85"/>
      <c r="I9" s="85"/>
      <c r="K9" t="s">
        <v>142</v>
      </c>
      <c r="L9" s="40">
        <v>21300</v>
      </c>
      <c r="M9" s="85"/>
      <c r="N9" s="85" t="s">
        <v>1064</v>
      </c>
      <c r="O9" s="85"/>
      <c r="R9" t="s">
        <v>50</v>
      </c>
      <c r="S9">
        <v>62500</v>
      </c>
      <c r="AC9" t="s">
        <v>76</v>
      </c>
      <c r="AD9" t="s">
        <v>477</v>
      </c>
      <c r="AE9" t="s">
        <v>1065</v>
      </c>
      <c r="AF9" s="85">
        <v>33</v>
      </c>
      <c r="AG9" s="85"/>
      <c r="AH9" s="85" t="s">
        <v>1066</v>
      </c>
      <c r="AI9" s="85"/>
      <c r="AJ9" s="85"/>
      <c r="AK9" s="85"/>
      <c r="AL9" s="85"/>
      <c r="AM9" s="85"/>
      <c r="AN9" t="s">
        <v>142</v>
      </c>
      <c r="AO9" s="12">
        <v>29700</v>
      </c>
      <c r="AP9" s="85" t="s">
        <v>1067</v>
      </c>
      <c r="AQ9" s="85"/>
      <c r="AT9">
        <v>41</v>
      </c>
      <c r="AU9" t="s">
        <v>51</v>
      </c>
      <c r="AV9" s="85">
        <v>83500</v>
      </c>
      <c r="AW9" s="85"/>
    </row>
    <row r="10" spans="1:49">
      <c r="A10" t="s">
        <v>812</v>
      </c>
      <c r="B10" s="85" t="s">
        <v>786</v>
      </c>
      <c r="C10" t="s">
        <v>897</v>
      </c>
      <c r="D10" s="1">
        <v>61</v>
      </c>
      <c r="E10" s="85" t="s">
        <v>1068</v>
      </c>
      <c r="F10" s="85" t="s">
        <v>835</v>
      </c>
      <c r="G10" s="85"/>
      <c r="H10" s="85"/>
      <c r="K10" t="s">
        <v>149</v>
      </c>
      <c r="L10" s="85" t="s">
        <v>1069</v>
      </c>
      <c r="M10" s="85"/>
      <c r="N10" s="85"/>
      <c r="O10" t="s">
        <v>50</v>
      </c>
      <c r="R10" t="s">
        <v>50</v>
      </c>
      <c r="S10">
        <v>48000</v>
      </c>
      <c r="AC10" t="s">
        <v>76</v>
      </c>
      <c r="AD10" t="s">
        <v>995</v>
      </c>
      <c r="AE10" t="s">
        <v>996</v>
      </c>
      <c r="AF10" s="85">
        <v>58</v>
      </c>
      <c r="AG10" s="85"/>
      <c r="AH10" s="85" t="s">
        <v>1070</v>
      </c>
      <c r="AI10" s="85"/>
      <c r="AJ10" s="85"/>
      <c r="AK10" s="85"/>
      <c r="AL10" s="85"/>
      <c r="AM10" s="85"/>
      <c r="AN10" t="s">
        <v>80</v>
      </c>
      <c r="AO10" t="s">
        <v>1071</v>
      </c>
      <c r="AP10" s="85" t="s">
        <v>1056</v>
      </c>
      <c r="AQ10" s="85"/>
      <c r="AT10">
        <v>42</v>
      </c>
      <c r="AU10" t="s">
        <v>50</v>
      </c>
      <c r="AV10" s="85">
        <v>33000</v>
      </c>
      <c r="AW10" s="85"/>
    </row>
    <row r="11" spans="1:49">
      <c r="A11" t="s">
        <v>76</v>
      </c>
      <c r="B11" s="85" t="s">
        <v>880</v>
      </c>
      <c r="C11" t="s">
        <v>881</v>
      </c>
      <c r="D11" s="1">
        <v>45</v>
      </c>
      <c r="E11" s="85" t="s">
        <v>1072</v>
      </c>
      <c r="F11" s="85" t="s">
        <v>127</v>
      </c>
      <c r="G11" s="85"/>
      <c r="H11" s="85"/>
      <c r="K11" t="s">
        <v>256</v>
      </c>
      <c r="L11" s="85">
        <v>16200</v>
      </c>
      <c r="M11" s="85"/>
      <c r="N11" s="85"/>
      <c r="O11" t="s">
        <v>1073</v>
      </c>
      <c r="R11" t="s">
        <v>50</v>
      </c>
      <c r="S11">
        <v>73500</v>
      </c>
      <c r="AC11" t="s">
        <v>81</v>
      </c>
      <c r="AD11" t="s">
        <v>501</v>
      </c>
      <c r="AE11" t="s">
        <v>1074</v>
      </c>
      <c r="AF11" s="85">
        <v>65</v>
      </c>
      <c r="AG11" s="85"/>
      <c r="AH11" s="85" t="s">
        <v>1075</v>
      </c>
      <c r="AI11" s="85"/>
      <c r="AJ11" s="85"/>
      <c r="AK11" s="85"/>
      <c r="AL11" s="85"/>
      <c r="AM11" s="85"/>
      <c r="AN11" t="s">
        <v>142</v>
      </c>
      <c r="AO11">
        <v>19800</v>
      </c>
      <c r="AP11" s="85" t="s">
        <v>1076</v>
      </c>
      <c r="AQ11" s="85"/>
      <c r="AT11">
        <v>34</v>
      </c>
      <c r="AU11" t="s">
        <v>50</v>
      </c>
      <c r="AV11" s="85">
        <v>84000</v>
      </c>
      <c r="AW11" s="85"/>
    </row>
    <row r="12" spans="1:49">
      <c r="A12" t="s">
        <v>81</v>
      </c>
      <c r="B12" s="85" t="s">
        <v>948</v>
      </c>
      <c r="C12" t="s">
        <v>949</v>
      </c>
      <c r="D12" s="1">
        <v>62</v>
      </c>
      <c r="E12" s="85" t="s">
        <v>1077</v>
      </c>
      <c r="F12" s="85" t="s">
        <v>950</v>
      </c>
      <c r="G12" s="85"/>
      <c r="H12" s="85"/>
      <c r="K12" t="s">
        <v>149</v>
      </c>
      <c r="L12" s="85">
        <v>14600</v>
      </c>
      <c r="M12" s="85"/>
      <c r="N12" s="85"/>
      <c r="O12">
        <v>15500</v>
      </c>
      <c r="S12">
        <v>2500</v>
      </c>
      <c r="AC12" t="s">
        <v>81</v>
      </c>
      <c r="AD12" t="s">
        <v>775</v>
      </c>
      <c r="AE12">
        <v>8400</v>
      </c>
      <c r="AF12" s="85">
        <v>38</v>
      </c>
      <c r="AG12" s="85"/>
      <c r="AH12" s="85" t="s">
        <v>1078</v>
      </c>
      <c r="AI12" s="85"/>
      <c r="AJ12" s="85"/>
      <c r="AK12" s="85"/>
      <c r="AL12" s="85"/>
      <c r="AM12" s="85"/>
      <c r="AN12" t="s">
        <v>331</v>
      </c>
      <c r="AO12">
        <v>23600</v>
      </c>
      <c r="AP12" s="85" t="s">
        <v>1079</v>
      </c>
      <c r="AQ12" s="85"/>
      <c r="AU12" t="s">
        <v>244</v>
      </c>
      <c r="AV12" s="85">
        <v>28500</v>
      </c>
      <c r="AW12" s="85"/>
    </row>
    <row r="13" spans="1:49">
      <c r="A13" t="s">
        <v>76</v>
      </c>
      <c r="B13" s="85" t="s">
        <v>721</v>
      </c>
      <c r="C13" t="s">
        <v>722</v>
      </c>
      <c r="D13" s="1">
        <v>39</v>
      </c>
      <c r="E13" s="85" t="s">
        <v>1080</v>
      </c>
      <c r="F13" s="85" t="s">
        <v>1063</v>
      </c>
      <c r="G13" s="85"/>
      <c r="H13" s="85"/>
      <c r="I13" s="85"/>
      <c r="K13" t="s">
        <v>142</v>
      </c>
      <c r="L13" s="85">
        <v>8000</v>
      </c>
      <c r="M13" s="85"/>
      <c r="N13" s="85"/>
      <c r="O13" t="s">
        <v>1081</v>
      </c>
      <c r="R13" t="s">
        <v>50</v>
      </c>
      <c r="S13">
        <v>6500</v>
      </c>
      <c r="AC13" t="s">
        <v>76</v>
      </c>
      <c r="AD13" t="s">
        <v>579</v>
      </c>
      <c r="AE13" t="s">
        <v>1082</v>
      </c>
      <c r="AF13" s="85">
        <v>60</v>
      </c>
      <c r="AG13" s="85"/>
      <c r="AH13" s="85" t="s">
        <v>1083</v>
      </c>
      <c r="AI13" s="85"/>
      <c r="AJ13" s="85"/>
      <c r="AK13" s="85"/>
      <c r="AL13" s="85"/>
      <c r="AM13" s="85"/>
      <c r="AN13" t="s">
        <v>146</v>
      </c>
      <c r="AO13" s="13">
        <v>9700</v>
      </c>
      <c r="AP13" s="85" t="s">
        <v>1084</v>
      </c>
      <c r="AQ13" s="85"/>
      <c r="AT13">
        <v>9</v>
      </c>
      <c r="AU13" t="s">
        <v>51</v>
      </c>
      <c r="AV13" s="85">
        <v>88000</v>
      </c>
      <c r="AW13" s="85"/>
    </row>
    <row r="14" spans="1:49">
      <c r="A14" t="s">
        <v>76</v>
      </c>
      <c r="B14" s="85" t="s">
        <v>889</v>
      </c>
      <c r="C14" t="s">
        <v>890</v>
      </c>
      <c r="D14" s="1">
        <v>50</v>
      </c>
      <c r="I14" s="85"/>
      <c r="J14" s="85"/>
      <c r="K14" s="85" t="s">
        <v>138</v>
      </c>
      <c r="L14" s="85"/>
      <c r="M14" s="85"/>
      <c r="N14" s="85" t="s">
        <v>1085</v>
      </c>
      <c r="O14" s="85"/>
      <c r="R14" t="s">
        <v>50</v>
      </c>
      <c r="S14">
        <v>17000</v>
      </c>
      <c r="AC14" t="s">
        <v>76</v>
      </c>
      <c r="AD14" t="s">
        <v>1086</v>
      </c>
      <c r="AE14">
        <v>5300</v>
      </c>
      <c r="AF14" s="85">
        <v>56</v>
      </c>
      <c r="AG14" s="85"/>
      <c r="AH14" s="85" t="s">
        <v>1087</v>
      </c>
      <c r="AI14" s="85"/>
      <c r="AJ14" s="85"/>
      <c r="AK14" s="85"/>
      <c r="AL14" s="85"/>
      <c r="AM14" s="85"/>
      <c r="AN14" t="s">
        <v>132</v>
      </c>
      <c r="AO14" s="13">
        <v>14900</v>
      </c>
      <c r="AP14" s="85" t="s">
        <v>1056</v>
      </c>
      <c r="AQ14" s="85"/>
      <c r="AT14">
        <v>13</v>
      </c>
      <c r="AU14" t="s">
        <v>50</v>
      </c>
      <c r="AV14" s="85">
        <v>71000</v>
      </c>
      <c r="AW14" s="85"/>
    </row>
    <row r="15" spans="1:49">
      <c r="A15" t="s">
        <v>81</v>
      </c>
      <c r="B15" s="85" t="s">
        <v>712</v>
      </c>
      <c r="C15" t="s">
        <v>858</v>
      </c>
      <c r="D15" s="1">
        <v>35</v>
      </c>
      <c r="E15" s="85" t="s">
        <v>1088</v>
      </c>
      <c r="F15" s="85" t="s">
        <v>950</v>
      </c>
      <c r="G15" s="85"/>
      <c r="H15" s="85"/>
      <c r="K15" t="s">
        <v>216</v>
      </c>
      <c r="L15" s="40">
        <v>12400</v>
      </c>
      <c r="M15" s="85"/>
      <c r="N15" s="85" t="s">
        <v>1089</v>
      </c>
      <c r="O15" s="85"/>
      <c r="R15" t="s">
        <v>50</v>
      </c>
      <c r="S15">
        <v>71500</v>
      </c>
      <c r="AC15" t="s">
        <v>76</v>
      </c>
      <c r="AD15" t="s">
        <v>999</v>
      </c>
      <c r="AE15" t="s">
        <v>1090</v>
      </c>
      <c r="AF15" s="85">
        <v>35</v>
      </c>
      <c r="AG15" s="85"/>
      <c r="AH15" s="85" t="s">
        <v>1091</v>
      </c>
      <c r="AI15" s="85"/>
      <c r="AJ15" s="85"/>
      <c r="AK15" s="85"/>
      <c r="AL15" s="85"/>
      <c r="AM15" s="85"/>
      <c r="AN15" t="s">
        <v>303</v>
      </c>
      <c r="AO15">
        <v>9700</v>
      </c>
      <c r="AP15" s="85" t="s">
        <v>50</v>
      </c>
      <c r="AQ15" s="85"/>
      <c r="AT15">
        <v>20</v>
      </c>
      <c r="AU15" t="s">
        <v>50</v>
      </c>
      <c r="AV15" s="85">
        <v>31000</v>
      </c>
      <c r="AW15" s="85"/>
    </row>
    <row r="16" spans="1:49">
      <c r="A16" t="s">
        <v>812</v>
      </c>
      <c r="B16" s="85" t="s">
        <v>989</v>
      </c>
      <c r="C16" t="s">
        <v>990</v>
      </c>
      <c r="D16" s="1">
        <v>64</v>
      </c>
      <c r="E16" s="85" t="s">
        <v>1092</v>
      </c>
      <c r="F16" s="85" t="s">
        <v>1093</v>
      </c>
      <c r="G16" s="85"/>
      <c r="H16" s="85"/>
      <c r="I16" s="85"/>
      <c r="K16" t="s">
        <v>456</v>
      </c>
      <c r="L16" s="85" t="s">
        <v>1094</v>
      </c>
      <c r="M16" s="85"/>
      <c r="N16" s="85" t="s">
        <v>50</v>
      </c>
      <c r="O16" s="85"/>
      <c r="R16" t="s">
        <v>50</v>
      </c>
      <c r="S16">
        <v>14500</v>
      </c>
      <c r="AC16" t="s">
        <v>76</v>
      </c>
      <c r="AD16" t="s">
        <v>842</v>
      </c>
      <c r="AE16">
        <v>7200</v>
      </c>
      <c r="AF16" s="85">
        <v>72</v>
      </c>
      <c r="AG16" s="85"/>
      <c r="AH16" s="85" t="s">
        <v>1095</v>
      </c>
      <c r="AI16" s="85"/>
      <c r="AJ16" s="85"/>
      <c r="AK16" s="85"/>
      <c r="AL16" s="85"/>
      <c r="AM16" s="85"/>
      <c r="AN16" t="s">
        <v>84</v>
      </c>
      <c r="AO16" s="13">
        <v>27100</v>
      </c>
      <c r="AP16" s="85" t="s">
        <v>1096</v>
      </c>
      <c r="AQ16" s="85"/>
      <c r="AT16">
        <v>32</v>
      </c>
      <c r="AU16" t="s">
        <v>50</v>
      </c>
      <c r="AV16" s="85">
        <v>29500</v>
      </c>
      <c r="AW16" s="85"/>
    </row>
    <row r="17" spans="1:49">
      <c r="A17" t="s">
        <v>76</v>
      </c>
      <c r="B17" s="85" t="s">
        <v>936</v>
      </c>
      <c r="C17" t="s">
        <v>937</v>
      </c>
      <c r="D17" s="1">
        <v>36</v>
      </c>
      <c r="E17" s="85" t="s">
        <v>1097</v>
      </c>
      <c r="F17" s="85" t="s">
        <v>121</v>
      </c>
      <c r="G17" s="85"/>
      <c r="H17" s="85"/>
      <c r="I17" s="85"/>
      <c r="K17" t="s">
        <v>122</v>
      </c>
      <c r="L17" s="85" t="s">
        <v>1098</v>
      </c>
      <c r="M17" s="85"/>
      <c r="N17" s="85" t="s">
        <v>1099</v>
      </c>
      <c r="O17" s="85"/>
      <c r="R17" t="s">
        <v>50</v>
      </c>
      <c r="S17">
        <v>21500</v>
      </c>
      <c r="AC17" t="s">
        <v>76</v>
      </c>
      <c r="AD17" t="s">
        <v>1001</v>
      </c>
      <c r="AE17" t="s">
        <v>1100</v>
      </c>
      <c r="AF17" s="85">
        <v>52</v>
      </c>
      <c r="AG17" s="85"/>
      <c r="AH17" s="85" t="s">
        <v>1101</v>
      </c>
      <c r="AI17" s="85"/>
      <c r="AJ17" s="85"/>
      <c r="AK17" s="85"/>
      <c r="AL17" s="85"/>
      <c r="AM17" s="85" t="s">
        <v>149</v>
      </c>
      <c r="AO17">
        <v>17500</v>
      </c>
      <c r="AP17" s="85">
        <v>6500</v>
      </c>
      <c r="AQ17" s="85"/>
      <c r="AS17">
        <v>0</v>
      </c>
      <c r="AV17" s="85">
        <v>0</v>
      </c>
      <c r="AW17" s="85">
        <v>42500</v>
      </c>
    </row>
    <row r="18" spans="1:49">
      <c r="A18" t="s">
        <v>76</v>
      </c>
      <c r="B18" s="85" t="s">
        <v>979</v>
      </c>
      <c r="C18" t="s">
        <v>980</v>
      </c>
      <c r="D18" s="1">
        <v>26</v>
      </c>
      <c r="E18" s="85" t="s">
        <v>1102</v>
      </c>
      <c r="F18" s="85" t="s">
        <v>835</v>
      </c>
      <c r="G18" s="85"/>
      <c r="H18" s="85"/>
      <c r="I18" s="85"/>
      <c r="K18" t="s">
        <v>213</v>
      </c>
      <c r="L18" s="85">
        <v>18400</v>
      </c>
      <c r="M18" s="85"/>
      <c r="N18" s="85" t="s">
        <v>1103</v>
      </c>
      <c r="O18" s="85"/>
      <c r="R18" t="s">
        <v>51</v>
      </c>
      <c r="S18">
        <v>89500</v>
      </c>
      <c r="AC18" t="s">
        <v>76</v>
      </c>
      <c r="AD18" t="s">
        <v>944</v>
      </c>
      <c r="AE18">
        <v>3300</v>
      </c>
      <c r="AF18" s="85">
        <v>31</v>
      </c>
      <c r="AG18" s="85"/>
      <c r="AH18" s="85" t="s">
        <v>1104</v>
      </c>
      <c r="AI18" s="85"/>
      <c r="AJ18" s="85"/>
      <c r="AK18" s="85"/>
      <c r="AL18" s="85"/>
      <c r="AM18" s="85"/>
      <c r="AN18" t="s">
        <v>132</v>
      </c>
      <c r="AO18" t="s">
        <v>788</v>
      </c>
      <c r="AP18" s="85" t="s">
        <v>1035</v>
      </c>
      <c r="AQ18" s="85"/>
      <c r="AT18">
        <v>35</v>
      </c>
      <c r="AU18" t="s">
        <v>50</v>
      </c>
      <c r="AV18" s="85"/>
      <c r="AW18" s="85">
        <v>58000</v>
      </c>
    </row>
    <row r="19" spans="1:49">
      <c r="A19" t="s">
        <v>81</v>
      </c>
      <c r="B19" t="s">
        <v>136</v>
      </c>
      <c r="C19" t="s">
        <v>965</v>
      </c>
      <c r="D19" s="1">
        <v>47</v>
      </c>
      <c r="E19" s="85" t="s">
        <v>1105</v>
      </c>
      <c r="F19" s="85" t="s">
        <v>138</v>
      </c>
      <c r="G19" s="85"/>
      <c r="H19" s="85"/>
      <c r="I19" s="85"/>
      <c r="K19" t="s">
        <v>139</v>
      </c>
      <c r="L19" s="85">
        <v>13300</v>
      </c>
      <c r="M19" s="85"/>
      <c r="N19" s="85" t="s">
        <v>1106</v>
      </c>
      <c r="O19" s="85"/>
      <c r="R19" t="s">
        <v>51</v>
      </c>
      <c r="S19">
        <v>39500</v>
      </c>
      <c r="AF19" s="85"/>
      <c r="AG19" s="85"/>
      <c r="AH19" s="85"/>
      <c r="AI19" s="85"/>
      <c r="AJ19" s="85"/>
      <c r="AK19" s="85"/>
      <c r="AL19" s="85"/>
      <c r="AM19" s="85"/>
      <c r="AP19" s="85"/>
      <c r="AQ19" s="85"/>
      <c r="AV19" s="85"/>
      <c r="AW19" s="85"/>
    </row>
    <row r="21" spans="1:49">
      <c r="E21" t="str" cm="1">
        <f t="array" ref="E21:F21">_xlfn.TEXTSPLIT(E3," ")</f>
        <v>03081995</v>
      </c>
      <c r="F21" t="str">
        <v>Py</v>
      </c>
    </row>
    <row r="22" spans="1:49" s="44" customFormat="1">
      <c r="E22" t="str" cm="1">
        <f t="array" ref="E22:F22">_xlfn.TEXTSPLIT(E4," ")</f>
        <v>14/08/1956</v>
      </c>
      <c r="F22" s="44" t="str">
        <v>Braavos</v>
      </c>
    </row>
    <row r="23" spans="1:49">
      <c r="E23" t="str" cm="1">
        <f t="array" ref="E23:G23">_xlfn.TEXTSPLIT(E5," ")</f>
        <v>05/11/1968</v>
      </c>
      <c r="F23" t="str">
        <v>Monte</v>
      </c>
      <c r="G23" t="str">
        <v>Chifre</v>
      </c>
    </row>
    <row r="24" spans="1:49">
      <c r="E24" t="str" cm="1">
        <f t="array" ref="E24:F24">_xlfn.TEXTSPLIT(E6," ")</f>
        <v>35948</v>
      </c>
      <c r="F24" t="str">
        <v>Harrenhal</v>
      </c>
    </row>
    <row r="25" spans="1:49">
      <c r="E25" t="str" cm="1">
        <f t="array" ref="E25:H25">_xlfn.TEXTSPLIT(E7," ")</f>
        <v>27729</v>
      </c>
      <c r="F25" t="str">
        <v>Pedra</v>
      </c>
      <c r="G25" t="str">
        <v>do</v>
      </c>
      <c r="H25" t="str">
        <v>Dragão</v>
      </c>
    </row>
    <row r="26" spans="1:49">
      <c r="E26" t="str" cm="1">
        <f t="array" ref="E26:G26">_xlfn.TEXTSPLIT(E8," ")</f>
        <v>05/01/1958</v>
      </c>
      <c r="F26" t="str">
        <v>Castelo</v>
      </c>
      <c r="G26" t="str">
        <v>Negro</v>
      </c>
    </row>
    <row r="27" spans="1:49">
      <c r="E27" t="str" cm="1">
        <f t="array" ref="E27:H27">_xlfn.TEXTSPLIT(E9," ")</f>
        <v>15/02/1986</v>
      </c>
      <c r="F27" t="str">
        <v>Ilha</v>
      </c>
      <c r="G27" t="str">
        <v>dos</v>
      </c>
      <c r="H27" t="str">
        <v>Ursos</v>
      </c>
    </row>
    <row r="28" spans="1:49">
      <c r="E28" t="str" cm="1">
        <f t="array" ref="E28:G28">_xlfn.TEXTSPLIT(E10," ")</f>
        <v>23834</v>
      </c>
      <c r="F28" t="str">
        <v>Monte</v>
      </c>
      <c r="G28" t="str">
        <v>Chifre</v>
      </c>
    </row>
    <row r="29" spans="1:49">
      <c r="E29" t="str" cm="1">
        <f t="array" ref="E29:F29">_xlfn.TEXTSPLIT(E11," ")</f>
        <v>20/22/1980</v>
      </c>
      <c r="F29" t="str">
        <v>Braavos</v>
      </c>
    </row>
    <row r="30" spans="1:49">
      <c r="E30" t="str" cm="1">
        <f t="array" ref="E30:H30">_xlfn.TEXTSPLIT(E12," ")</f>
        <v>23358</v>
      </c>
      <c r="F30" t="str">
        <v>Jardim</v>
      </c>
      <c r="G30" t="str">
        <v>de</v>
      </c>
      <c r="H30" t="str">
        <v>Cima</v>
      </c>
    </row>
    <row r="31" spans="1:49">
      <c r="E31" t="str" cm="1">
        <f t="array" ref="E31:H31">_xlfn.TEXTSPLIT(E13," ")</f>
        <v>10/07/1987</v>
      </c>
      <c r="F31" t="str">
        <v>Ilha</v>
      </c>
      <c r="G31" t="str">
        <v>dos</v>
      </c>
      <c r="H31" t="str">
        <v>Ursos</v>
      </c>
    </row>
    <row r="32" spans="1:49">
      <c r="E32" t="e" cm="1">
        <f t="array" ref="E32">_xlfn.TEXTSPLIT(E14," ")</f>
        <v>#VALUE!</v>
      </c>
    </row>
    <row r="33" spans="5:9">
      <c r="E33" t="str" cm="1">
        <f t="array" ref="E33:H33">_xlfn.TEXTSPLIT(E15," ")</f>
        <v>33417</v>
      </c>
      <c r="F33" t="str">
        <v>Jardim</v>
      </c>
      <c r="G33" t="str">
        <v>de</v>
      </c>
      <c r="H33" t="str">
        <v>Cima</v>
      </c>
    </row>
    <row r="34" spans="5:9">
      <c r="E34" t="str" cm="1">
        <f t="array" ref="E34:I34">_xlfn.TEXTSPLIT(E16," ")</f>
        <v>18/07/1962</v>
      </c>
      <c r="F34" t="str">
        <v>Atalaia</v>
      </c>
      <c r="G34" t="str">
        <v>da</v>
      </c>
      <c r="H34" t="str">
        <v>Água</v>
      </c>
      <c r="I34" t="str">
        <v>Cinzenta</v>
      </c>
    </row>
    <row r="35" spans="5:9">
      <c r="E35" t="str" cm="1">
        <f t="array" ref="E35:F35">_xlfn.TEXTSPLIT(E17," ")</f>
        <v>32908</v>
      </c>
      <c r="F35" t="str">
        <v>Meereen</v>
      </c>
    </row>
    <row r="36" spans="5:9">
      <c r="E36" t="str" cm="1">
        <f t="array" ref="E36:G36">_xlfn.TEXTSPLIT(E18," ")</f>
        <v>36757</v>
      </c>
      <c r="F36" t="str">
        <v>Monte</v>
      </c>
      <c r="G36" t="str">
        <v>Chifre</v>
      </c>
    </row>
    <row r="37" spans="5:9">
      <c r="E37" t="str" cm="1">
        <f t="array" ref="E37:F37">_xlfn.TEXTSPLIT(E19," ")</f>
        <v>29064</v>
      </c>
      <c r="F37" t="str">
        <v>Correrrio</v>
      </c>
    </row>
  </sheetData>
  <mergeCells count="3">
    <mergeCell ref="F1:I1"/>
    <mergeCell ref="M1:N1"/>
    <mergeCell ref="Q1:R1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B003-89CB-493A-9593-F37DA49AE595}">
  <dimension ref="A1:D33"/>
  <sheetViews>
    <sheetView workbookViewId="0">
      <selection activeCell="H28" sqref="H28"/>
    </sheetView>
  </sheetViews>
  <sheetFormatPr defaultRowHeight="15"/>
  <cols>
    <col min="1" max="1" width="23.5703125" bestFit="1" customWidth="1"/>
    <col min="2" max="2" width="30.28515625" bestFit="1" customWidth="1"/>
    <col min="3" max="3" width="57.7109375" bestFit="1" customWidth="1"/>
    <col min="4" max="4" width="50.140625" bestFit="1" customWidth="1"/>
    <col min="5" max="5" width="10.85546875" customWidth="1"/>
  </cols>
  <sheetData>
    <row r="1" spans="1:4">
      <c r="A1" t="s">
        <v>1107</v>
      </c>
      <c r="B1" t="s">
        <v>1108</v>
      </c>
      <c r="C1" t="s">
        <v>1109</v>
      </c>
      <c r="D1" t="s">
        <v>1110</v>
      </c>
    </row>
    <row r="2" spans="1:4">
      <c r="A2" t="s">
        <v>1111</v>
      </c>
      <c r="B2" t="s">
        <v>1112</v>
      </c>
      <c r="C2" t="s">
        <v>1113</v>
      </c>
      <c r="D2" t="s">
        <v>1114</v>
      </c>
    </row>
    <row r="3" spans="1:4">
      <c r="A3" t="s">
        <v>61</v>
      </c>
      <c r="B3" t="s">
        <v>1115</v>
      </c>
      <c r="C3" t="s">
        <v>1116</v>
      </c>
      <c r="D3" t="s">
        <v>1117</v>
      </c>
    </row>
    <row r="4" spans="1:4">
      <c r="A4" t="s">
        <v>61</v>
      </c>
      <c r="B4" t="s">
        <v>1118</v>
      </c>
      <c r="C4" t="s">
        <v>1119</v>
      </c>
      <c r="D4" t="s">
        <v>1120</v>
      </c>
    </row>
    <row r="5" spans="1:4">
      <c r="A5" t="s">
        <v>61</v>
      </c>
      <c r="B5" t="s">
        <v>1121</v>
      </c>
      <c r="C5" t="s">
        <v>1122</v>
      </c>
      <c r="D5" t="s">
        <v>1123</v>
      </c>
    </row>
    <row r="6" spans="1:4">
      <c r="A6" t="s">
        <v>61</v>
      </c>
      <c r="B6" t="s">
        <v>1124</v>
      </c>
      <c r="C6" t="s">
        <v>1125</v>
      </c>
      <c r="D6" t="s">
        <v>1126</v>
      </c>
    </row>
    <row r="7" spans="1:4">
      <c r="A7" t="s">
        <v>1127</v>
      </c>
      <c r="B7" t="s">
        <v>1128</v>
      </c>
      <c r="C7" t="s">
        <v>1129</v>
      </c>
      <c r="D7" t="s">
        <v>1130</v>
      </c>
    </row>
    <row r="8" spans="1:4">
      <c r="A8" t="s">
        <v>1127</v>
      </c>
      <c r="B8" t="s">
        <v>1115</v>
      </c>
      <c r="C8" t="s">
        <v>1116</v>
      </c>
      <c r="D8" t="s">
        <v>1117</v>
      </c>
    </row>
    <row r="9" spans="1:4">
      <c r="A9" t="s">
        <v>1127</v>
      </c>
      <c r="B9" t="s">
        <v>1131</v>
      </c>
      <c r="C9" t="s">
        <v>1132</v>
      </c>
      <c r="D9" t="s">
        <v>1133</v>
      </c>
    </row>
    <row r="10" spans="1:4">
      <c r="A10" t="s">
        <v>63</v>
      </c>
      <c r="B10" t="s">
        <v>1134</v>
      </c>
      <c r="C10" t="s">
        <v>1135</v>
      </c>
      <c r="D10" t="s">
        <v>1136</v>
      </c>
    </row>
    <row r="11" spans="1:4">
      <c r="A11" t="s">
        <v>63</v>
      </c>
      <c r="B11" t="s">
        <v>1137</v>
      </c>
      <c r="C11" t="s">
        <v>1125</v>
      </c>
      <c r="D11" t="s">
        <v>1126</v>
      </c>
    </row>
    <row r="12" spans="1:4">
      <c r="A12" t="s">
        <v>63</v>
      </c>
      <c r="B12" t="s">
        <v>1131</v>
      </c>
      <c r="C12" t="s">
        <v>1132</v>
      </c>
      <c r="D12" t="s">
        <v>1133</v>
      </c>
    </row>
    <row r="13" spans="1:4">
      <c r="A13" t="s">
        <v>65</v>
      </c>
      <c r="B13" t="s">
        <v>1138</v>
      </c>
      <c r="C13" t="s">
        <v>1139</v>
      </c>
      <c r="D13" t="s">
        <v>1117</v>
      </c>
    </row>
    <row r="14" spans="1:4">
      <c r="A14" t="s">
        <v>66</v>
      </c>
      <c r="B14" t="s">
        <v>1131</v>
      </c>
      <c r="C14" t="s">
        <v>1140</v>
      </c>
      <c r="D14" t="s">
        <v>1141</v>
      </c>
    </row>
    <row r="15" spans="1:4">
      <c r="A15" t="s">
        <v>66</v>
      </c>
      <c r="B15" t="s">
        <v>1142</v>
      </c>
      <c r="C15" t="s">
        <v>1125</v>
      </c>
      <c r="D15" t="s">
        <v>1126</v>
      </c>
    </row>
    <row r="16" spans="1:4">
      <c r="A16" t="s">
        <v>66</v>
      </c>
      <c r="B16" t="s">
        <v>1143</v>
      </c>
      <c r="C16" t="s">
        <v>1144</v>
      </c>
    </row>
    <row r="17" spans="1:4">
      <c r="A17" t="s">
        <v>66</v>
      </c>
      <c r="B17" t="s">
        <v>1145</v>
      </c>
      <c r="C17" t="s">
        <v>1125</v>
      </c>
      <c r="D17" t="s">
        <v>1126</v>
      </c>
    </row>
    <row r="18" spans="1:4">
      <c r="A18" t="s">
        <v>66</v>
      </c>
      <c r="B18" t="s">
        <v>1115</v>
      </c>
      <c r="C18" t="s">
        <v>1116</v>
      </c>
      <c r="D18" t="s">
        <v>1117</v>
      </c>
    </row>
    <row r="19" spans="1:4">
      <c r="A19" t="s">
        <v>67</v>
      </c>
      <c r="B19" t="s">
        <v>1115</v>
      </c>
      <c r="C19" t="s">
        <v>1116</v>
      </c>
      <c r="D19" t="s">
        <v>1117</v>
      </c>
    </row>
    <row r="20" spans="1:4">
      <c r="A20" t="s">
        <v>67</v>
      </c>
      <c r="B20" t="s">
        <v>1146</v>
      </c>
      <c r="C20" t="s">
        <v>1125</v>
      </c>
      <c r="D20" t="s">
        <v>1126</v>
      </c>
    </row>
    <row r="21" spans="1:4">
      <c r="A21" t="s">
        <v>1147</v>
      </c>
      <c r="B21" t="s">
        <v>1131</v>
      </c>
      <c r="C21" t="s">
        <v>1148</v>
      </c>
      <c r="D21" t="s">
        <v>1149</v>
      </c>
    </row>
    <row r="22" spans="1:4">
      <c r="A22" t="s">
        <v>1147</v>
      </c>
      <c r="B22" t="s">
        <v>1150</v>
      </c>
      <c r="C22" t="s">
        <v>1125</v>
      </c>
      <c r="D22" t="s">
        <v>1126</v>
      </c>
    </row>
    <row r="23" spans="1:4">
      <c r="A23" t="s">
        <v>1151</v>
      </c>
      <c r="B23" t="s">
        <v>1131</v>
      </c>
      <c r="C23" t="s">
        <v>1152</v>
      </c>
      <c r="D23" t="s">
        <v>1149</v>
      </c>
    </row>
    <row r="24" spans="1:4">
      <c r="A24" t="s">
        <v>1151</v>
      </c>
      <c r="B24" t="s">
        <v>1153</v>
      </c>
      <c r="C24" t="s">
        <v>1154</v>
      </c>
      <c r="D24" t="s">
        <v>1155</v>
      </c>
    </row>
    <row r="25" spans="1:4">
      <c r="A25" t="s">
        <v>1156</v>
      </c>
      <c r="B25" t="s">
        <v>1157</v>
      </c>
      <c r="C25" t="s">
        <v>1158</v>
      </c>
      <c r="D25" t="s">
        <v>1159</v>
      </c>
    </row>
    <row r="26" spans="1:4">
      <c r="A26" t="s">
        <v>1156</v>
      </c>
      <c r="B26" t="s">
        <v>1160</v>
      </c>
      <c r="C26" t="s">
        <v>1161</v>
      </c>
      <c r="D26" t="s">
        <v>1162</v>
      </c>
    </row>
    <row r="27" spans="1:4">
      <c r="A27" t="s">
        <v>1156</v>
      </c>
      <c r="B27" t="s">
        <v>1163</v>
      </c>
      <c r="C27" t="s">
        <v>1164</v>
      </c>
      <c r="D27" t="s">
        <v>1165</v>
      </c>
    </row>
    <row r="28" spans="1:4">
      <c r="A28" t="s">
        <v>1009</v>
      </c>
      <c r="B28" t="s">
        <v>1131</v>
      </c>
      <c r="C28" t="s">
        <v>1166</v>
      </c>
      <c r="D28" t="s">
        <v>1167</v>
      </c>
    </row>
    <row r="29" spans="1:4">
      <c r="A29" t="s">
        <v>1168</v>
      </c>
      <c r="B29" t="s">
        <v>1169</v>
      </c>
      <c r="C29" t="s">
        <v>1170</v>
      </c>
      <c r="D29" t="s">
        <v>1165</v>
      </c>
    </row>
    <row r="30" spans="1:4">
      <c r="A30" t="s">
        <v>1147</v>
      </c>
      <c r="B30" t="s">
        <v>1171</v>
      </c>
      <c r="C30" t="s">
        <v>1172</v>
      </c>
      <c r="D30" t="s">
        <v>1173</v>
      </c>
    </row>
    <row r="31" spans="1:4">
      <c r="A31" t="s">
        <v>1174</v>
      </c>
      <c r="B31" t="s">
        <v>1175</v>
      </c>
      <c r="C31" t="s">
        <v>1176</v>
      </c>
      <c r="D31" t="s">
        <v>1177</v>
      </c>
    </row>
    <row r="32" spans="1:4">
      <c r="A32" t="s">
        <v>1168</v>
      </c>
      <c r="B32" t="s">
        <v>1178</v>
      </c>
      <c r="C32" t="s">
        <v>1179</v>
      </c>
      <c r="D32" t="s">
        <v>1180</v>
      </c>
    </row>
    <row r="33" spans="1:4">
      <c r="A33" t="s">
        <v>1181</v>
      </c>
      <c r="B33" t="s">
        <v>1182</v>
      </c>
      <c r="C33" t="s">
        <v>1183</v>
      </c>
      <c r="D33" t="s">
        <v>1173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1CDA-8D54-477F-A17A-47A40F8966B3}">
  <dimension ref="A1:O369"/>
  <sheetViews>
    <sheetView topLeftCell="G89" workbookViewId="0">
      <selection activeCell="D20" sqref="D20"/>
    </sheetView>
  </sheetViews>
  <sheetFormatPr defaultRowHeight="15"/>
  <cols>
    <col min="1" max="1" width="9.42578125" bestFit="1" customWidth="1"/>
    <col min="2" max="2" width="24.5703125" bestFit="1" customWidth="1"/>
    <col min="3" max="3" width="15" bestFit="1" customWidth="1"/>
    <col min="4" max="4" width="15" customWidth="1"/>
    <col min="5" max="5" width="8.42578125" bestFit="1" customWidth="1"/>
    <col min="6" max="6" width="19" bestFit="1" customWidth="1"/>
    <col min="7" max="7" width="31.85546875" bestFit="1" customWidth="1"/>
    <col min="8" max="8" width="23.42578125" bestFit="1" customWidth="1"/>
    <col min="9" max="9" width="16.28515625" bestFit="1" customWidth="1"/>
    <col min="10" max="10" width="18" bestFit="1" customWidth="1"/>
    <col min="11" max="11" width="20" bestFit="1" customWidth="1"/>
    <col min="12" max="12" width="16.42578125" bestFit="1" customWidth="1"/>
    <col min="13" max="13" width="13" bestFit="1" customWidth="1"/>
    <col min="14" max="14" width="21" bestFit="1" customWidth="1"/>
    <col min="15" max="15" width="17.7109375" bestFit="1" customWidth="1"/>
  </cols>
  <sheetData>
    <row r="1" spans="1:15">
      <c r="A1" t="s">
        <v>61</v>
      </c>
      <c r="B1" t="s">
        <v>62</v>
      </c>
      <c r="C1" t="s">
        <v>63</v>
      </c>
      <c r="D1" t="s">
        <v>802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</row>
    <row r="2" spans="1:15">
      <c r="A2" t="s">
        <v>76</v>
      </c>
      <c r="B2" t="s">
        <v>77</v>
      </c>
      <c r="C2" t="s">
        <v>78</v>
      </c>
      <c r="D2" t="str">
        <f>TEXT(Tabela7[[#This Row],[cpf]],"000\.000\.000\-00")</f>
        <v>000.000.336-00</v>
      </c>
      <c r="E2">
        <v>32</v>
      </c>
      <c r="F2" s="11">
        <v>34347</v>
      </c>
      <c r="G2" t="s">
        <v>79</v>
      </c>
      <c r="H2" t="s">
        <v>80</v>
      </c>
      <c r="I2">
        <v>15600</v>
      </c>
      <c r="J2">
        <v>0</v>
      </c>
      <c r="K2" t="s">
        <v>51</v>
      </c>
      <c r="L2">
        <v>34</v>
      </c>
      <c r="N2" t="s">
        <v>51</v>
      </c>
      <c r="O2">
        <v>16000</v>
      </c>
    </row>
    <row r="3" spans="1:15">
      <c r="A3" t="s">
        <v>81</v>
      </c>
      <c r="B3" t="s">
        <v>82</v>
      </c>
      <c r="C3">
        <v>36100</v>
      </c>
      <c r="D3" t="str">
        <f>TEXT(Tabela7[[#This Row],[cpf]],"000\.000\.000\-00")</f>
        <v>000.000.361-00</v>
      </c>
      <c r="E3">
        <v>24</v>
      </c>
      <c r="F3" s="11">
        <v>37313</v>
      </c>
      <c r="G3" t="s">
        <v>83</v>
      </c>
      <c r="H3" t="s">
        <v>84</v>
      </c>
      <c r="I3" t="s">
        <v>85</v>
      </c>
      <c r="J3">
        <v>76500</v>
      </c>
      <c r="K3" t="s">
        <v>51</v>
      </c>
      <c r="L3">
        <v>33</v>
      </c>
      <c r="N3" t="s">
        <v>51</v>
      </c>
      <c r="O3">
        <v>26000</v>
      </c>
    </row>
    <row r="4" spans="1:15">
      <c r="A4" t="s">
        <v>76</v>
      </c>
      <c r="B4" t="s">
        <v>87</v>
      </c>
      <c r="C4" t="s">
        <v>88</v>
      </c>
      <c r="D4" t="str">
        <f>TEXT(Tabela7[[#This Row],[cpf]],"000\.000\.000\-00")</f>
        <v>000.000.363-00</v>
      </c>
      <c r="E4">
        <v>33</v>
      </c>
      <c r="F4">
        <v>34144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>
        <v>22</v>
      </c>
      <c r="N4" t="s">
        <v>93</v>
      </c>
      <c r="O4">
        <v>51500</v>
      </c>
    </row>
    <row r="5" spans="1:15">
      <c r="A5" t="s">
        <v>76</v>
      </c>
      <c r="B5" t="s">
        <v>94</v>
      </c>
      <c r="C5" t="s">
        <v>95</v>
      </c>
      <c r="D5" t="str">
        <f>TEXT(Tabela7[[#This Row],[cpf]],"000\.000\.000\-00")</f>
        <v>000.000.210-00</v>
      </c>
      <c r="E5">
        <v>63</v>
      </c>
      <c r="F5">
        <v>23156</v>
      </c>
      <c r="G5" t="s">
        <v>96</v>
      </c>
      <c r="I5" t="s">
        <v>97</v>
      </c>
      <c r="J5">
        <v>8500</v>
      </c>
      <c r="K5" t="s">
        <v>93</v>
      </c>
      <c r="L5">
        <v>39</v>
      </c>
      <c r="N5" t="s">
        <v>93</v>
      </c>
      <c r="O5">
        <v>36500</v>
      </c>
    </row>
    <row r="6" spans="1:15">
      <c r="A6" t="s">
        <v>76</v>
      </c>
      <c r="B6" t="s">
        <v>98</v>
      </c>
      <c r="C6" t="s">
        <v>99</v>
      </c>
      <c r="D6" t="str">
        <f>TEXT(Tabela7[[#This Row],[cpf]],"000\.000\.000\-00")</f>
        <v>000.000.321-00</v>
      </c>
      <c r="E6">
        <v>32</v>
      </c>
      <c r="F6">
        <v>34299</v>
      </c>
      <c r="G6" t="s">
        <v>79</v>
      </c>
      <c r="H6" t="s">
        <v>100</v>
      </c>
      <c r="I6" s="12">
        <v>30000</v>
      </c>
      <c r="K6" t="s">
        <v>50</v>
      </c>
      <c r="L6">
        <v>5</v>
      </c>
      <c r="N6" t="s">
        <v>50</v>
      </c>
      <c r="O6">
        <v>65000</v>
      </c>
    </row>
    <row r="7" spans="1:15">
      <c r="A7" t="s">
        <v>76</v>
      </c>
      <c r="B7" t="s">
        <v>101</v>
      </c>
      <c r="C7" t="s">
        <v>102</v>
      </c>
      <c r="D7" t="str">
        <f>TEXT(Tabela7[[#This Row],[cpf]],"000\.000\.000\-00")</f>
        <v>000.000.191-00</v>
      </c>
      <c r="E7">
        <v>48</v>
      </c>
      <c r="F7">
        <v>28647</v>
      </c>
      <c r="G7" t="s">
        <v>103</v>
      </c>
      <c r="I7">
        <v>13200</v>
      </c>
      <c r="J7" t="s">
        <v>104</v>
      </c>
      <c r="K7" t="s">
        <v>50</v>
      </c>
      <c r="L7">
        <v>1</v>
      </c>
      <c r="N7" t="s">
        <v>50</v>
      </c>
      <c r="O7">
        <v>32500</v>
      </c>
    </row>
    <row r="8" spans="1:15">
      <c r="A8" t="s">
        <v>105</v>
      </c>
      <c r="B8" t="s">
        <v>106</v>
      </c>
      <c r="C8" t="s">
        <v>107</v>
      </c>
      <c r="D8" t="str">
        <f>TEXT(Tabela7[[#This Row],[cpf]],"000\.000\.000\-00")</f>
        <v>000.000.076-00</v>
      </c>
      <c r="E8">
        <v>28</v>
      </c>
      <c r="F8" s="11">
        <v>35830</v>
      </c>
      <c r="G8" t="s">
        <v>103</v>
      </c>
      <c r="H8" t="s">
        <v>108</v>
      </c>
      <c r="I8" t="s">
        <v>109</v>
      </c>
      <c r="J8" s="12">
        <v>19000</v>
      </c>
      <c r="K8" t="s">
        <v>51</v>
      </c>
      <c r="L8">
        <v>4</v>
      </c>
      <c r="N8" t="s">
        <v>51</v>
      </c>
      <c r="O8">
        <v>32500</v>
      </c>
    </row>
    <row r="9" spans="1:15">
      <c r="A9" t="s">
        <v>81</v>
      </c>
      <c r="B9" t="s">
        <v>110</v>
      </c>
      <c r="C9" t="s">
        <v>111</v>
      </c>
      <c r="D9" t="str">
        <f>TEXT(Tabela7[[#This Row],[cpf]],"000\.000\.000\-00")</f>
        <v>000.000.059-00</v>
      </c>
      <c r="E9">
        <v>42</v>
      </c>
      <c r="F9" s="11">
        <v>30810</v>
      </c>
      <c r="G9" t="s">
        <v>112</v>
      </c>
      <c r="H9" t="s">
        <v>113</v>
      </c>
      <c r="I9" t="s">
        <v>114</v>
      </c>
      <c r="J9" t="s">
        <v>115</v>
      </c>
      <c r="K9" t="s">
        <v>50</v>
      </c>
      <c r="L9">
        <v>19</v>
      </c>
      <c r="N9" t="s">
        <v>50</v>
      </c>
      <c r="O9">
        <v>63500</v>
      </c>
    </row>
    <row r="10" spans="1:15">
      <c r="A10" t="s">
        <v>76</v>
      </c>
      <c r="B10" t="s">
        <v>116</v>
      </c>
      <c r="C10" t="s">
        <v>117</v>
      </c>
      <c r="D10" t="str">
        <f>TEXT(Tabela7[[#This Row],[cpf]],"000\.000\.000\-00")</f>
        <v>000.000.274-00</v>
      </c>
      <c r="E10">
        <v>34</v>
      </c>
      <c r="F10" s="11">
        <v>33624</v>
      </c>
      <c r="G10" t="s">
        <v>112</v>
      </c>
      <c r="H10" t="s">
        <v>118</v>
      </c>
      <c r="I10">
        <v>8000</v>
      </c>
      <c r="J10" s="13">
        <v>14500</v>
      </c>
      <c r="K10" t="s">
        <v>51</v>
      </c>
      <c r="L10">
        <v>9</v>
      </c>
      <c r="N10" t="s">
        <v>51</v>
      </c>
      <c r="O10">
        <v>17500</v>
      </c>
    </row>
    <row r="11" spans="1:15">
      <c r="A11" t="s">
        <v>81</v>
      </c>
      <c r="B11" t="s">
        <v>119</v>
      </c>
      <c r="C11" t="s">
        <v>120</v>
      </c>
      <c r="D11" t="str">
        <f>TEXT(Tabela7[[#This Row],[cpf]],"000\.000\.000\-00")</f>
        <v>000.000.024-00</v>
      </c>
      <c r="E11">
        <v>61</v>
      </c>
      <c r="F11" s="11">
        <v>23667</v>
      </c>
      <c r="G11" t="s">
        <v>121</v>
      </c>
      <c r="H11" t="s">
        <v>122</v>
      </c>
      <c r="I11" t="s">
        <v>123</v>
      </c>
      <c r="J11">
        <v>44500</v>
      </c>
      <c r="K11" t="s">
        <v>51</v>
      </c>
      <c r="L11">
        <v>32</v>
      </c>
      <c r="N11" t="s">
        <v>51</v>
      </c>
      <c r="O11">
        <v>2000</v>
      </c>
    </row>
    <row r="12" spans="1:15">
      <c r="A12" t="s">
        <v>76</v>
      </c>
      <c r="B12" t="s">
        <v>124</v>
      </c>
      <c r="C12" t="s">
        <v>125</v>
      </c>
      <c r="D12" t="str">
        <f>TEXT(Tabela7[[#This Row],[cpf]],"000\.000\.000\-00")</f>
        <v>000.000.039-00</v>
      </c>
      <c r="E12">
        <v>33</v>
      </c>
      <c r="F12">
        <v>34147</v>
      </c>
      <c r="G12" t="s">
        <v>121</v>
      </c>
      <c r="H12" t="s">
        <v>122</v>
      </c>
      <c r="I12">
        <v>28700</v>
      </c>
      <c r="J12">
        <v>12500</v>
      </c>
      <c r="K12" t="s">
        <v>50</v>
      </c>
      <c r="L12">
        <v>41</v>
      </c>
      <c r="N12" t="s">
        <v>50</v>
      </c>
      <c r="O12">
        <v>99500</v>
      </c>
    </row>
    <row r="13" spans="1:15">
      <c r="A13" t="s">
        <v>76</v>
      </c>
      <c r="B13" t="s">
        <v>126</v>
      </c>
      <c r="C13">
        <v>35800</v>
      </c>
      <c r="D13" t="str">
        <f>TEXT(Tabela7[[#This Row],[cpf]],"000\.000\.000\-00")</f>
        <v>000.000.358-00</v>
      </c>
      <c r="E13">
        <v>70</v>
      </c>
      <c r="F13">
        <v>20515</v>
      </c>
      <c r="G13" t="s">
        <v>127</v>
      </c>
      <c r="H13" t="s">
        <v>122</v>
      </c>
      <c r="I13" t="s">
        <v>128</v>
      </c>
      <c r="J13">
        <v>62000</v>
      </c>
      <c r="K13" t="s">
        <v>51</v>
      </c>
      <c r="L13">
        <v>45</v>
      </c>
      <c r="N13" t="s">
        <v>51</v>
      </c>
      <c r="O13">
        <v>35500</v>
      </c>
    </row>
    <row r="14" spans="1:15">
      <c r="A14" t="s">
        <v>76</v>
      </c>
      <c r="B14" t="s">
        <v>129</v>
      </c>
      <c r="C14" t="s">
        <v>130</v>
      </c>
      <c r="D14" t="str">
        <f>TEXT(Tabela7[[#This Row],[cpf]],"000\.000\.000\-00")</f>
        <v>000.000.365-00</v>
      </c>
      <c r="E14">
        <v>54</v>
      </c>
      <c r="F14" s="11">
        <v>26382</v>
      </c>
      <c r="G14" t="s">
        <v>83</v>
      </c>
      <c r="H14" t="s">
        <v>84</v>
      </c>
      <c r="I14">
        <v>22100</v>
      </c>
      <c r="J14">
        <v>37000</v>
      </c>
      <c r="K14" t="s">
        <v>50</v>
      </c>
      <c r="L14">
        <v>34</v>
      </c>
      <c r="N14" t="s">
        <v>50</v>
      </c>
      <c r="O14">
        <v>87000</v>
      </c>
    </row>
    <row r="15" spans="1:15">
      <c r="A15" t="s">
        <v>76</v>
      </c>
      <c r="B15" t="s">
        <v>131</v>
      </c>
      <c r="C15">
        <v>8600</v>
      </c>
      <c r="D15" t="str">
        <f>TEXT(Tabela7[[#This Row],[cpf]],"000\.000\.000\-00")</f>
        <v>000.000.086-00</v>
      </c>
      <c r="F15">
        <v>32260</v>
      </c>
      <c r="G15" t="s">
        <v>112</v>
      </c>
      <c r="H15" t="s">
        <v>132</v>
      </c>
      <c r="I15" t="s">
        <v>133</v>
      </c>
      <c r="J15">
        <v>0</v>
      </c>
      <c r="K15" t="s">
        <v>51</v>
      </c>
      <c r="L15">
        <v>31</v>
      </c>
      <c r="N15" t="s">
        <v>51</v>
      </c>
      <c r="O15">
        <v>47500</v>
      </c>
    </row>
    <row r="16" spans="1:15">
      <c r="A16" t="s">
        <v>81</v>
      </c>
      <c r="B16" t="s">
        <v>134</v>
      </c>
      <c r="C16">
        <v>200</v>
      </c>
      <c r="D16" t="str">
        <f>TEXT(Tabela7[[#This Row],[cpf]],"000\.000\.000\-00")</f>
        <v>000.000.002-00</v>
      </c>
      <c r="E16">
        <v>55</v>
      </c>
      <c r="F16">
        <v>25892</v>
      </c>
      <c r="G16" t="s">
        <v>83</v>
      </c>
      <c r="H16" t="s">
        <v>135</v>
      </c>
      <c r="I16">
        <v>5300</v>
      </c>
      <c r="J16" s="13">
        <v>6500</v>
      </c>
      <c r="K16" t="s">
        <v>50</v>
      </c>
      <c r="L16">
        <v>42</v>
      </c>
      <c r="N16" t="s">
        <v>50</v>
      </c>
      <c r="O16">
        <v>96000</v>
      </c>
    </row>
    <row r="17" spans="1:15">
      <c r="A17" t="s">
        <v>81</v>
      </c>
      <c r="B17" t="s">
        <v>136</v>
      </c>
      <c r="C17" t="s">
        <v>137</v>
      </c>
      <c r="D17" t="str">
        <f>TEXT(Tabela7[[#This Row],[cpf]],"000\.000\.000\-00")</f>
        <v>000.000.162-00</v>
      </c>
      <c r="E17">
        <v>47</v>
      </c>
      <c r="F17">
        <v>29064</v>
      </c>
      <c r="G17" t="s">
        <v>138</v>
      </c>
      <c r="H17" t="s">
        <v>139</v>
      </c>
      <c r="I17">
        <v>13300</v>
      </c>
      <c r="J17">
        <v>1000</v>
      </c>
      <c r="K17" t="s">
        <v>51</v>
      </c>
      <c r="L17">
        <v>24</v>
      </c>
      <c r="N17" t="s">
        <v>51</v>
      </c>
      <c r="O17">
        <v>61500</v>
      </c>
    </row>
    <row r="18" spans="1:15">
      <c r="A18" t="s">
        <v>81</v>
      </c>
      <c r="B18" t="s">
        <v>140</v>
      </c>
      <c r="C18">
        <v>31800</v>
      </c>
      <c r="D18" t="str">
        <f>TEXT(Tabela7[[#This Row],[cpf]],"000\.000\.000\-00")</f>
        <v>000.000.318-00</v>
      </c>
      <c r="E18">
        <v>43</v>
      </c>
      <c r="F18">
        <v>30391</v>
      </c>
      <c r="G18" t="s">
        <v>141</v>
      </c>
      <c r="H18" t="s">
        <v>142</v>
      </c>
      <c r="I18">
        <v>7100</v>
      </c>
      <c r="J18" t="s">
        <v>143</v>
      </c>
      <c r="K18" t="s">
        <v>50</v>
      </c>
      <c r="L18">
        <v>23</v>
      </c>
      <c r="N18" t="s">
        <v>50</v>
      </c>
      <c r="O18">
        <v>67000</v>
      </c>
    </row>
    <row r="19" spans="1:15">
      <c r="A19" t="s">
        <v>76</v>
      </c>
      <c r="B19" t="s">
        <v>144</v>
      </c>
      <c r="C19" t="s">
        <v>145</v>
      </c>
      <c r="D19" t="str">
        <f>TEXT(Tabela7[[#This Row],[cpf]],"000\.000\.000\-00")</f>
        <v>000.000.090-00</v>
      </c>
      <c r="E19">
        <v>32</v>
      </c>
      <c r="F19" s="11">
        <v>34457</v>
      </c>
      <c r="G19" t="s">
        <v>138</v>
      </c>
      <c r="H19" t="s">
        <v>146</v>
      </c>
      <c r="I19" s="13">
        <v>21300</v>
      </c>
      <c r="J19" s="12">
        <v>48000</v>
      </c>
      <c r="K19" t="s">
        <v>50</v>
      </c>
      <c r="L19">
        <v>11</v>
      </c>
      <c r="N19" t="s">
        <v>50</v>
      </c>
      <c r="O19">
        <v>35000</v>
      </c>
    </row>
    <row r="20" spans="1:15">
      <c r="A20" t="s">
        <v>76</v>
      </c>
      <c r="B20" t="s">
        <v>147</v>
      </c>
      <c r="C20">
        <v>22300</v>
      </c>
      <c r="D20" t="str">
        <f>TEXT(Tabela7[[#This Row],[cpf]],"000\.000\.000\-00")</f>
        <v>000.000.223-00</v>
      </c>
      <c r="E20">
        <v>25</v>
      </c>
      <c r="F20" s="11">
        <v>36831</v>
      </c>
      <c r="G20" t="s">
        <v>148</v>
      </c>
      <c r="H20" t="s">
        <v>149</v>
      </c>
      <c r="I20" s="13">
        <v>9400</v>
      </c>
      <c r="J20">
        <v>51500</v>
      </c>
      <c r="K20" t="s">
        <v>50</v>
      </c>
      <c r="L20">
        <v>14</v>
      </c>
      <c r="N20" t="s">
        <v>50</v>
      </c>
      <c r="O20">
        <v>29500</v>
      </c>
    </row>
    <row r="21" spans="1:15">
      <c r="A21" t="s">
        <v>76</v>
      </c>
      <c r="B21" t="s">
        <v>150</v>
      </c>
      <c r="C21" t="s">
        <v>151</v>
      </c>
      <c r="D21" t="str">
        <f>TEXT(Tabela7[[#This Row],[cpf]],"000\.000\.000\-00")</f>
        <v>000.000.125-00</v>
      </c>
      <c r="E21">
        <v>23</v>
      </c>
      <c r="F21">
        <v>37627</v>
      </c>
      <c r="G21" t="s">
        <v>138</v>
      </c>
      <c r="H21" t="s">
        <v>146</v>
      </c>
      <c r="J21">
        <v>69000</v>
      </c>
      <c r="K21" t="s">
        <v>50</v>
      </c>
      <c r="L21">
        <v>20</v>
      </c>
      <c r="N21" t="s">
        <v>50</v>
      </c>
      <c r="O21">
        <v>69000</v>
      </c>
    </row>
    <row r="22" spans="1:15">
      <c r="A22" t="s">
        <v>81</v>
      </c>
      <c r="B22" t="s">
        <v>152</v>
      </c>
      <c r="C22" t="s">
        <v>153</v>
      </c>
      <c r="D22" t="str">
        <f>TEXT(Tabela7[[#This Row],[cpf]],"000\.000\.000\-00")</f>
        <v>000.000.231-00</v>
      </c>
      <c r="E22">
        <v>53</v>
      </c>
      <c r="F22" s="11">
        <v>26629</v>
      </c>
      <c r="G22" t="s">
        <v>154</v>
      </c>
      <c r="H22" t="s">
        <v>155</v>
      </c>
      <c r="I22" s="13">
        <v>16500</v>
      </c>
      <c r="J22" s="12">
        <v>4000</v>
      </c>
      <c r="K22" t="s">
        <v>50</v>
      </c>
      <c r="L22">
        <v>14</v>
      </c>
      <c r="N22" t="s">
        <v>50</v>
      </c>
      <c r="O22">
        <v>36000</v>
      </c>
    </row>
    <row r="23" spans="1:15">
      <c r="A23" t="s">
        <v>76</v>
      </c>
      <c r="B23" t="s">
        <v>156</v>
      </c>
      <c r="C23" t="s">
        <v>157</v>
      </c>
      <c r="D23" t="str">
        <f>TEXT(Tabela7[[#This Row],[cpf]],"000\.000\.000\-00")</f>
        <v>000.000.184-00</v>
      </c>
      <c r="F23">
        <v>21378</v>
      </c>
      <c r="G23" t="s">
        <v>121</v>
      </c>
      <c r="I23">
        <v>14300</v>
      </c>
      <c r="J23">
        <v>32500</v>
      </c>
      <c r="K23" t="s">
        <v>51</v>
      </c>
      <c r="L23">
        <v>15</v>
      </c>
      <c r="N23" t="s">
        <v>51</v>
      </c>
      <c r="O23">
        <v>8000</v>
      </c>
    </row>
    <row r="24" spans="1:15">
      <c r="A24" t="s">
        <v>81</v>
      </c>
      <c r="B24" t="s">
        <v>158</v>
      </c>
      <c r="C24" t="s">
        <v>159</v>
      </c>
      <c r="D24" t="str">
        <f>TEXT(Tabela7[[#This Row],[cpf]],"000\.000\.000\-00")</f>
        <v>000.000.119-00</v>
      </c>
      <c r="E24">
        <v>33</v>
      </c>
      <c r="F24" s="11">
        <v>34082</v>
      </c>
      <c r="G24" t="s">
        <v>121</v>
      </c>
      <c r="H24" t="s">
        <v>122</v>
      </c>
      <c r="I24">
        <v>23600</v>
      </c>
      <c r="J24" s="13">
        <v>75500</v>
      </c>
      <c r="K24" t="s">
        <v>50</v>
      </c>
      <c r="L24">
        <v>16</v>
      </c>
      <c r="N24" t="s">
        <v>50</v>
      </c>
      <c r="O24">
        <v>88000</v>
      </c>
    </row>
    <row r="25" spans="1:15">
      <c r="A25" t="s">
        <v>76</v>
      </c>
      <c r="B25" t="s">
        <v>160</v>
      </c>
      <c r="C25" t="s">
        <v>161</v>
      </c>
      <c r="D25" t="str">
        <f>TEXT(Tabela7[[#This Row],[cpf]],"000\.000\.000\-00")</f>
        <v>000.000.362-00</v>
      </c>
      <c r="E25">
        <v>68</v>
      </c>
      <c r="F25">
        <v>21145</v>
      </c>
      <c r="G25" t="s">
        <v>162</v>
      </c>
      <c r="H25" t="s">
        <v>142</v>
      </c>
      <c r="I25">
        <v>29000</v>
      </c>
      <c r="J25">
        <v>67500</v>
      </c>
      <c r="K25" t="s">
        <v>50</v>
      </c>
      <c r="L25">
        <v>25</v>
      </c>
      <c r="N25" t="s">
        <v>50</v>
      </c>
      <c r="O25">
        <v>18000</v>
      </c>
    </row>
    <row r="26" spans="1:15">
      <c r="A26" t="s">
        <v>81</v>
      </c>
      <c r="B26" t="s">
        <v>163</v>
      </c>
      <c r="C26" t="s">
        <v>164</v>
      </c>
      <c r="D26" t="str">
        <f>TEXT(Tabela7[[#This Row],[cpf]],"000\.000\.000\-00")</f>
        <v>000.000.346-00</v>
      </c>
      <c r="E26">
        <v>62</v>
      </c>
      <c r="F26" s="11">
        <v>23259</v>
      </c>
      <c r="G26" t="s">
        <v>89</v>
      </c>
      <c r="H26" t="s">
        <v>165</v>
      </c>
      <c r="J26">
        <v>0</v>
      </c>
      <c r="K26" t="s">
        <v>51</v>
      </c>
      <c r="L26" t="s">
        <v>166</v>
      </c>
      <c r="N26" t="s">
        <v>51</v>
      </c>
      <c r="O26">
        <v>12000</v>
      </c>
    </row>
    <row r="27" spans="1:15">
      <c r="A27" t="s">
        <v>76</v>
      </c>
      <c r="B27" t="s">
        <v>167</v>
      </c>
      <c r="C27" t="s">
        <v>168</v>
      </c>
      <c r="D27" t="str">
        <f>TEXT(Tabela7[[#This Row],[cpf]],"000\.000\.000\-00")</f>
        <v>000.000.287-00</v>
      </c>
      <c r="E27">
        <v>58</v>
      </c>
      <c r="F27">
        <v>24911</v>
      </c>
      <c r="G27" t="s">
        <v>169</v>
      </c>
      <c r="H27" t="s">
        <v>139</v>
      </c>
      <c r="I27" s="12">
        <v>25400</v>
      </c>
      <c r="J27">
        <v>70500</v>
      </c>
      <c r="K27" t="s">
        <v>51</v>
      </c>
      <c r="L27">
        <v>11</v>
      </c>
      <c r="N27" t="s">
        <v>51</v>
      </c>
      <c r="O27">
        <v>47000</v>
      </c>
    </row>
    <row r="28" spans="1:15">
      <c r="A28" t="s">
        <v>76</v>
      </c>
      <c r="B28" t="s">
        <v>98</v>
      </c>
      <c r="C28">
        <v>34300</v>
      </c>
      <c r="D28" t="str">
        <f>TEXT(Tabela7[[#This Row],[cpf]],"000\.000\.000\-00")</f>
        <v>000.000.343-00</v>
      </c>
      <c r="E28">
        <v>48</v>
      </c>
      <c r="F28" s="11">
        <v>28408</v>
      </c>
      <c r="G28" t="s">
        <v>210</v>
      </c>
      <c r="I28" s="13">
        <v>13300</v>
      </c>
      <c r="J28">
        <v>42000</v>
      </c>
      <c r="K28" t="s">
        <v>51</v>
      </c>
      <c r="L28">
        <v>27</v>
      </c>
      <c r="N28" t="s">
        <v>51</v>
      </c>
      <c r="O28">
        <v>40000</v>
      </c>
    </row>
    <row r="29" spans="1:15">
      <c r="A29" t="s">
        <v>76</v>
      </c>
      <c r="B29" t="s">
        <v>170</v>
      </c>
      <c r="C29" t="s">
        <v>171</v>
      </c>
      <c r="D29" t="str">
        <f>TEXT(Tabela7[[#This Row],[cpf]],"000\.000\.000\-00")</f>
        <v>000.000.124-00</v>
      </c>
      <c r="E29">
        <v>29</v>
      </c>
      <c r="F29">
        <v>35323</v>
      </c>
      <c r="G29" t="s">
        <v>172</v>
      </c>
      <c r="H29" t="s">
        <v>149</v>
      </c>
      <c r="I29">
        <v>21200</v>
      </c>
      <c r="J29">
        <v>75000</v>
      </c>
      <c r="K29" t="s">
        <v>50</v>
      </c>
      <c r="L29">
        <v>6</v>
      </c>
      <c r="N29" t="s">
        <v>50</v>
      </c>
      <c r="O29">
        <v>63500</v>
      </c>
    </row>
    <row r="30" spans="1:15">
      <c r="A30" t="s">
        <v>173</v>
      </c>
      <c r="B30" t="s">
        <v>174</v>
      </c>
      <c r="C30" t="s">
        <v>175</v>
      </c>
      <c r="D30" t="str">
        <f>TEXT(Tabela7[[#This Row],[cpf]],"000\.000\.000\-00")</f>
        <v>000.000.226-00</v>
      </c>
      <c r="E30">
        <v>38</v>
      </c>
      <c r="F30">
        <v>32166</v>
      </c>
      <c r="G30" t="s">
        <v>141</v>
      </c>
      <c r="H30" t="s">
        <v>176</v>
      </c>
      <c r="I30" t="s">
        <v>128</v>
      </c>
      <c r="J30">
        <v>39000</v>
      </c>
      <c r="K30" t="s">
        <v>50</v>
      </c>
      <c r="L30">
        <v>25</v>
      </c>
      <c r="N30" t="s">
        <v>50</v>
      </c>
      <c r="O30">
        <v>88500</v>
      </c>
    </row>
    <row r="31" spans="1:15">
      <c r="A31" t="s">
        <v>81</v>
      </c>
      <c r="B31" t="s">
        <v>177</v>
      </c>
      <c r="C31" t="s">
        <v>178</v>
      </c>
      <c r="D31" t="str">
        <f>TEXT(Tabela7[[#This Row],[cpf]],"000\.000\.000\-00")</f>
        <v>000.000.306-00</v>
      </c>
      <c r="E31">
        <v>68</v>
      </c>
      <c r="F31">
        <v>21293</v>
      </c>
      <c r="G31" t="s">
        <v>112</v>
      </c>
      <c r="H31" t="s">
        <v>132</v>
      </c>
      <c r="I31">
        <v>3800</v>
      </c>
      <c r="J31">
        <v>70000</v>
      </c>
      <c r="K31" t="s">
        <v>51</v>
      </c>
      <c r="L31">
        <v>34</v>
      </c>
      <c r="N31" t="s">
        <v>51</v>
      </c>
      <c r="O31">
        <v>7500</v>
      </c>
    </row>
    <row r="32" spans="1:15">
      <c r="A32" t="s">
        <v>76</v>
      </c>
      <c r="B32" t="s">
        <v>179</v>
      </c>
      <c r="C32" t="s">
        <v>180</v>
      </c>
      <c r="D32" t="str">
        <f>TEXT(Tabela7[[#This Row],[cpf]],"000\.000\.000\-00")</f>
        <v>000.000.247-00</v>
      </c>
      <c r="E32">
        <v>19</v>
      </c>
      <c r="F32" s="11">
        <v>39220</v>
      </c>
      <c r="G32" t="s">
        <v>148</v>
      </c>
      <c r="H32" t="s">
        <v>149</v>
      </c>
      <c r="I32">
        <v>18000</v>
      </c>
      <c r="J32">
        <v>50500</v>
      </c>
      <c r="K32" t="s">
        <v>181</v>
      </c>
      <c r="L32">
        <v>11</v>
      </c>
      <c r="N32" t="s">
        <v>181</v>
      </c>
      <c r="O32">
        <v>26000</v>
      </c>
    </row>
    <row r="33" spans="1:15">
      <c r="A33" t="s">
        <v>76</v>
      </c>
      <c r="B33" t="s">
        <v>182</v>
      </c>
      <c r="C33">
        <v>15400</v>
      </c>
      <c r="D33" t="str">
        <f>TEXT(Tabela7[[#This Row],[cpf]],"000\.000\.000\-00")</f>
        <v>000.000.154-00</v>
      </c>
      <c r="E33">
        <v>42</v>
      </c>
      <c r="F33">
        <v>30642</v>
      </c>
      <c r="G33" t="s">
        <v>183</v>
      </c>
      <c r="H33" t="s">
        <v>183</v>
      </c>
      <c r="I33" t="s">
        <v>184</v>
      </c>
      <c r="J33">
        <v>19500</v>
      </c>
      <c r="K33" t="s">
        <v>50</v>
      </c>
      <c r="L33">
        <v>42</v>
      </c>
      <c r="N33" t="s">
        <v>50</v>
      </c>
      <c r="O33">
        <v>89500</v>
      </c>
    </row>
    <row r="34" spans="1:15">
      <c r="A34" t="s">
        <v>76</v>
      </c>
      <c r="B34" t="s">
        <v>185</v>
      </c>
      <c r="C34" t="s">
        <v>186</v>
      </c>
      <c r="D34" t="str">
        <f>TEXT(Tabela7[[#This Row],[cpf]],"000\.000\.000\-00")</f>
        <v>000.000.249-00</v>
      </c>
      <c r="E34">
        <v>27</v>
      </c>
      <c r="F34">
        <v>36319</v>
      </c>
      <c r="G34" t="s">
        <v>83</v>
      </c>
      <c r="H34" t="s">
        <v>187</v>
      </c>
      <c r="I34">
        <v>28800</v>
      </c>
      <c r="J34" s="13">
        <v>78500</v>
      </c>
      <c r="K34" t="s">
        <v>50</v>
      </c>
      <c r="L34">
        <v>2</v>
      </c>
      <c r="N34" t="s">
        <v>50</v>
      </c>
      <c r="O34">
        <v>53000</v>
      </c>
    </row>
    <row r="35" spans="1:15">
      <c r="A35" t="s">
        <v>76</v>
      </c>
      <c r="B35" t="s">
        <v>188</v>
      </c>
      <c r="C35" t="s">
        <v>189</v>
      </c>
      <c r="D35" t="str">
        <f>TEXT(Tabela7[[#This Row],[cpf]],"000\.000\.000\-00")</f>
        <v>000.000.057-00</v>
      </c>
      <c r="E35">
        <v>42</v>
      </c>
      <c r="F35">
        <v>30878</v>
      </c>
      <c r="G35" t="s">
        <v>112</v>
      </c>
      <c r="H35" t="s">
        <v>132</v>
      </c>
      <c r="I35">
        <v>17500</v>
      </c>
      <c r="J35">
        <v>3500</v>
      </c>
      <c r="K35" t="s">
        <v>190</v>
      </c>
      <c r="L35">
        <v>25</v>
      </c>
      <c r="N35" t="s">
        <v>190</v>
      </c>
      <c r="O35">
        <v>35000</v>
      </c>
    </row>
    <row r="36" spans="1:15">
      <c r="A36" t="s">
        <v>76</v>
      </c>
      <c r="B36" t="s">
        <v>191</v>
      </c>
      <c r="C36" t="s">
        <v>192</v>
      </c>
      <c r="D36" t="str">
        <f>TEXT(Tabela7[[#This Row],[cpf]],"000\.000\.000\-00")</f>
        <v>000.000.016-00</v>
      </c>
      <c r="E36">
        <v>44</v>
      </c>
      <c r="F36">
        <v>29975</v>
      </c>
      <c r="G36" t="s">
        <v>103</v>
      </c>
      <c r="H36" t="s">
        <v>193</v>
      </c>
      <c r="I36">
        <v>5300</v>
      </c>
      <c r="J36">
        <v>6000</v>
      </c>
      <c r="K36" t="s">
        <v>51</v>
      </c>
      <c r="L36">
        <v>1</v>
      </c>
      <c r="N36" t="s">
        <v>51</v>
      </c>
      <c r="O36">
        <v>4500</v>
      </c>
    </row>
    <row r="37" spans="1:15">
      <c r="A37" t="s">
        <v>76</v>
      </c>
      <c r="B37" t="s">
        <v>194</v>
      </c>
      <c r="C37" t="s">
        <v>195</v>
      </c>
      <c r="D37" t="str">
        <f>TEXT(Tabela7[[#This Row],[cpf]],"000\.000\.000\-00")</f>
        <v>000.000.205-00</v>
      </c>
      <c r="E37">
        <v>40</v>
      </c>
      <c r="F37" s="11">
        <v>31539</v>
      </c>
      <c r="G37" t="s">
        <v>162</v>
      </c>
      <c r="H37" t="s">
        <v>142</v>
      </c>
      <c r="I37">
        <v>9900</v>
      </c>
      <c r="J37">
        <v>3500</v>
      </c>
      <c r="K37" t="s">
        <v>50</v>
      </c>
      <c r="L37">
        <v>1</v>
      </c>
      <c r="N37" t="s">
        <v>50</v>
      </c>
      <c r="O37">
        <v>23500</v>
      </c>
    </row>
    <row r="38" spans="1:15">
      <c r="A38" t="s">
        <v>76</v>
      </c>
      <c r="B38" t="s">
        <v>196</v>
      </c>
      <c r="C38" t="s">
        <v>197</v>
      </c>
      <c r="D38" t="str">
        <f>TEXT(Tabela7[[#This Row],[cpf]],"000\.000\.000\-00")</f>
        <v>000.000.005-00</v>
      </c>
      <c r="E38">
        <v>65</v>
      </c>
      <c r="F38" s="11">
        <v>22236</v>
      </c>
      <c r="G38" t="s">
        <v>112</v>
      </c>
      <c r="H38" t="s">
        <v>113</v>
      </c>
      <c r="I38" t="s">
        <v>198</v>
      </c>
      <c r="J38">
        <v>28000</v>
      </c>
      <c r="K38" t="s">
        <v>50</v>
      </c>
      <c r="L38">
        <v>34</v>
      </c>
      <c r="N38" t="s">
        <v>50</v>
      </c>
      <c r="O38">
        <v>74000</v>
      </c>
    </row>
    <row r="39" spans="1:15">
      <c r="B39" t="s">
        <v>199</v>
      </c>
      <c r="C39" t="s">
        <v>200</v>
      </c>
      <c r="D39" t="str">
        <f>TEXT(Tabela7[[#This Row],[cpf]],"000\.000\.000\-00")</f>
        <v>000.000.131-00</v>
      </c>
      <c r="E39">
        <v>63</v>
      </c>
      <c r="F39">
        <v>22974</v>
      </c>
      <c r="G39" t="s">
        <v>183</v>
      </c>
      <c r="H39" t="s">
        <v>201</v>
      </c>
      <c r="I39" s="12">
        <v>14700</v>
      </c>
      <c r="J39">
        <v>0</v>
      </c>
      <c r="K39" t="s">
        <v>181</v>
      </c>
      <c r="L39">
        <v>40</v>
      </c>
      <c r="N39" t="s">
        <v>181</v>
      </c>
      <c r="O39">
        <v>83500</v>
      </c>
    </row>
    <row r="40" spans="1:15">
      <c r="A40" t="s">
        <v>76</v>
      </c>
      <c r="B40" t="s">
        <v>202</v>
      </c>
      <c r="C40" t="s">
        <v>203</v>
      </c>
      <c r="D40" t="str">
        <f>TEXT(Tabela7[[#This Row],[cpf]],"000\.000\.000\-00")</f>
        <v>000.000.364-00</v>
      </c>
      <c r="E40">
        <v>22</v>
      </c>
      <c r="G40" t="s">
        <v>121</v>
      </c>
      <c r="H40" t="s">
        <v>122</v>
      </c>
      <c r="I40">
        <v>14400</v>
      </c>
      <c r="J40">
        <v>0</v>
      </c>
      <c r="K40" t="s">
        <v>50</v>
      </c>
      <c r="L40" t="s">
        <v>204</v>
      </c>
      <c r="N40" t="s">
        <v>50</v>
      </c>
      <c r="O40">
        <v>33500</v>
      </c>
    </row>
    <row r="41" spans="1:15">
      <c r="A41" t="s">
        <v>105</v>
      </c>
      <c r="B41" t="s">
        <v>205</v>
      </c>
      <c r="C41" t="s">
        <v>206</v>
      </c>
      <c r="D41" t="str">
        <f>TEXT(Tabela7[[#This Row],[cpf]],"000\.000\.000\-00")</f>
        <v>000.000.050-00</v>
      </c>
      <c r="E41">
        <v>39</v>
      </c>
      <c r="F41">
        <v>31879</v>
      </c>
      <c r="G41" t="s">
        <v>148</v>
      </c>
      <c r="H41" t="s">
        <v>149</v>
      </c>
      <c r="I41" t="s">
        <v>207</v>
      </c>
      <c r="J41">
        <v>0</v>
      </c>
      <c r="K41" t="s">
        <v>50</v>
      </c>
      <c r="L41">
        <v>39</v>
      </c>
      <c r="N41" t="s">
        <v>50</v>
      </c>
      <c r="O41">
        <v>75000</v>
      </c>
    </row>
    <row r="42" spans="1:15">
      <c r="A42" t="s">
        <v>76</v>
      </c>
      <c r="B42" t="s">
        <v>208</v>
      </c>
      <c r="C42" t="s">
        <v>209</v>
      </c>
      <c r="D42" t="str">
        <f>TEXT(Tabela7[[#This Row],[cpf]],"000\.000\.000\-00")</f>
        <v>000.000.222-00</v>
      </c>
      <c r="E42">
        <v>63</v>
      </c>
      <c r="F42">
        <v>23231</v>
      </c>
      <c r="G42" t="s">
        <v>210</v>
      </c>
      <c r="H42" t="s">
        <v>142</v>
      </c>
      <c r="I42">
        <v>16800</v>
      </c>
      <c r="J42">
        <v>0</v>
      </c>
      <c r="L42">
        <v>32</v>
      </c>
      <c r="O42">
        <v>61500</v>
      </c>
    </row>
    <row r="43" spans="1:15">
      <c r="A43" t="s">
        <v>76</v>
      </c>
      <c r="B43" t="s">
        <v>211</v>
      </c>
      <c r="C43" t="s">
        <v>212</v>
      </c>
      <c r="D43" t="str">
        <f>TEXT(Tabela7[[#This Row],[cpf]],"000\.000\.000\-00")</f>
        <v>000.000.341-00</v>
      </c>
      <c r="E43">
        <v>54</v>
      </c>
      <c r="F43" s="11">
        <v>26213</v>
      </c>
      <c r="G43" t="s">
        <v>148</v>
      </c>
      <c r="H43" t="s">
        <v>213</v>
      </c>
      <c r="I43">
        <v>29700</v>
      </c>
      <c r="J43">
        <v>34000</v>
      </c>
      <c r="K43" t="s">
        <v>50</v>
      </c>
      <c r="L43">
        <v>35</v>
      </c>
      <c r="N43" t="s">
        <v>50</v>
      </c>
      <c r="O43">
        <v>35000</v>
      </c>
    </row>
    <row r="44" spans="1:15">
      <c r="A44" t="s">
        <v>76</v>
      </c>
      <c r="B44" t="s">
        <v>106</v>
      </c>
      <c r="C44" t="s">
        <v>1184</v>
      </c>
      <c r="D44" t="str">
        <f>TEXT(Tabela7[[#This Row],[cpf]],"000\.000\.000\-00")</f>
        <v>000.000.140-00</v>
      </c>
      <c r="E44">
        <v>29</v>
      </c>
      <c r="F44">
        <v>35472</v>
      </c>
      <c r="G44" t="s">
        <v>339</v>
      </c>
      <c r="I44">
        <v>11900</v>
      </c>
      <c r="J44">
        <v>65000</v>
      </c>
      <c r="K44" t="s">
        <v>51</v>
      </c>
      <c r="L44">
        <v>29</v>
      </c>
      <c r="N44" t="s">
        <v>51</v>
      </c>
      <c r="O44">
        <v>12000</v>
      </c>
    </row>
    <row r="45" spans="1:15">
      <c r="A45" t="s">
        <v>76</v>
      </c>
      <c r="B45" t="s">
        <v>214</v>
      </c>
      <c r="C45">
        <v>16500</v>
      </c>
      <c r="D45" t="str">
        <f>TEXT(Tabela7[[#This Row],[cpf]],"000\.000\.000\-00")</f>
        <v>000.000.165-00</v>
      </c>
      <c r="E45">
        <v>37</v>
      </c>
      <c r="F45">
        <v>32513</v>
      </c>
      <c r="G45" t="s">
        <v>215</v>
      </c>
      <c r="H45" t="s">
        <v>216</v>
      </c>
      <c r="I45" s="12">
        <v>2600</v>
      </c>
      <c r="J45" t="s">
        <v>92</v>
      </c>
      <c r="K45" t="s">
        <v>50</v>
      </c>
      <c r="L45">
        <v>5</v>
      </c>
      <c r="N45" t="s">
        <v>50</v>
      </c>
      <c r="O45">
        <v>16500</v>
      </c>
    </row>
    <row r="46" spans="1:15">
      <c r="A46" t="s">
        <v>76</v>
      </c>
      <c r="B46" t="s">
        <v>217</v>
      </c>
      <c r="C46">
        <v>15100</v>
      </c>
      <c r="D46" t="str">
        <f>TEXT(Tabela7[[#This Row],[cpf]],"000\.000\.000\-00")</f>
        <v>000.000.151-00</v>
      </c>
      <c r="E46">
        <v>25</v>
      </c>
      <c r="F46" s="11">
        <v>37125</v>
      </c>
      <c r="G46" t="s">
        <v>183</v>
      </c>
      <c r="H46" t="s">
        <v>183</v>
      </c>
      <c r="I46">
        <v>2500</v>
      </c>
      <c r="J46">
        <v>72500</v>
      </c>
      <c r="K46" t="s">
        <v>50</v>
      </c>
      <c r="L46">
        <v>32</v>
      </c>
      <c r="N46" t="s">
        <v>50</v>
      </c>
      <c r="O46">
        <v>97000</v>
      </c>
    </row>
    <row r="47" spans="1:15">
      <c r="A47" t="s">
        <v>76</v>
      </c>
      <c r="B47" t="s">
        <v>218</v>
      </c>
      <c r="C47" t="s">
        <v>219</v>
      </c>
      <c r="D47" t="str">
        <f>TEXT(Tabela7[[#This Row],[cpf]],"000\.000\.000\-00")</f>
        <v>000.000.333-00</v>
      </c>
      <c r="E47">
        <v>21</v>
      </c>
      <c r="F47">
        <v>38323</v>
      </c>
      <c r="G47" t="s">
        <v>138</v>
      </c>
      <c r="H47" t="s">
        <v>139</v>
      </c>
      <c r="I47" t="s">
        <v>220</v>
      </c>
      <c r="J47">
        <v>0</v>
      </c>
      <c r="K47" t="s">
        <v>50</v>
      </c>
      <c r="L47">
        <v>25</v>
      </c>
      <c r="N47" t="s">
        <v>50</v>
      </c>
      <c r="O47">
        <v>50000</v>
      </c>
    </row>
    <row r="48" spans="1:15">
      <c r="A48" t="s">
        <v>76</v>
      </c>
      <c r="B48" t="s">
        <v>221</v>
      </c>
      <c r="C48" t="s">
        <v>222</v>
      </c>
      <c r="D48" t="str">
        <f>TEXT(Tabela7[[#This Row],[cpf]],"000\.000\.000\-00")</f>
        <v>000.000.215-00</v>
      </c>
      <c r="E48">
        <v>28</v>
      </c>
      <c r="F48" s="11">
        <v>35887</v>
      </c>
      <c r="G48" t="s">
        <v>223</v>
      </c>
      <c r="H48" t="s">
        <v>90</v>
      </c>
      <c r="I48" t="s">
        <v>224</v>
      </c>
      <c r="J48">
        <v>51000</v>
      </c>
      <c r="K48" t="s">
        <v>190</v>
      </c>
      <c r="L48">
        <v>12</v>
      </c>
      <c r="N48" t="s">
        <v>190</v>
      </c>
      <c r="O48">
        <v>72500</v>
      </c>
    </row>
    <row r="49" spans="1:15">
      <c r="A49" t="s">
        <v>76</v>
      </c>
      <c r="B49" t="s">
        <v>225</v>
      </c>
      <c r="C49">
        <v>10800</v>
      </c>
      <c r="D49" t="str">
        <f>TEXT(Tabela7[[#This Row],[cpf]],"000\.000\.000\-00")</f>
        <v>000.000.108-00</v>
      </c>
      <c r="E49">
        <v>39</v>
      </c>
      <c r="F49" s="11">
        <v>31766</v>
      </c>
      <c r="G49" t="s">
        <v>148</v>
      </c>
      <c r="H49" t="s">
        <v>216</v>
      </c>
      <c r="I49">
        <v>24700</v>
      </c>
      <c r="J49" t="s">
        <v>226</v>
      </c>
      <c r="K49" t="s">
        <v>50</v>
      </c>
      <c r="L49">
        <v>43</v>
      </c>
      <c r="N49" t="s">
        <v>50</v>
      </c>
      <c r="O49">
        <v>57000</v>
      </c>
    </row>
    <row r="50" spans="1:15">
      <c r="A50" t="s">
        <v>76</v>
      </c>
      <c r="B50" t="s">
        <v>227</v>
      </c>
      <c r="C50">
        <v>15000</v>
      </c>
      <c r="D50" t="str">
        <f>TEXT(Tabela7[[#This Row],[cpf]],"000\.000\.000\-00")</f>
        <v>000.000.150-00</v>
      </c>
      <c r="E50">
        <v>73</v>
      </c>
      <c r="F50">
        <v>19588</v>
      </c>
      <c r="G50" t="s">
        <v>162</v>
      </c>
      <c r="H50" t="s">
        <v>142</v>
      </c>
      <c r="I50" s="13">
        <v>28600</v>
      </c>
      <c r="J50">
        <v>40500</v>
      </c>
      <c r="K50" t="s">
        <v>50</v>
      </c>
      <c r="L50">
        <v>20</v>
      </c>
      <c r="N50" t="s">
        <v>50</v>
      </c>
      <c r="O50">
        <v>2500</v>
      </c>
    </row>
    <row r="51" spans="1:15">
      <c r="A51" t="s">
        <v>76</v>
      </c>
      <c r="B51" t="s">
        <v>228</v>
      </c>
      <c r="C51" t="s">
        <v>229</v>
      </c>
      <c r="D51" t="str">
        <f>TEXT(Tabela7[[#This Row],[cpf]],"000\.000\.000\-00")</f>
        <v>000.000.284-00</v>
      </c>
      <c r="E51">
        <v>42</v>
      </c>
      <c r="F51" s="11">
        <v>30662</v>
      </c>
      <c r="G51" t="s">
        <v>141</v>
      </c>
      <c r="H51" t="s">
        <v>155</v>
      </c>
      <c r="I51">
        <v>20400</v>
      </c>
      <c r="J51">
        <v>0</v>
      </c>
      <c r="K51" t="s">
        <v>190</v>
      </c>
      <c r="L51">
        <v>0</v>
      </c>
      <c r="N51" t="s">
        <v>190</v>
      </c>
      <c r="O51">
        <v>81000</v>
      </c>
    </row>
    <row r="52" spans="1:15">
      <c r="A52" t="s">
        <v>76</v>
      </c>
      <c r="B52" t="s">
        <v>230</v>
      </c>
      <c r="C52" t="s">
        <v>231</v>
      </c>
      <c r="D52" t="str">
        <f>TEXT(Tabela7[[#This Row],[cpf]],"000\.000\.000\-00")</f>
        <v>000.000.288-00</v>
      </c>
      <c r="E52">
        <v>48</v>
      </c>
      <c r="F52" s="11">
        <v>28430</v>
      </c>
      <c r="G52" t="s">
        <v>112</v>
      </c>
      <c r="H52" t="s">
        <v>113</v>
      </c>
      <c r="I52" t="s">
        <v>232</v>
      </c>
      <c r="J52">
        <v>0</v>
      </c>
      <c r="K52" t="s">
        <v>50</v>
      </c>
      <c r="L52">
        <v>3</v>
      </c>
      <c r="N52" t="s">
        <v>50</v>
      </c>
      <c r="O52">
        <v>48500</v>
      </c>
    </row>
    <row r="53" spans="1:15">
      <c r="A53" t="s">
        <v>81</v>
      </c>
      <c r="B53" t="s">
        <v>94</v>
      </c>
      <c r="C53" t="s">
        <v>1185</v>
      </c>
      <c r="D53" t="str">
        <f>TEXT(Tabela7[[#This Row],[cpf]],"000\.000\.000\-00")</f>
        <v>000.000.294-00</v>
      </c>
      <c r="E53">
        <v>39</v>
      </c>
      <c r="F53" s="11">
        <v>31693</v>
      </c>
      <c r="G53" t="s">
        <v>103</v>
      </c>
      <c r="H53" t="s">
        <v>108</v>
      </c>
      <c r="I53">
        <v>22200</v>
      </c>
      <c r="J53">
        <v>0</v>
      </c>
      <c r="K53" t="s">
        <v>51</v>
      </c>
      <c r="L53">
        <v>3</v>
      </c>
      <c r="N53" t="s">
        <v>51</v>
      </c>
      <c r="O53">
        <v>7000</v>
      </c>
    </row>
    <row r="54" spans="1:15">
      <c r="A54" t="s">
        <v>76</v>
      </c>
      <c r="B54" t="s">
        <v>233</v>
      </c>
      <c r="C54" t="s">
        <v>234</v>
      </c>
      <c r="D54" t="str">
        <f>TEXT(Tabela7[[#This Row],[cpf]],"000\.000\.000\-00")</f>
        <v>000.000.338-00</v>
      </c>
      <c r="E54">
        <v>56</v>
      </c>
      <c r="F54" s="11">
        <v>25525</v>
      </c>
      <c r="G54" t="s">
        <v>183</v>
      </c>
      <c r="H54" t="s">
        <v>183</v>
      </c>
      <c r="I54" t="s">
        <v>235</v>
      </c>
      <c r="J54">
        <v>63000</v>
      </c>
      <c r="K54" t="s">
        <v>50</v>
      </c>
      <c r="L54">
        <v>0</v>
      </c>
      <c r="N54" t="s">
        <v>50</v>
      </c>
      <c r="O54">
        <v>56000</v>
      </c>
    </row>
    <row r="55" spans="1:15">
      <c r="A55" t="s">
        <v>76</v>
      </c>
      <c r="B55" t="s">
        <v>236</v>
      </c>
      <c r="C55">
        <v>14200</v>
      </c>
      <c r="D55" t="str">
        <f>TEXT(Tabela7[[#This Row],[cpf]],"000\.000\.000\-00")</f>
        <v>000.000.142-00</v>
      </c>
      <c r="E55">
        <v>48</v>
      </c>
      <c r="F55" s="11">
        <v>28681</v>
      </c>
      <c r="G55" t="s">
        <v>237</v>
      </c>
      <c r="I55">
        <v>15800</v>
      </c>
      <c r="J55" t="s">
        <v>92</v>
      </c>
      <c r="K55" t="s">
        <v>50</v>
      </c>
      <c r="L55">
        <v>12</v>
      </c>
      <c r="N55" t="s">
        <v>50</v>
      </c>
      <c r="O55">
        <v>69500</v>
      </c>
    </row>
    <row r="56" spans="1:15">
      <c r="A56" t="s">
        <v>76</v>
      </c>
      <c r="B56" t="s">
        <v>238</v>
      </c>
      <c r="C56" t="s">
        <v>239</v>
      </c>
      <c r="D56" t="str">
        <f>TEXT(Tabela7[[#This Row],[cpf]],"000\.000\.000\-00")</f>
        <v>000.000.195-00</v>
      </c>
      <c r="E56">
        <v>70</v>
      </c>
      <c r="F56" s="11">
        <v>20570</v>
      </c>
      <c r="G56" t="s">
        <v>127</v>
      </c>
      <c r="H56" t="s">
        <v>122</v>
      </c>
      <c r="I56">
        <v>16300</v>
      </c>
      <c r="J56">
        <v>16500</v>
      </c>
      <c r="K56" t="s">
        <v>50</v>
      </c>
      <c r="L56">
        <v>25</v>
      </c>
      <c r="N56" t="s">
        <v>50</v>
      </c>
      <c r="O56">
        <v>65500</v>
      </c>
    </row>
    <row r="57" spans="1:15">
      <c r="A57" t="s">
        <v>105</v>
      </c>
      <c r="B57" t="s">
        <v>240</v>
      </c>
      <c r="C57" t="s">
        <v>241</v>
      </c>
      <c r="D57" t="str">
        <f>TEXT(Tabela7[[#This Row],[cpf]],"000\.000\.000\-00")</f>
        <v>000.000.066-00</v>
      </c>
      <c r="E57">
        <v>24</v>
      </c>
      <c r="F57">
        <v>37435</v>
      </c>
      <c r="G57" t="s">
        <v>242</v>
      </c>
      <c r="H57" t="s">
        <v>243</v>
      </c>
      <c r="I57">
        <v>6100</v>
      </c>
      <c r="K57" t="s">
        <v>244</v>
      </c>
      <c r="L57">
        <v>15</v>
      </c>
      <c r="N57" t="s">
        <v>244</v>
      </c>
      <c r="O57">
        <v>67000</v>
      </c>
    </row>
    <row r="58" spans="1:15">
      <c r="A58" t="s">
        <v>76</v>
      </c>
      <c r="B58" t="s">
        <v>245</v>
      </c>
      <c r="C58" t="s">
        <v>246</v>
      </c>
      <c r="D58" t="str">
        <f>TEXT(Tabela7[[#This Row],[cpf]],"000\.000\.000\-00")</f>
        <v>000.000.309-00</v>
      </c>
      <c r="E58">
        <v>47</v>
      </c>
      <c r="F58">
        <v>28802</v>
      </c>
      <c r="G58" t="s">
        <v>242</v>
      </c>
      <c r="H58" t="s">
        <v>247</v>
      </c>
      <c r="I58">
        <v>22700</v>
      </c>
      <c r="J58">
        <v>8500</v>
      </c>
      <c r="L58">
        <v>35</v>
      </c>
      <c r="O58">
        <v>23500</v>
      </c>
    </row>
    <row r="59" spans="1:15">
      <c r="A59" t="s">
        <v>76</v>
      </c>
      <c r="B59" t="s">
        <v>248</v>
      </c>
      <c r="C59" t="s">
        <v>249</v>
      </c>
      <c r="D59" t="str">
        <f>TEXT(Tabela7[[#This Row],[cpf]],"000\.000\.000\-00")</f>
        <v>000.000.270-00</v>
      </c>
      <c r="E59">
        <v>33</v>
      </c>
      <c r="F59" s="11">
        <v>33881</v>
      </c>
      <c r="G59" t="s">
        <v>141</v>
      </c>
      <c r="H59" t="s">
        <v>155</v>
      </c>
      <c r="I59" s="13">
        <v>29700</v>
      </c>
      <c r="J59">
        <v>22000</v>
      </c>
      <c r="K59" t="s">
        <v>50</v>
      </c>
      <c r="L59" t="s">
        <v>250</v>
      </c>
      <c r="N59" t="s">
        <v>50</v>
      </c>
      <c r="O59">
        <v>81000</v>
      </c>
    </row>
    <row r="60" spans="1:15">
      <c r="A60" t="s">
        <v>81</v>
      </c>
      <c r="B60" t="s">
        <v>251</v>
      </c>
      <c r="C60" t="s">
        <v>252</v>
      </c>
      <c r="D60" t="str">
        <f>TEXT(Tabela7[[#This Row],[cpf]],"000\.000\.000\-00")</f>
        <v>000.000.194-00</v>
      </c>
      <c r="E60">
        <v>38</v>
      </c>
      <c r="F60" s="11">
        <v>32102</v>
      </c>
      <c r="G60" t="s">
        <v>112</v>
      </c>
      <c r="H60" t="s">
        <v>118</v>
      </c>
      <c r="I60">
        <v>13500</v>
      </c>
      <c r="J60">
        <v>24000</v>
      </c>
      <c r="K60" t="s">
        <v>50</v>
      </c>
      <c r="L60">
        <v>2</v>
      </c>
      <c r="N60" t="s">
        <v>50</v>
      </c>
      <c r="O60">
        <v>17500</v>
      </c>
    </row>
    <row r="61" spans="1:15">
      <c r="A61" t="s">
        <v>81</v>
      </c>
      <c r="B61" t="s">
        <v>253</v>
      </c>
      <c r="C61">
        <v>3400</v>
      </c>
      <c r="D61" t="str">
        <f>TEXT(Tabela7[[#This Row],[cpf]],"000\.000\.000\-00")</f>
        <v>000.000.034-00</v>
      </c>
      <c r="E61">
        <v>35</v>
      </c>
      <c r="F61" s="11">
        <v>33204</v>
      </c>
      <c r="G61" t="s">
        <v>210</v>
      </c>
      <c r="H61" t="s">
        <v>176</v>
      </c>
      <c r="I61">
        <v>17600</v>
      </c>
      <c r="J61">
        <v>44000</v>
      </c>
      <c r="K61" t="s">
        <v>244</v>
      </c>
      <c r="L61">
        <v>22</v>
      </c>
      <c r="N61" t="s">
        <v>244</v>
      </c>
      <c r="O61">
        <v>56500</v>
      </c>
    </row>
    <row r="62" spans="1:15">
      <c r="A62" t="s">
        <v>81</v>
      </c>
      <c r="B62" t="s">
        <v>254</v>
      </c>
      <c r="C62" t="s">
        <v>255</v>
      </c>
      <c r="D62" t="str">
        <f>TEXT(Tabela7[[#This Row],[cpf]],"000\.000\.000\-00")</f>
        <v>000.000.026-00</v>
      </c>
      <c r="E62">
        <v>67</v>
      </c>
      <c r="F62">
        <v>21512</v>
      </c>
      <c r="G62" t="s">
        <v>127</v>
      </c>
      <c r="H62" t="s">
        <v>256</v>
      </c>
      <c r="I62" s="12">
        <v>3200</v>
      </c>
      <c r="J62">
        <v>6500</v>
      </c>
      <c r="K62" t="s">
        <v>50</v>
      </c>
      <c r="L62">
        <v>20</v>
      </c>
      <c r="N62" t="s">
        <v>50</v>
      </c>
      <c r="O62">
        <v>52500</v>
      </c>
    </row>
    <row r="63" spans="1:15">
      <c r="A63" t="s">
        <v>257</v>
      </c>
      <c r="B63" t="s">
        <v>258</v>
      </c>
      <c r="C63" t="s">
        <v>259</v>
      </c>
      <c r="D63" t="str">
        <f>TEXT(Tabela7[[#This Row],[cpf]],"000\.000\.000\-00")</f>
        <v>000.000.251-00</v>
      </c>
      <c r="E63">
        <v>51</v>
      </c>
      <c r="F63" s="11">
        <v>27377</v>
      </c>
      <c r="G63" t="s">
        <v>112</v>
      </c>
      <c r="H63" t="s">
        <v>113</v>
      </c>
      <c r="I63">
        <v>16300</v>
      </c>
      <c r="K63" t="s">
        <v>190</v>
      </c>
      <c r="L63">
        <v>8</v>
      </c>
      <c r="N63" t="s">
        <v>190</v>
      </c>
      <c r="O63">
        <v>33000</v>
      </c>
    </row>
    <row r="64" spans="1:15">
      <c r="A64" t="s">
        <v>81</v>
      </c>
      <c r="B64" t="s">
        <v>260</v>
      </c>
      <c r="C64" t="s">
        <v>261</v>
      </c>
      <c r="D64" t="str">
        <f>TEXT(Tabela7[[#This Row],[cpf]],"000\.000\.000\-00")</f>
        <v>000.000.014-00</v>
      </c>
      <c r="E64" t="s">
        <v>262</v>
      </c>
      <c r="F64" s="11">
        <v>29113</v>
      </c>
      <c r="G64" t="s">
        <v>162</v>
      </c>
      <c r="H64" t="s">
        <v>142</v>
      </c>
      <c r="I64">
        <v>15000</v>
      </c>
      <c r="J64">
        <v>32500</v>
      </c>
      <c r="K64" t="s">
        <v>50</v>
      </c>
      <c r="L64">
        <v>40</v>
      </c>
      <c r="N64" t="s">
        <v>50</v>
      </c>
      <c r="O64">
        <v>4500</v>
      </c>
    </row>
    <row r="65" spans="1:15">
      <c r="A65" t="s">
        <v>76</v>
      </c>
      <c r="B65" t="s">
        <v>263</v>
      </c>
      <c r="C65">
        <v>23900</v>
      </c>
      <c r="D65" t="str">
        <f>TEXT(Tabela7[[#This Row],[cpf]],"000\.000\.000\-00")</f>
        <v>000.000.239-00</v>
      </c>
      <c r="E65">
        <v>39</v>
      </c>
      <c r="F65">
        <v>31740</v>
      </c>
      <c r="G65" t="s">
        <v>112</v>
      </c>
      <c r="H65" t="s">
        <v>264</v>
      </c>
      <c r="I65" s="12">
        <v>13200</v>
      </c>
      <c r="J65" t="s">
        <v>92</v>
      </c>
      <c r="K65" t="s">
        <v>50</v>
      </c>
      <c r="L65" t="s">
        <v>250</v>
      </c>
      <c r="N65" t="s">
        <v>50</v>
      </c>
      <c r="O65">
        <v>36000</v>
      </c>
    </row>
    <row r="66" spans="1:15">
      <c r="A66" t="s">
        <v>76</v>
      </c>
      <c r="B66" t="s">
        <v>265</v>
      </c>
      <c r="C66" t="s">
        <v>266</v>
      </c>
      <c r="D66" t="str">
        <f>TEXT(Tabela7[[#This Row],[cpf]],"000\.000\.000\-00")</f>
        <v>000.000.133-00</v>
      </c>
      <c r="E66">
        <v>24</v>
      </c>
      <c r="F66">
        <v>37172</v>
      </c>
      <c r="G66" t="s">
        <v>79</v>
      </c>
      <c r="H66" t="s">
        <v>80</v>
      </c>
      <c r="I66">
        <v>21600</v>
      </c>
      <c r="J66" s="12">
        <v>25000</v>
      </c>
      <c r="K66" t="s">
        <v>50</v>
      </c>
      <c r="L66">
        <v>33</v>
      </c>
      <c r="N66" t="s">
        <v>50</v>
      </c>
      <c r="O66">
        <v>17500</v>
      </c>
    </row>
    <row r="67" spans="1:15">
      <c r="A67" t="s">
        <v>76</v>
      </c>
      <c r="B67" t="s">
        <v>267</v>
      </c>
      <c r="C67">
        <v>16100</v>
      </c>
      <c r="D67" t="str">
        <f>TEXT(Tabela7[[#This Row],[cpf]],"000\.000\.000\-00")</f>
        <v>000.000.161-00</v>
      </c>
      <c r="E67">
        <v>57</v>
      </c>
      <c r="G67" t="s">
        <v>103</v>
      </c>
      <c r="H67" t="s">
        <v>193</v>
      </c>
      <c r="I67" t="s">
        <v>184</v>
      </c>
      <c r="K67" t="s">
        <v>51</v>
      </c>
      <c r="L67" t="s">
        <v>268</v>
      </c>
      <c r="N67" t="s">
        <v>51</v>
      </c>
      <c r="O67">
        <v>13000</v>
      </c>
    </row>
    <row r="68" spans="1:15">
      <c r="A68" t="s">
        <v>76</v>
      </c>
      <c r="B68" t="s">
        <v>269</v>
      </c>
      <c r="C68">
        <v>6300</v>
      </c>
      <c r="D68" t="str">
        <f>TEXT(Tabela7[[#This Row],[cpf]],"000\.000\.000\-00")</f>
        <v>000.000.063-00</v>
      </c>
      <c r="E68">
        <v>68</v>
      </c>
      <c r="G68" t="s">
        <v>89</v>
      </c>
      <c r="H68" t="s">
        <v>90</v>
      </c>
      <c r="I68" s="13">
        <v>19900</v>
      </c>
      <c r="J68">
        <v>35000</v>
      </c>
      <c r="K68" t="s">
        <v>190</v>
      </c>
      <c r="L68">
        <v>25</v>
      </c>
      <c r="N68" t="s">
        <v>190</v>
      </c>
      <c r="O68">
        <v>59500</v>
      </c>
    </row>
    <row r="69" spans="1:15">
      <c r="A69" t="s">
        <v>76</v>
      </c>
      <c r="B69" t="s">
        <v>270</v>
      </c>
      <c r="C69">
        <v>27200</v>
      </c>
      <c r="D69" t="str">
        <f>TEXT(Tabela7[[#This Row],[cpf]],"000\.000\.000\-00")</f>
        <v>000.000.272-00</v>
      </c>
      <c r="E69">
        <v>56</v>
      </c>
      <c r="F69" s="11">
        <v>25710</v>
      </c>
      <c r="G69" t="s">
        <v>162</v>
      </c>
      <c r="H69" t="s">
        <v>142</v>
      </c>
      <c r="I69">
        <v>14100</v>
      </c>
      <c r="J69">
        <v>1500</v>
      </c>
      <c r="K69" t="s">
        <v>50</v>
      </c>
      <c r="L69">
        <v>26</v>
      </c>
      <c r="N69" t="s">
        <v>50</v>
      </c>
      <c r="O69">
        <v>36000</v>
      </c>
    </row>
    <row r="70" spans="1:15">
      <c r="A70" t="s">
        <v>105</v>
      </c>
      <c r="B70" t="s">
        <v>271</v>
      </c>
      <c r="C70" t="s">
        <v>272</v>
      </c>
      <c r="D70" t="str">
        <f>TEXT(Tabela7[[#This Row],[cpf]],"000\.000\.000\-00")</f>
        <v>000.000.030-00</v>
      </c>
      <c r="E70">
        <v>33</v>
      </c>
      <c r="F70" s="11">
        <v>34027</v>
      </c>
      <c r="G70" t="s">
        <v>127</v>
      </c>
      <c r="H70" t="s">
        <v>273</v>
      </c>
      <c r="I70">
        <v>3400</v>
      </c>
      <c r="J70">
        <v>0</v>
      </c>
      <c r="K70" t="s">
        <v>50</v>
      </c>
      <c r="L70">
        <v>13</v>
      </c>
      <c r="N70" t="s">
        <v>50</v>
      </c>
      <c r="O70">
        <v>70000</v>
      </c>
    </row>
    <row r="71" spans="1:15">
      <c r="A71" t="s">
        <v>76</v>
      </c>
      <c r="B71" t="s">
        <v>274</v>
      </c>
      <c r="C71" t="s">
        <v>275</v>
      </c>
      <c r="D71" t="str">
        <f>TEXT(Tabela7[[#This Row],[cpf]],"000\.000\.000\-00")</f>
        <v>000.000.136-00</v>
      </c>
      <c r="E71">
        <v>41</v>
      </c>
      <c r="F71" s="11">
        <v>30944</v>
      </c>
      <c r="G71" t="s">
        <v>83</v>
      </c>
      <c r="H71" t="s">
        <v>84</v>
      </c>
      <c r="I71" t="s">
        <v>276</v>
      </c>
      <c r="J71" s="13">
        <v>20500</v>
      </c>
      <c r="K71" t="s">
        <v>51</v>
      </c>
      <c r="L71">
        <v>8</v>
      </c>
      <c r="N71" t="s">
        <v>51</v>
      </c>
      <c r="O71">
        <v>44000</v>
      </c>
    </row>
    <row r="72" spans="1:15">
      <c r="A72" t="s">
        <v>76</v>
      </c>
      <c r="B72" t="s">
        <v>277</v>
      </c>
      <c r="C72" t="s">
        <v>278</v>
      </c>
      <c r="D72" t="str">
        <f>TEXT(Tabela7[[#This Row],[cpf]],"000\.000\.000\-00")</f>
        <v>000.000.135-00</v>
      </c>
      <c r="F72" s="11">
        <v>34411</v>
      </c>
      <c r="G72" t="s">
        <v>183</v>
      </c>
      <c r="H72" t="s">
        <v>183</v>
      </c>
      <c r="J72">
        <v>0</v>
      </c>
      <c r="K72" t="s">
        <v>50</v>
      </c>
      <c r="L72">
        <v>20</v>
      </c>
      <c r="N72" t="s">
        <v>50</v>
      </c>
      <c r="O72">
        <v>42000</v>
      </c>
    </row>
    <row r="73" spans="1:15">
      <c r="A73" t="s">
        <v>76</v>
      </c>
      <c r="B73" t="s">
        <v>279</v>
      </c>
      <c r="C73" t="s">
        <v>280</v>
      </c>
      <c r="D73" t="str">
        <f>TEXT(Tabela7[[#This Row],[cpf]],"000\.000\.000\-00")</f>
        <v>000.000.372-00</v>
      </c>
      <c r="E73">
        <v>34</v>
      </c>
      <c r="F73">
        <v>33525</v>
      </c>
      <c r="G73" t="s">
        <v>210</v>
      </c>
      <c r="I73">
        <v>28000</v>
      </c>
      <c r="J73">
        <v>36500</v>
      </c>
      <c r="K73" t="s">
        <v>50</v>
      </c>
      <c r="L73">
        <v>33</v>
      </c>
      <c r="N73" t="s">
        <v>50</v>
      </c>
      <c r="O73">
        <v>60000</v>
      </c>
    </row>
    <row r="74" spans="1:15">
      <c r="A74" t="s">
        <v>76</v>
      </c>
      <c r="B74" t="s">
        <v>281</v>
      </c>
      <c r="C74" t="s">
        <v>282</v>
      </c>
      <c r="D74" t="str">
        <f>TEXT(Tabela7[[#This Row],[cpf]],"000\.000\.000\-00")</f>
        <v>000.000.323-00</v>
      </c>
      <c r="E74">
        <v>24</v>
      </c>
      <c r="F74">
        <v>37259</v>
      </c>
      <c r="G74" t="s">
        <v>183</v>
      </c>
      <c r="H74" t="s">
        <v>183</v>
      </c>
      <c r="I74">
        <v>25200</v>
      </c>
      <c r="J74">
        <v>0</v>
      </c>
      <c r="K74" t="s">
        <v>50</v>
      </c>
      <c r="L74">
        <v>10</v>
      </c>
      <c r="N74" t="s">
        <v>50</v>
      </c>
      <c r="O74">
        <v>69500</v>
      </c>
    </row>
    <row r="75" spans="1:15">
      <c r="A75" t="s">
        <v>76</v>
      </c>
      <c r="B75" t="s">
        <v>283</v>
      </c>
      <c r="C75" t="s">
        <v>284</v>
      </c>
      <c r="D75" t="str">
        <f>TEXT(Tabela7[[#This Row],[cpf]],"000\.000\.000\-00")</f>
        <v>000.000.067-00</v>
      </c>
      <c r="E75">
        <v>55</v>
      </c>
      <c r="F75">
        <v>26104</v>
      </c>
      <c r="G75" t="s">
        <v>112</v>
      </c>
      <c r="H75" t="s">
        <v>113</v>
      </c>
      <c r="I75" s="13">
        <v>22100</v>
      </c>
      <c r="J75">
        <v>41500</v>
      </c>
      <c r="K75" t="s">
        <v>50</v>
      </c>
      <c r="L75">
        <v>18</v>
      </c>
      <c r="N75" t="s">
        <v>50</v>
      </c>
      <c r="O75">
        <v>65000</v>
      </c>
    </row>
    <row r="76" spans="1:15">
      <c r="A76" t="s">
        <v>81</v>
      </c>
      <c r="B76" t="s">
        <v>285</v>
      </c>
      <c r="C76" t="s">
        <v>286</v>
      </c>
      <c r="D76" t="str">
        <f>TEXT(Tabela7[[#This Row],[cpf]],"000\.000\.000\-00")</f>
        <v>000.000.138-00</v>
      </c>
      <c r="E76">
        <v>59</v>
      </c>
      <c r="F76">
        <v>24512</v>
      </c>
      <c r="G76" t="s">
        <v>215</v>
      </c>
      <c r="H76" t="s">
        <v>213</v>
      </c>
      <c r="I76">
        <v>6300</v>
      </c>
      <c r="J76">
        <v>15000</v>
      </c>
      <c r="K76" t="s">
        <v>50</v>
      </c>
      <c r="L76">
        <v>42</v>
      </c>
      <c r="N76" t="s">
        <v>50</v>
      </c>
      <c r="O76">
        <v>8500</v>
      </c>
    </row>
    <row r="77" spans="1:15">
      <c r="A77" t="s">
        <v>81</v>
      </c>
      <c r="B77" t="s">
        <v>287</v>
      </c>
      <c r="C77" t="s">
        <v>288</v>
      </c>
      <c r="D77" t="str">
        <f>TEXT(Tabela7[[#This Row],[cpf]],"000\.000\.000\-00")</f>
        <v>000.000.311-00</v>
      </c>
      <c r="E77">
        <v>70</v>
      </c>
      <c r="F77" s="11">
        <v>20502</v>
      </c>
      <c r="G77" t="s">
        <v>103</v>
      </c>
      <c r="H77" t="s">
        <v>108</v>
      </c>
      <c r="I77" s="13">
        <v>2500</v>
      </c>
      <c r="J77">
        <v>0</v>
      </c>
      <c r="K77" t="s">
        <v>50</v>
      </c>
      <c r="L77">
        <v>38</v>
      </c>
      <c r="N77" t="s">
        <v>50</v>
      </c>
      <c r="O77">
        <v>44500</v>
      </c>
    </row>
    <row r="78" spans="1:15">
      <c r="A78" t="s">
        <v>76</v>
      </c>
      <c r="B78" t="s">
        <v>289</v>
      </c>
      <c r="C78" t="s">
        <v>290</v>
      </c>
      <c r="D78" t="str">
        <f>TEXT(Tabela7[[#This Row],[cpf]],"000\.000\.000\-00")</f>
        <v>000.000.092-00</v>
      </c>
      <c r="E78">
        <v>37</v>
      </c>
      <c r="F78">
        <v>32543</v>
      </c>
      <c r="G78" t="s">
        <v>148</v>
      </c>
      <c r="H78" t="s">
        <v>149</v>
      </c>
      <c r="I78">
        <v>29200</v>
      </c>
      <c r="J78" s="12">
        <v>45000</v>
      </c>
      <c r="K78" t="s">
        <v>50</v>
      </c>
      <c r="L78">
        <v>26</v>
      </c>
      <c r="N78" t="s">
        <v>50</v>
      </c>
      <c r="O78">
        <v>23500</v>
      </c>
    </row>
    <row r="79" spans="1:15">
      <c r="A79" t="s">
        <v>76</v>
      </c>
      <c r="B79" t="s">
        <v>291</v>
      </c>
      <c r="C79" t="s">
        <v>292</v>
      </c>
      <c r="D79" t="str">
        <f>TEXT(Tabela7[[#This Row],[cpf]],"000\.000\.000\-00")</f>
        <v>000.000.283-00</v>
      </c>
      <c r="E79">
        <v>27</v>
      </c>
      <c r="F79">
        <v>36308</v>
      </c>
      <c r="G79" t="s">
        <v>138</v>
      </c>
      <c r="H79" t="s">
        <v>139</v>
      </c>
      <c r="I79">
        <v>5300</v>
      </c>
      <c r="J79" t="s">
        <v>293</v>
      </c>
      <c r="K79" t="s">
        <v>244</v>
      </c>
      <c r="L79">
        <v>11</v>
      </c>
      <c r="N79" t="s">
        <v>244</v>
      </c>
      <c r="O79">
        <v>28500</v>
      </c>
    </row>
    <row r="80" spans="1:15">
      <c r="A80" t="s">
        <v>76</v>
      </c>
      <c r="B80" t="s">
        <v>294</v>
      </c>
      <c r="C80" t="s">
        <v>295</v>
      </c>
      <c r="D80" t="str">
        <f>TEXT(Tabela7[[#This Row],[cpf]],"000\.000\.000\-00")</f>
        <v>000.000.054-00</v>
      </c>
      <c r="E80">
        <v>55</v>
      </c>
      <c r="F80">
        <v>25874</v>
      </c>
      <c r="G80" t="s">
        <v>183</v>
      </c>
      <c r="H80" t="s">
        <v>296</v>
      </c>
      <c r="I80" s="13">
        <v>29100</v>
      </c>
      <c r="J80" t="s">
        <v>143</v>
      </c>
      <c r="K80" t="s">
        <v>50</v>
      </c>
      <c r="L80">
        <v>11</v>
      </c>
      <c r="N80" t="s">
        <v>50</v>
      </c>
      <c r="O80">
        <v>56000</v>
      </c>
    </row>
    <row r="81" spans="1:15">
      <c r="A81" t="s">
        <v>105</v>
      </c>
      <c r="B81" t="s">
        <v>297</v>
      </c>
      <c r="C81" t="s">
        <v>298</v>
      </c>
      <c r="D81" t="str">
        <f>TEXT(Tabela7[[#This Row],[cpf]],"000\.000\.000\-00")</f>
        <v>000.000.011-00</v>
      </c>
      <c r="E81">
        <v>53</v>
      </c>
      <c r="F81" s="11">
        <v>26812</v>
      </c>
      <c r="G81" t="s">
        <v>121</v>
      </c>
      <c r="H81" t="s">
        <v>122</v>
      </c>
      <c r="I81">
        <v>27800</v>
      </c>
      <c r="J81" s="12">
        <v>52000</v>
      </c>
      <c r="K81" t="s">
        <v>50</v>
      </c>
      <c r="L81">
        <v>43</v>
      </c>
      <c r="N81" t="s">
        <v>50</v>
      </c>
      <c r="O81">
        <v>93500</v>
      </c>
    </row>
    <row r="82" spans="1:15">
      <c r="A82" t="s">
        <v>76</v>
      </c>
      <c r="B82" t="s">
        <v>299</v>
      </c>
      <c r="C82" t="s">
        <v>300</v>
      </c>
      <c r="D82" t="str">
        <f>TEXT(Tabela7[[#This Row],[cpf]],"000\.000\.000\-00")</f>
        <v>000.000.051-00</v>
      </c>
      <c r="E82">
        <v>40</v>
      </c>
      <c r="F82">
        <v>31647</v>
      </c>
      <c r="G82" t="s">
        <v>162</v>
      </c>
      <c r="H82" t="s">
        <v>142</v>
      </c>
      <c r="I82" s="12">
        <v>18700</v>
      </c>
      <c r="J82">
        <v>15000</v>
      </c>
      <c r="L82">
        <v>26</v>
      </c>
      <c r="O82">
        <v>89500</v>
      </c>
    </row>
    <row r="83" spans="1:15">
      <c r="A83" t="s">
        <v>76</v>
      </c>
      <c r="B83" t="s">
        <v>301</v>
      </c>
      <c r="C83">
        <v>34400</v>
      </c>
      <c r="D83" t="str">
        <f>TEXT(Tabela7[[#This Row],[cpf]],"000\.000\.000\-00")</f>
        <v>000.000.344-00</v>
      </c>
      <c r="E83">
        <v>64</v>
      </c>
      <c r="F83">
        <v>22836</v>
      </c>
      <c r="G83" t="s">
        <v>302</v>
      </c>
      <c r="H83" t="s">
        <v>303</v>
      </c>
      <c r="I83">
        <v>24300</v>
      </c>
      <c r="J83" s="13">
        <v>16500</v>
      </c>
      <c r="K83" t="s">
        <v>51</v>
      </c>
      <c r="L83">
        <v>24</v>
      </c>
      <c r="N83" t="s">
        <v>51</v>
      </c>
      <c r="O83">
        <v>57000</v>
      </c>
    </row>
    <row r="84" spans="1:15">
      <c r="A84" t="s">
        <v>76</v>
      </c>
      <c r="B84" t="s">
        <v>304</v>
      </c>
      <c r="C84" t="s">
        <v>305</v>
      </c>
      <c r="D84" t="str">
        <f>TEXT(Tabela7[[#This Row],[cpf]],"000\.000\.000\-00")</f>
        <v>000.000.293-00</v>
      </c>
      <c r="E84">
        <v>25</v>
      </c>
      <c r="F84" s="11">
        <v>37091</v>
      </c>
      <c r="G84" t="s">
        <v>79</v>
      </c>
      <c r="H84" t="s">
        <v>80</v>
      </c>
      <c r="I84" s="13">
        <v>28800</v>
      </c>
      <c r="K84" t="s">
        <v>50</v>
      </c>
      <c r="L84">
        <v>12</v>
      </c>
      <c r="N84" t="s">
        <v>50</v>
      </c>
      <c r="O84">
        <v>46500</v>
      </c>
    </row>
    <row r="85" spans="1:15">
      <c r="A85" t="s">
        <v>76</v>
      </c>
      <c r="B85" t="s">
        <v>306</v>
      </c>
      <c r="C85" t="s">
        <v>307</v>
      </c>
      <c r="D85" t="str">
        <f>TEXT(Tabela7[[#This Row],[cpf]],"000\.000\.000\-00")</f>
        <v>000.000.139-00</v>
      </c>
      <c r="E85" t="s">
        <v>308</v>
      </c>
      <c r="F85" s="11">
        <v>26161</v>
      </c>
      <c r="G85" t="s">
        <v>172</v>
      </c>
      <c r="I85">
        <v>12200</v>
      </c>
      <c r="J85" t="s">
        <v>309</v>
      </c>
      <c r="K85" t="s">
        <v>93</v>
      </c>
      <c r="L85">
        <v>33</v>
      </c>
      <c r="N85" t="s">
        <v>93</v>
      </c>
      <c r="O85">
        <v>78000</v>
      </c>
    </row>
    <row r="86" spans="1:15">
      <c r="A86" t="s">
        <v>76</v>
      </c>
      <c r="B86" t="s">
        <v>310</v>
      </c>
      <c r="C86">
        <v>32000</v>
      </c>
      <c r="D86" t="str">
        <f>TEXT(Tabela7[[#This Row],[cpf]],"000\.000\.000\-00")</f>
        <v>000.000.320-00</v>
      </c>
      <c r="E86">
        <v>68</v>
      </c>
      <c r="F86">
        <v>21162</v>
      </c>
      <c r="G86" t="s">
        <v>141</v>
      </c>
      <c r="H86" t="s">
        <v>142</v>
      </c>
      <c r="I86" s="13">
        <v>11500</v>
      </c>
      <c r="J86">
        <v>17500</v>
      </c>
      <c r="K86" t="s">
        <v>50</v>
      </c>
      <c r="L86">
        <v>19</v>
      </c>
      <c r="N86" t="s">
        <v>50</v>
      </c>
      <c r="O86">
        <v>26000</v>
      </c>
    </row>
    <row r="87" spans="1:15">
      <c r="A87" t="s">
        <v>76</v>
      </c>
      <c r="B87" t="s">
        <v>311</v>
      </c>
      <c r="C87" t="s">
        <v>312</v>
      </c>
      <c r="D87" t="str">
        <f>TEXT(Tabela7[[#This Row],[cpf]],"000\.000\.000\-00")</f>
        <v>000.000.091-00</v>
      </c>
      <c r="E87">
        <v>37</v>
      </c>
      <c r="F87">
        <v>32412</v>
      </c>
      <c r="G87" t="s">
        <v>162</v>
      </c>
      <c r="H87" t="s">
        <v>176</v>
      </c>
      <c r="I87">
        <v>24700</v>
      </c>
      <c r="J87" s="12">
        <v>23000</v>
      </c>
      <c r="K87" t="s">
        <v>51</v>
      </c>
      <c r="L87" t="s">
        <v>313</v>
      </c>
      <c r="N87" t="s">
        <v>51</v>
      </c>
      <c r="O87">
        <v>37500</v>
      </c>
    </row>
    <row r="88" spans="1:15">
      <c r="A88" t="s">
        <v>76</v>
      </c>
      <c r="B88" t="s">
        <v>314</v>
      </c>
      <c r="C88" t="s">
        <v>315</v>
      </c>
      <c r="D88" t="str">
        <f>TEXT(Tabela7[[#This Row],[cpf]],"000\.000\.000\-00")</f>
        <v>000.000.218-00</v>
      </c>
      <c r="E88">
        <v>62</v>
      </c>
      <c r="F88">
        <v>23488</v>
      </c>
      <c r="G88" t="s">
        <v>79</v>
      </c>
      <c r="H88" t="s">
        <v>80</v>
      </c>
      <c r="I88" t="s">
        <v>184</v>
      </c>
      <c r="J88" t="s">
        <v>92</v>
      </c>
      <c r="K88" t="s">
        <v>50</v>
      </c>
      <c r="L88" t="s">
        <v>250</v>
      </c>
      <c r="N88" t="s">
        <v>50</v>
      </c>
      <c r="O88">
        <v>72000</v>
      </c>
    </row>
    <row r="89" spans="1:15">
      <c r="A89" t="s">
        <v>76</v>
      </c>
      <c r="B89" t="s">
        <v>316</v>
      </c>
      <c r="C89" t="s">
        <v>317</v>
      </c>
      <c r="D89" t="str">
        <f>TEXT(Tabela7[[#This Row],[cpf]],"000\.000\.000\-00")</f>
        <v>000.000.334-00</v>
      </c>
      <c r="E89" t="s">
        <v>318</v>
      </c>
      <c r="F89">
        <v>37491</v>
      </c>
      <c r="G89" t="s">
        <v>183</v>
      </c>
      <c r="H89" t="s">
        <v>296</v>
      </c>
      <c r="I89" s="12">
        <v>8900</v>
      </c>
      <c r="J89">
        <v>19500</v>
      </c>
      <c r="K89" t="s">
        <v>51</v>
      </c>
      <c r="L89">
        <v>33</v>
      </c>
      <c r="N89" t="s">
        <v>51</v>
      </c>
      <c r="O89">
        <v>96500</v>
      </c>
    </row>
    <row r="90" spans="1:15">
      <c r="A90" t="s">
        <v>76</v>
      </c>
      <c r="B90" t="s">
        <v>319</v>
      </c>
      <c r="C90" t="s">
        <v>320</v>
      </c>
      <c r="D90" t="str">
        <f>TEXT(Tabela7[[#This Row],[cpf]],"000\.000\.000\-00")</f>
        <v>000.000.200-00</v>
      </c>
      <c r="E90">
        <v>35</v>
      </c>
      <c r="G90" t="s">
        <v>148</v>
      </c>
      <c r="H90" t="s">
        <v>149</v>
      </c>
      <c r="I90">
        <v>28000</v>
      </c>
      <c r="J90" t="s">
        <v>321</v>
      </c>
      <c r="K90" t="s">
        <v>50</v>
      </c>
      <c r="L90">
        <v>39</v>
      </c>
      <c r="N90" t="s">
        <v>50</v>
      </c>
      <c r="O90">
        <v>32000</v>
      </c>
    </row>
    <row r="91" spans="1:15">
      <c r="A91" t="s">
        <v>76</v>
      </c>
      <c r="B91" t="s">
        <v>322</v>
      </c>
      <c r="C91" t="s">
        <v>323</v>
      </c>
      <c r="D91" t="str">
        <f>TEXT(Tabela7[[#This Row],[cpf]],"000\.000\.000\-00")</f>
        <v>000.000.248-00</v>
      </c>
      <c r="E91">
        <v>40</v>
      </c>
      <c r="F91">
        <v>31408</v>
      </c>
      <c r="G91" t="s">
        <v>324</v>
      </c>
      <c r="I91">
        <v>17400</v>
      </c>
      <c r="J91" s="13">
        <v>53000</v>
      </c>
      <c r="K91" t="s">
        <v>51</v>
      </c>
      <c r="L91">
        <v>20</v>
      </c>
      <c r="N91" t="s">
        <v>51</v>
      </c>
      <c r="O91">
        <v>52500</v>
      </c>
    </row>
    <row r="92" spans="1:15">
      <c r="A92" t="s">
        <v>173</v>
      </c>
      <c r="B92" t="s">
        <v>325</v>
      </c>
      <c r="C92" t="s">
        <v>326</v>
      </c>
      <c r="D92" t="str">
        <f>TEXT(Tabela7[[#This Row],[cpf]],"000\.000\.000\-00")</f>
        <v>000.000.081-00</v>
      </c>
      <c r="E92">
        <v>59</v>
      </c>
      <c r="F92">
        <v>24362</v>
      </c>
      <c r="G92" t="s">
        <v>210</v>
      </c>
      <c r="H92" t="s">
        <v>142</v>
      </c>
      <c r="I92">
        <v>18900</v>
      </c>
      <c r="J92">
        <v>1000</v>
      </c>
      <c r="K92" t="s">
        <v>181</v>
      </c>
      <c r="L92">
        <v>42</v>
      </c>
      <c r="N92" t="s">
        <v>181</v>
      </c>
      <c r="O92">
        <v>16500</v>
      </c>
    </row>
    <row r="93" spans="1:15">
      <c r="A93" t="s">
        <v>81</v>
      </c>
      <c r="B93" t="s">
        <v>327</v>
      </c>
      <c r="C93" t="s">
        <v>328</v>
      </c>
      <c r="D93" t="str">
        <f>TEXT(Tabela7[[#This Row],[cpf]],"000\.000\.000\-00")</f>
        <v>000.000.065-00</v>
      </c>
      <c r="F93">
        <v>19672</v>
      </c>
      <c r="G93" t="s">
        <v>183</v>
      </c>
      <c r="H93" t="s">
        <v>183</v>
      </c>
      <c r="I93">
        <v>21000</v>
      </c>
      <c r="J93">
        <v>0</v>
      </c>
      <c r="K93" t="s">
        <v>190</v>
      </c>
      <c r="L93">
        <v>11</v>
      </c>
      <c r="N93" t="s">
        <v>190</v>
      </c>
      <c r="O93">
        <v>75500</v>
      </c>
    </row>
    <row r="94" spans="1:15">
      <c r="A94" t="s">
        <v>76</v>
      </c>
      <c r="B94" t="s">
        <v>329</v>
      </c>
      <c r="C94" t="s">
        <v>330</v>
      </c>
      <c r="D94" t="str">
        <f>TEXT(Tabela7[[#This Row],[cpf]],"000\.000\.000\-00")</f>
        <v>000.000.044-00</v>
      </c>
      <c r="E94">
        <v>42</v>
      </c>
      <c r="F94" s="11">
        <v>30666</v>
      </c>
      <c r="G94" t="s">
        <v>89</v>
      </c>
      <c r="H94" t="s">
        <v>331</v>
      </c>
      <c r="I94">
        <v>6000</v>
      </c>
      <c r="J94" s="12">
        <v>55000</v>
      </c>
      <c r="K94" t="s">
        <v>50</v>
      </c>
      <c r="L94">
        <v>5</v>
      </c>
      <c r="N94" t="s">
        <v>50</v>
      </c>
      <c r="O94">
        <v>10000</v>
      </c>
    </row>
    <row r="95" spans="1:15">
      <c r="A95" t="s">
        <v>76</v>
      </c>
      <c r="B95" t="s">
        <v>332</v>
      </c>
      <c r="C95" t="s">
        <v>333</v>
      </c>
      <c r="D95" t="str">
        <f>TEXT(Tabela7[[#This Row],[cpf]],"000\.000\.000\-00")</f>
        <v>000.000.308-00</v>
      </c>
      <c r="E95">
        <v>60</v>
      </c>
      <c r="F95" s="11">
        <v>24082</v>
      </c>
      <c r="G95" t="s">
        <v>242</v>
      </c>
      <c r="H95" t="s">
        <v>243</v>
      </c>
      <c r="I95" s="13">
        <v>13800</v>
      </c>
      <c r="J95">
        <v>45500</v>
      </c>
      <c r="K95" t="s">
        <v>50</v>
      </c>
      <c r="L95">
        <v>30</v>
      </c>
      <c r="N95" t="s">
        <v>50</v>
      </c>
      <c r="O95">
        <v>17500</v>
      </c>
    </row>
    <row r="96" spans="1:15">
      <c r="A96" t="s">
        <v>76</v>
      </c>
      <c r="B96" t="s">
        <v>334</v>
      </c>
      <c r="C96" t="s">
        <v>335</v>
      </c>
      <c r="D96" t="str">
        <f>TEXT(Tabela7[[#This Row],[cpf]],"000\.000\.000\-00")</f>
        <v>000.000.276-00</v>
      </c>
      <c r="E96">
        <v>36</v>
      </c>
      <c r="F96">
        <v>32791</v>
      </c>
      <c r="G96" t="s">
        <v>172</v>
      </c>
      <c r="H96" t="s">
        <v>213</v>
      </c>
      <c r="I96">
        <v>23900</v>
      </c>
      <c r="J96">
        <v>58000</v>
      </c>
      <c r="K96" t="s">
        <v>50</v>
      </c>
      <c r="L96">
        <v>27</v>
      </c>
      <c r="N96" t="s">
        <v>50</v>
      </c>
      <c r="O96">
        <v>38000</v>
      </c>
    </row>
    <row r="97" spans="1:15">
      <c r="A97" t="s">
        <v>76</v>
      </c>
      <c r="B97" t="s">
        <v>336</v>
      </c>
      <c r="C97" t="s">
        <v>337</v>
      </c>
      <c r="D97" t="str">
        <f>TEXT(Tabela7[[#This Row],[cpf]],"000\.000\.000\-00")</f>
        <v>000.000.088-00</v>
      </c>
      <c r="E97">
        <v>74</v>
      </c>
      <c r="F97">
        <v>19121</v>
      </c>
      <c r="G97" t="s">
        <v>141</v>
      </c>
      <c r="H97" t="s">
        <v>142</v>
      </c>
      <c r="I97">
        <v>7300</v>
      </c>
      <c r="J97">
        <v>1000</v>
      </c>
      <c r="K97" t="s">
        <v>50</v>
      </c>
      <c r="L97">
        <v>3</v>
      </c>
      <c r="N97" t="s">
        <v>50</v>
      </c>
      <c r="O97">
        <v>50500</v>
      </c>
    </row>
    <row r="98" spans="1:15">
      <c r="A98" t="s">
        <v>173</v>
      </c>
      <c r="B98" t="s">
        <v>338</v>
      </c>
      <c r="C98">
        <v>20700</v>
      </c>
      <c r="D98" t="str">
        <f>TEXT(Tabela7[[#This Row],[cpf]],"000\.000\.000\-00")</f>
        <v>000.000.207-00</v>
      </c>
      <c r="E98">
        <v>66</v>
      </c>
      <c r="F98" s="11">
        <v>22151</v>
      </c>
      <c r="G98" t="s">
        <v>339</v>
      </c>
      <c r="I98" t="s">
        <v>340</v>
      </c>
      <c r="J98">
        <v>16000</v>
      </c>
      <c r="K98" t="s">
        <v>51</v>
      </c>
      <c r="L98">
        <v>44</v>
      </c>
      <c r="N98" t="s">
        <v>51</v>
      </c>
      <c r="O98">
        <v>59000</v>
      </c>
    </row>
    <row r="99" spans="1:15">
      <c r="A99" t="s">
        <v>76</v>
      </c>
      <c r="B99" t="s">
        <v>341</v>
      </c>
      <c r="C99" t="s">
        <v>342</v>
      </c>
      <c r="D99" t="str">
        <f>TEXT(Tabela7[[#This Row],[cpf]],"000\.000\.000\-00")</f>
        <v>000.000.216-00</v>
      </c>
      <c r="E99">
        <v>34</v>
      </c>
      <c r="F99">
        <v>33835</v>
      </c>
      <c r="G99" t="s">
        <v>343</v>
      </c>
      <c r="I99">
        <v>5100</v>
      </c>
      <c r="J99">
        <v>17000</v>
      </c>
      <c r="K99" t="s">
        <v>50</v>
      </c>
      <c r="L99" t="s">
        <v>344</v>
      </c>
      <c r="N99" t="s">
        <v>50</v>
      </c>
      <c r="O99">
        <v>4500</v>
      </c>
    </row>
    <row r="100" spans="1:15">
      <c r="A100" t="s">
        <v>76</v>
      </c>
      <c r="B100" t="s">
        <v>310</v>
      </c>
      <c r="C100" t="s">
        <v>1186</v>
      </c>
      <c r="D100" t="str">
        <f>TEXT(Tabela7[[#This Row],[cpf]],"000\.000\.000\-00")</f>
        <v>000.000.277-00</v>
      </c>
      <c r="E100">
        <v>65</v>
      </c>
      <c r="F100" s="11">
        <v>22436</v>
      </c>
      <c r="G100" t="s">
        <v>79</v>
      </c>
      <c r="H100" t="s">
        <v>100</v>
      </c>
      <c r="I100">
        <v>12700</v>
      </c>
      <c r="J100" s="12">
        <v>60500</v>
      </c>
      <c r="K100" t="s">
        <v>50</v>
      </c>
      <c r="L100">
        <v>36</v>
      </c>
      <c r="N100" t="s">
        <v>50</v>
      </c>
      <c r="O100">
        <v>28000</v>
      </c>
    </row>
    <row r="101" spans="1:15">
      <c r="A101" t="s">
        <v>81</v>
      </c>
      <c r="B101" t="s">
        <v>345</v>
      </c>
      <c r="C101" t="s">
        <v>346</v>
      </c>
      <c r="D101" t="str">
        <f>TEXT(Tabela7[[#This Row],[cpf]],"000\.000\.000\-00")</f>
        <v>000.000.217-00</v>
      </c>
      <c r="E101">
        <v>68</v>
      </c>
      <c r="F101" s="11">
        <v>21205</v>
      </c>
      <c r="G101" t="s">
        <v>172</v>
      </c>
      <c r="H101" t="s">
        <v>149</v>
      </c>
      <c r="I101">
        <v>8200</v>
      </c>
      <c r="J101" s="12">
        <v>66000</v>
      </c>
      <c r="K101" t="s">
        <v>50</v>
      </c>
      <c r="L101">
        <v>16</v>
      </c>
      <c r="N101" t="s">
        <v>50</v>
      </c>
      <c r="O101">
        <v>84000</v>
      </c>
    </row>
    <row r="102" spans="1:15">
      <c r="A102" t="s">
        <v>81</v>
      </c>
      <c r="B102" t="s">
        <v>347</v>
      </c>
      <c r="C102" t="s">
        <v>348</v>
      </c>
      <c r="D102" t="str">
        <f>TEXT(Tabela7[[#This Row],[cpf]],"000\.000\.000\-00")</f>
        <v>000.000.129-00</v>
      </c>
      <c r="E102">
        <v>59</v>
      </c>
      <c r="F102" s="11">
        <v>24554</v>
      </c>
      <c r="G102" t="s">
        <v>121</v>
      </c>
      <c r="H102" t="s">
        <v>122</v>
      </c>
      <c r="I102" s="12">
        <v>15200</v>
      </c>
      <c r="J102">
        <v>11000</v>
      </c>
      <c r="K102" t="s">
        <v>244</v>
      </c>
      <c r="L102">
        <v>27</v>
      </c>
      <c r="N102" t="s">
        <v>244</v>
      </c>
      <c r="O102">
        <v>87000</v>
      </c>
    </row>
    <row r="103" spans="1:15">
      <c r="A103" t="s">
        <v>76</v>
      </c>
      <c r="B103" t="s">
        <v>349</v>
      </c>
      <c r="C103" t="s">
        <v>350</v>
      </c>
      <c r="D103" t="str">
        <f>TEXT(Tabela7[[#This Row],[cpf]],"000\.000\.000\-00")</f>
        <v>000.000.359-00</v>
      </c>
      <c r="E103">
        <v>29</v>
      </c>
      <c r="F103">
        <v>35600</v>
      </c>
      <c r="G103" t="s">
        <v>223</v>
      </c>
      <c r="H103" t="s">
        <v>331</v>
      </c>
      <c r="I103">
        <v>10000</v>
      </c>
      <c r="J103">
        <v>25500</v>
      </c>
      <c r="K103" t="s">
        <v>50</v>
      </c>
      <c r="L103">
        <v>15</v>
      </c>
      <c r="N103" t="s">
        <v>50</v>
      </c>
      <c r="O103">
        <v>66000</v>
      </c>
    </row>
    <row r="104" spans="1:15">
      <c r="A104" t="s">
        <v>76</v>
      </c>
      <c r="B104" t="s">
        <v>351</v>
      </c>
      <c r="C104" t="s">
        <v>352</v>
      </c>
      <c r="D104" t="str">
        <f>TEXT(Tabela7[[#This Row],[cpf]],"000\.000\.000\-00")</f>
        <v>000.000.244-00</v>
      </c>
      <c r="E104">
        <v>69</v>
      </c>
      <c r="F104">
        <v>20725</v>
      </c>
      <c r="G104" t="s">
        <v>138</v>
      </c>
      <c r="H104" t="s">
        <v>353</v>
      </c>
      <c r="I104">
        <v>8100</v>
      </c>
      <c r="J104">
        <v>27500</v>
      </c>
      <c r="K104" t="s">
        <v>244</v>
      </c>
      <c r="L104">
        <v>42</v>
      </c>
      <c r="N104" t="s">
        <v>244</v>
      </c>
      <c r="O104">
        <v>72500</v>
      </c>
    </row>
    <row r="105" spans="1:15">
      <c r="A105" t="s">
        <v>76</v>
      </c>
      <c r="B105" t="s">
        <v>289</v>
      </c>
      <c r="C105" t="s">
        <v>290</v>
      </c>
      <c r="D105" t="str">
        <f>TEXT(Tabela7[[#This Row],[cpf]],"000\.000\.000\-00")</f>
        <v>000.000.092-00</v>
      </c>
      <c r="E105">
        <v>37</v>
      </c>
      <c r="F105">
        <v>32543</v>
      </c>
      <c r="G105" t="s">
        <v>148</v>
      </c>
      <c r="H105" t="s">
        <v>149</v>
      </c>
      <c r="I105">
        <v>29200</v>
      </c>
      <c r="J105" s="12">
        <v>45000</v>
      </c>
      <c r="K105" t="s">
        <v>50</v>
      </c>
      <c r="L105">
        <v>26</v>
      </c>
      <c r="N105" t="s">
        <v>50</v>
      </c>
      <c r="O105">
        <v>78000</v>
      </c>
    </row>
    <row r="106" spans="1:15">
      <c r="A106" t="s">
        <v>81</v>
      </c>
      <c r="B106" t="s">
        <v>354</v>
      </c>
      <c r="C106" t="s">
        <v>355</v>
      </c>
      <c r="D106" t="str">
        <f>TEXT(Tabela7[[#This Row],[cpf]],"000\.000\.000\-00")</f>
        <v>000.000.027-00</v>
      </c>
      <c r="E106">
        <v>30</v>
      </c>
      <c r="F106" s="11">
        <v>35200</v>
      </c>
      <c r="G106" t="s">
        <v>127</v>
      </c>
      <c r="H106" t="s">
        <v>256</v>
      </c>
      <c r="I106">
        <v>26500</v>
      </c>
      <c r="J106">
        <v>14500</v>
      </c>
      <c r="K106">
        <v>0</v>
      </c>
      <c r="L106">
        <v>15</v>
      </c>
      <c r="N106">
        <v>0</v>
      </c>
      <c r="O106">
        <v>65500</v>
      </c>
    </row>
    <row r="107" spans="1:15">
      <c r="A107" t="s">
        <v>76</v>
      </c>
      <c r="B107" t="s">
        <v>356</v>
      </c>
      <c r="C107" t="s">
        <v>357</v>
      </c>
      <c r="D107" t="str">
        <f>TEXT(Tabela7[[#This Row],[cpf]],"000\.000\.000\-00")</f>
        <v>000.000.196-00</v>
      </c>
      <c r="E107">
        <v>58</v>
      </c>
      <c r="F107">
        <v>24905</v>
      </c>
      <c r="G107" t="s">
        <v>121</v>
      </c>
      <c r="H107" t="s">
        <v>256</v>
      </c>
      <c r="I107" s="13">
        <v>12400</v>
      </c>
      <c r="J107" s="13">
        <v>21500</v>
      </c>
      <c r="K107" t="s">
        <v>51</v>
      </c>
      <c r="L107" t="s">
        <v>358</v>
      </c>
      <c r="N107" t="s">
        <v>51</v>
      </c>
      <c r="O107">
        <v>80000</v>
      </c>
    </row>
    <row r="108" spans="1:15">
      <c r="A108" t="s">
        <v>76</v>
      </c>
      <c r="B108" t="s">
        <v>359</v>
      </c>
      <c r="C108">
        <v>24000</v>
      </c>
      <c r="D108" t="str">
        <f>TEXT(Tabela7[[#This Row],[cpf]],"000\.000\.000\-00")</f>
        <v>000.000.240-00</v>
      </c>
      <c r="E108">
        <v>47</v>
      </c>
      <c r="F108" s="11">
        <v>29031</v>
      </c>
      <c r="G108" t="s">
        <v>360</v>
      </c>
      <c r="I108" s="13">
        <v>28400</v>
      </c>
      <c r="J108">
        <v>78000</v>
      </c>
      <c r="K108" t="s">
        <v>50</v>
      </c>
      <c r="L108">
        <v>37</v>
      </c>
      <c r="N108" t="s">
        <v>50</v>
      </c>
      <c r="O108">
        <v>99000</v>
      </c>
    </row>
    <row r="109" spans="1:15">
      <c r="A109" t="s">
        <v>76</v>
      </c>
      <c r="B109" t="s">
        <v>361</v>
      </c>
      <c r="C109" t="s">
        <v>362</v>
      </c>
      <c r="D109" t="str">
        <f>TEXT(Tabela7[[#This Row],[cpf]],"000\.000\.000\-00")</f>
        <v>000.000.170-00</v>
      </c>
      <c r="E109">
        <v>31</v>
      </c>
      <c r="F109" s="11">
        <v>34852</v>
      </c>
      <c r="G109" t="s">
        <v>339</v>
      </c>
      <c r="I109">
        <v>20500</v>
      </c>
      <c r="J109" s="12">
        <v>47500</v>
      </c>
      <c r="K109" t="s">
        <v>50</v>
      </c>
      <c r="L109">
        <v>11</v>
      </c>
      <c r="N109" t="s">
        <v>50</v>
      </c>
      <c r="O109">
        <v>18500</v>
      </c>
    </row>
    <row r="110" spans="1:15">
      <c r="A110" t="s">
        <v>363</v>
      </c>
      <c r="B110" t="s">
        <v>364</v>
      </c>
      <c r="C110" t="s">
        <v>365</v>
      </c>
      <c r="D110" t="str">
        <f>TEXT(Tabela7[[#This Row],[cpf]],"000\.000\.000\-00")</f>
        <v>000.000.047-00</v>
      </c>
      <c r="E110">
        <v>63</v>
      </c>
      <c r="F110">
        <v>23084</v>
      </c>
      <c r="G110" t="s">
        <v>148</v>
      </c>
      <c r="H110" t="s">
        <v>149</v>
      </c>
      <c r="I110">
        <v>17300</v>
      </c>
      <c r="J110">
        <v>22000</v>
      </c>
      <c r="K110" t="s">
        <v>50</v>
      </c>
      <c r="L110">
        <v>10</v>
      </c>
      <c r="N110" t="s">
        <v>50</v>
      </c>
      <c r="O110">
        <v>97000</v>
      </c>
    </row>
    <row r="111" spans="1:15">
      <c r="A111" t="s">
        <v>76</v>
      </c>
      <c r="B111" t="s">
        <v>366</v>
      </c>
      <c r="C111">
        <v>12700</v>
      </c>
      <c r="D111" t="str">
        <f>TEXT(Tabela7[[#This Row],[cpf]],"000\.000\.000\-00")</f>
        <v>000.000.127-00</v>
      </c>
      <c r="E111">
        <v>26</v>
      </c>
      <c r="F111" s="11">
        <v>36518</v>
      </c>
      <c r="G111" t="s">
        <v>154</v>
      </c>
      <c r="H111" t="s">
        <v>142</v>
      </c>
      <c r="I111" s="12">
        <v>5000</v>
      </c>
      <c r="J111" t="s">
        <v>367</v>
      </c>
      <c r="K111" t="s">
        <v>50</v>
      </c>
      <c r="L111">
        <v>35</v>
      </c>
      <c r="N111" t="s">
        <v>50</v>
      </c>
      <c r="O111">
        <v>18500</v>
      </c>
    </row>
    <row r="112" spans="1:15">
      <c r="A112" t="s">
        <v>76</v>
      </c>
      <c r="B112" t="s">
        <v>368</v>
      </c>
      <c r="C112">
        <v>18000</v>
      </c>
      <c r="D112" t="str">
        <f>TEXT(Tabela7[[#This Row],[cpf]],"000\.000\.000\-00")</f>
        <v>000.000.180-00</v>
      </c>
      <c r="E112">
        <v>29</v>
      </c>
      <c r="F112">
        <v>35344</v>
      </c>
      <c r="G112" t="s">
        <v>79</v>
      </c>
      <c r="H112" t="s">
        <v>100</v>
      </c>
      <c r="I112">
        <v>19900</v>
      </c>
      <c r="J112">
        <v>49500</v>
      </c>
      <c r="K112" t="s">
        <v>51</v>
      </c>
      <c r="L112">
        <v>27</v>
      </c>
      <c r="N112" t="s">
        <v>51</v>
      </c>
      <c r="O112">
        <v>23000</v>
      </c>
    </row>
    <row r="113" spans="1:15">
      <c r="A113" t="s">
        <v>76</v>
      </c>
      <c r="B113" t="s">
        <v>369</v>
      </c>
      <c r="C113" t="s">
        <v>370</v>
      </c>
      <c r="D113" t="str">
        <f>TEXT(Tabela7[[#This Row],[cpf]],"000\.000\.000\-00")</f>
        <v>000.000.342-00</v>
      </c>
      <c r="E113">
        <v>51</v>
      </c>
      <c r="F113" s="11">
        <v>27413</v>
      </c>
      <c r="G113" t="s">
        <v>162</v>
      </c>
      <c r="H113" t="s">
        <v>155</v>
      </c>
      <c r="I113">
        <v>18500</v>
      </c>
      <c r="J113" s="13">
        <v>69500</v>
      </c>
      <c r="K113" t="s">
        <v>50</v>
      </c>
      <c r="L113" t="s">
        <v>371</v>
      </c>
      <c r="N113" t="s">
        <v>50</v>
      </c>
      <c r="O113">
        <v>18000</v>
      </c>
    </row>
    <row r="114" spans="1:15">
      <c r="A114" t="s">
        <v>76</v>
      </c>
      <c r="B114" t="s">
        <v>372</v>
      </c>
      <c r="C114" t="s">
        <v>373</v>
      </c>
      <c r="D114" t="str">
        <f>TEXT(Tabela7[[#This Row],[cpf]],"000\.000\.000\-00")</f>
        <v>000.000.234-00</v>
      </c>
      <c r="E114">
        <v>46</v>
      </c>
      <c r="F114" s="11">
        <v>29197</v>
      </c>
      <c r="G114" t="s">
        <v>121</v>
      </c>
      <c r="H114" t="s">
        <v>122</v>
      </c>
      <c r="I114">
        <v>3200</v>
      </c>
      <c r="J114">
        <v>0</v>
      </c>
      <c r="K114" t="s">
        <v>50</v>
      </c>
      <c r="L114">
        <v>16</v>
      </c>
      <c r="N114" t="s">
        <v>50</v>
      </c>
      <c r="O114">
        <v>61500</v>
      </c>
    </row>
    <row r="115" spans="1:15">
      <c r="A115" t="s">
        <v>76</v>
      </c>
      <c r="B115" t="s">
        <v>374</v>
      </c>
      <c r="C115" t="s">
        <v>375</v>
      </c>
      <c r="D115" t="str">
        <f>TEXT(Tabela7[[#This Row],[cpf]],"000\.000\.000\-00")</f>
        <v>000.000.228-00</v>
      </c>
      <c r="E115">
        <v>65</v>
      </c>
      <c r="F115" s="11">
        <v>22505</v>
      </c>
      <c r="G115" t="s">
        <v>154</v>
      </c>
      <c r="H115" t="s">
        <v>142</v>
      </c>
      <c r="I115" s="12">
        <v>29000</v>
      </c>
      <c r="J115">
        <v>28500</v>
      </c>
      <c r="K115" t="s">
        <v>50</v>
      </c>
      <c r="L115">
        <v>28</v>
      </c>
      <c r="N115" t="s">
        <v>50</v>
      </c>
      <c r="O115">
        <v>57500</v>
      </c>
    </row>
    <row r="116" spans="1:15">
      <c r="A116" t="s">
        <v>76</v>
      </c>
      <c r="B116" t="s">
        <v>376</v>
      </c>
      <c r="C116" t="s">
        <v>377</v>
      </c>
      <c r="D116" t="str">
        <f>TEXT(Tabela7[[#This Row],[cpf]],"000\.000\.000\-00")</f>
        <v>000.000.167-00</v>
      </c>
      <c r="E116">
        <v>26</v>
      </c>
      <c r="F116">
        <v>36475</v>
      </c>
      <c r="G116" t="s">
        <v>378</v>
      </c>
      <c r="I116">
        <v>13900</v>
      </c>
      <c r="J116" s="12">
        <v>53500</v>
      </c>
      <c r="K116" t="s">
        <v>50</v>
      </c>
      <c r="L116">
        <v>12</v>
      </c>
      <c r="N116" t="s">
        <v>50</v>
      </c>
      <c r="O116">
        <v>85000</v>
      </c>
    </row>
    <row r="117" spans="1:15">
      <c r="A117" t="s">
        <v>81</v>
      </c>
      <c r="B117" t="s">
        <v>379</v>
      </c>
      <c r="C117" t="s">
        <v>380</v>
      </c>
      <c r="D117" t="str">
        <f>TEXT(Tabela7[[#This Row],[cpf]],"000\.000\.000\-00")</f>
        <v>000.000.087-00</v>
      </c>
      <c r="E117">
        <v>63</v>
      </c>
      <c r="F117">
        <v>22994</v>
      </c>
      <c r="G117" t="s">
        <v>112</v>
      </c>
      <c r="H117" t="s">
        <v>118</v>
      </c>
      <c r="I117">
        <v>20000</v>
      </c>
      <c r="J117" s="12">
        <v>29500</v>
      </c>
      <c r="K117" t="s">
        <v>50</v>
      </c>
      <c r="L117">
        <v>42</v>
      </c>
      <c r="N117" t="s">
        <v>50</v>
      </c>
      <c r="O117">
        <v>5000</v>
      </c>
    </row>
    <row r="118" spans="1:15">
      <c r="A118" t="s">
        <v>76</v>
      </c>
      <c r="B118" t="s">
        <v>381</v>
      </c>
      <c r="C118">
        <v>27900</v>
      </c>
      <c r="D118" t="str">
        <f>TEXT(Tabela7[[#This Row],[cpf]],"000\.000\.000\-00")</f>
        <v>000.000.279-00</v>
      </c>
      <c r="E118">
        <v>71</v>
      </c>
      <c r="F118" s="11">
        <v>20094</v>
      </c>
      <c r="G118" t="s">
        <v>215</v>
      </c>
      <c r="H118" t="s">
        <v>149</v>
      </c>
      <c r="I118">
        <v>24100</v>
      </c>
      <c r="J118">
        <v>0</v>
      </c>
      <c r="K118" t="s">
        <v>244</v>
      </c>
      <c r="L118">
        <v>10</v>
      </c>
      <c r="N118" t="s">
        <v>244</v>
      </c>
      <c r="O118">
        <v>87000</v>
      </c>
    </row>
    <row r="119" spans="1:15">
      <c r="A119" t="s">
        <v>76</v>
      </c>
      <c r="B119" t="s">
        <v>382</v>
      </c>
      <c r="D119" t="str">
        <f>TEXT(Tabela7[[#This Row],[cpf]],"000\.000\.000\-00")</f>
        <v>000.000.000-00</v>
      </c>
      <c r="E119">
        <v>73</v>
      </c>
      <c r="F119">
        <v>19538</v>
      </c>
      <c r="G119" t="s">
        <v>89</v>
      </c>
      <c r="H119" t="s">
        <v>331</v>
      </c>
      <c r="I119">
        <v>12700</v>
      </c>
      <c r="J119" s="12">
        <v>79500</v>
      </c>
      <c r="K119" t="s">
        <v>50</v>
      </c>
      <c r="L119">
        <v>35</v>
      </c>
      <c r="N119" t="s">
        <v>50</v>
      </c>
      <c r="O119">
        <v>39000</v>
      </c>
    </row>
    <row r="120" spans="1:15">
      <c r="A120" t="s">
        <v>76</v>
      </c>
      <c r="B120" t="s">
        <v>383</v>
      </c>
      <c r="C120">
        <v>26400</v>
      </c>
      <c r="D120" t="str">
        <f>TEXT(Tabela7[[#This Row],[cpf]],"000\.000\.000\-00")</f>
        <v>000.000.264-00</v>
      </c>
      <c r="E120">
        <v>57</v>
      </c>
      <c r="F120">
        <v>25238</v>
      </c>
      <c r="G120" t="s">
        <v>378</v>
      </c>
      <c r="I120">
        <v>3200</v>
      </c>
      <c r="K120" t="s">
        <v>50</v>
      </c>
      <c r="L120">
        <v>18</v>
      </c>
      <c r="N120" t="s">
        <v>50</v>
      </c>
      <c r="O120">
        <v>64000</v>
      </c>
    </row>
    <row r="121" spans="1:15">
      <c r="A121" t="s">
        <v>76</v>
      </c>
      <c r="B121" t="s">
        <v>384</v>
      </c>
      <c r="C121">
        <v>9900</v>
      </c>
      <c r="D121" t="str">
        <f>TEXT(Tabela7[[#This Row],[cpf]],"000\.000\.000\-00")</f>
        <v>000.000.099-00</v>
      </c>
      <c r="E121">
        <v>64</v>
      </c>
      <c r="F121" s="11">
        <v>22828</v>
      </c>
      <c r="G121" t="s">
        <v>169</v>
      </c>
      <c r="H121" t="s">
        <v>146</v>
      </c>
      <c r="I121" s="12">
        <v>2900</v>
      </c>
      <c r="J121" s="12">
        <v>76000</v>
      </c>
      <c r="K121" t="s">
        <v>50</v>
      </c>
      <c r="L121">
        <v>32</v>
      </c>
      <c r="N121" t="s">
        <v>50</v>
      </c>
      <c r="O121">
        <v>72500</v>
      </c>
    </row>
    <row r="122" spans="1:15">
      <c r="A122" t="s">
        <v>81</v>
      </c>
      <c r="B122" t="s">
        <v>385</v>
      </c>
      <c r="C122">
        <v>16000</v>
      </c>
      <c r="D122" t="str">
        <f>TEXT(Tabela7[[#This Row],[cpf]],"000\.000\.000\-00")</f>
        <v>000.000.160-00</v>
      </c>
      <c r="E122">
        <v>73</v>
      </c>
      <c r="F122" s="11">
        <v>19299</v>
      </c>
      <c r="G122" t="s">
        <v>83</v>
      </c>
      <c r="H122" t="s">
        <v>135</v>
      </c>
      <c r="I122">
        <v>7100</v>
      </c>
      <c r="J122" s="12">
        <v>58000</v>
      </c>
      <c r="K122" t="s">
        <v>51</v>
      </c>
      <c r="L122">
        <v>22</v>
      </c>
      <c r="N122" t="s">
        <v>51</v>
      </c>
      <c r="O122">
        <v>46500</v>
      </c>
    </row>
    <row r="123" spans="1:15">
      <c r="A123" t="s">
        <v>76</v>
      </c>
      <c r="B123" t="s">
        <v>386</v>
      </c>
      <c r="C123" t="s">
        <v>387</v>
      </c>
      <c r="D123" t="str">
        <f>TEXT(Tabela7[[#This Row],[cpf]],"000\.000\.000\-00")</f>
        <v>000.000.141-00</v>
      </c>
      <c r="E123">
        <v>28</v>
      </c>
      <c r="F123" s="11">
        <v>35993</v>
      </c>
      <c r="G123" t="s">
        <v>103</v>
      </c>
      <c r="H123" t="s">
        <v>108</v>
      </c>
      <c r="I123" s="12">
        <v>13400</v>
      </c>
      <c r="J123" s="12">
        <v>54000</v>
      </c>
      <c r="K123" t="s">
        <v>50</v>
      </c>
      <c r="L123">
        <v>15</v>
      </c>
      <c r="N123" t="s">
        <v>50</v>
      </c>
      <c r="O123">
        <v>99000</v>
      </c>
    </row>
    <row r="124" spans="1:15">
      <c r="A124" t="s">
        <v>76</v>
      </c>
      <c r="B124" t="s">
        <v>388</v>
      </c>
      <c r="C124" t="s">
        <v>389</v>
      </c>
      <c r="D124" t="str">
        <f>TEXT(Tabela7[[#This Row],[cpf]],"000\.000\.000\-00")</f>
        <v>000.000.375-00</v>
      </c>
      <c r="E124">
        <v>26</v>
      </c>
      <c r="F124">
        <v>36622</v>
      </c>
      <c r="G124" t="s">
        <v>183</v>
      </c>
      <c r="H124" t="s">
        <v>183</v>
      </c>
      <c r="I124" t="s">
        <v>390</v>
      </c>
      <c r="J124" s="12">
        <v>65500</v>
      </c>
      <c r="K124" t="s">
        <v>391</v>
      </c>
      <c r="L124">
        <v>40</v>
      </c>
      <c r="N124" t="s">
        <v>391</v>
      </c>
      <c r="O124">
        <v>95500</v>
      </c>
    </row>
    <row r="125" spans="1:15">
      <c r="A125" t="s">
        <v>76</v>
      </c>
      <c r="B125" t="s">
        <v>392</v>
      </c>
      <c r="C125" t="s">
        <v>393</v>
      </c>
      <c r="D125" t="str">
        <f>TEXT(Tabela7[[#This Row],[cpf]],"000\.000\.000\-00")</f>
        <v>000.000.152-00</v>
      </c>
      <c r="E125">
        <v>69</v>
      </c>
      <c r="F125" s="11">
        <v>21051</v>
      </c>
      <c r="G125" t="s">
        <v>83</v>
      </c>
      <c r="H125" t="s">
        <v>84</v>
      </c>
      <c r="I125" t="s">
        <v>394</v>
      </c>
      <c r="J125">
        <v>40500</v>
      </c>
      <c r="K125" t="s">
        <v>50</v>
      </c>
      <c r="L125">
        <v>43</v>
      </c>
      <c r="N125" t="s">
        <v>50</v>
      </c>
      <c r="O125">
        <v>24500</v>
      </c>
    </row>
    <row r="126" spans="1:15">
      <c r="A126" t="s">
        <v>76</v>
      </c>
      <c r="B126" t="s">
        <v>395</v>
      </c>
      <c r="C126" t="s">
        <v>396</v>
      </c>
      <c r="D126" t="str">
        <f>TEXT(Tabela7[[#This Row],[cpf]],"000\.000\.000\-00")</f>
        <v>000.000.075-00</v>
      </c>
      <c r="E126">
        <v>67</v>
      </c>
      <c r="F126" s="11">
        <v>21624</v>
      </c>
      <c r="G126" t="s">
        <v>210</v>
      </c>
      <c r="H126" t="s">
        <v>155</v>
      </c>
      <c r="I126">
        <v>8500</v>
      </c>
      <c r="J126" s="12">
        <v>39500</v>
      </c>
      <c r="K126" t="s">
        <v>51</v>
      </c>
      <c r="N126" t="s">
        <v>51</v>
      </c>
      <c r="O126">
        <v>42000</v>
      </c>
    </row>
    <row r="127" spans="1:15">
      <c r="A127" t="s">
        <v>76</v>
      </c>
      <c r="B127" t="s">
        <v>397</v>
      </c>
      <c r="C127" t="s">
        <v>398</v>
      </c>
      <c r="D127" t="str">
        <f>TEXT(Tabela7[[#This Row],[cpf]],"000\.000\.000\-00")</f>
        <v>000.000.314-00</v>
      </c>
      <c r="E127">
        <v>53</v>
      </c>
      <c r="F127" s="11">
        <v>26584</v>
      </c>
      <c r="G127" t="s">
        <v>162</v>
      </c>
      <c r="H127" t="s">
        <v>142</v>
      </c>
      <c r="I127">
        <v>12200</v>
      </c>
      <c r="J127" s="12">
        <v>79500</v>
      </c>
      <c r="K127" t="s">
        <v>190</v>
      </c>
      <c r="L127">
        <v>45</v>
      </c>
      <c r="N127" t="s">
        <v>190</v>
      </c>
      <c r="O127">
        <v>57000</v>
      </c>
    </row>
    <row r="128" spans="1:15">
      <c r="A128" t="s">
        <v>76</v>
      </c>
      <c r="B128" t="s">
        <v>399</v>
      </c>
      <c r="C128" t="s">
        <v>400</v>
      </c>
      <c r="D128" t="str">
        <f>TEXT(Tabela7[[#This Row],[cpf]],"000\.000\.000\-00")</f>
        <v>000.000.297-00</v>
      </c>
      <c r="E128">
        <v>55</v>
      </c>
      <c r="F128">
        <v>25880</v>
      </c>
      <c r="G128" t="s">
        <v>83</v>
      </c>
      <c r="H128" t="s">
        <v>84</v>
      </c>
      <c r="I128">
        <v>27500</v>
      </c>
      <c r="J128">
        <v>14000</v>
      </c>
      <c r="K128" t="s">
        <v>50</v>
      </c>
      <c r="L128">
        <v>3</v>
      </c>
      <c r="N128" t="s">
        <v>50</v>
      </c>
      <c r="O128">
        <v>11500</v>
      </c>
    </row>
    <row r="129" spans="1:15">
      <c r="A129" t="s">
        <v>76</v>
      </c>
      <c r="B129" t="s">
        <v>336</v>
      </c>
      <c r="C129">
        <v>8900</v>
      </c>
      <c r="D129" t="str">
        <f>TEXT(Tabela7[[#This Row],[cpf]],"000\.000\.000\-00")</f>
        <v>000.000.089-00</v>
      </c>
      <c r="F129" s="11">
        <v>33473</v>
      </c>
      <c r="G129" t="s">
        <v>242</v>
      </c>
      <c r="H129" t="s">
        <v>243</v>
      </c>
      <c r="I129">
        <v>24000</v>
      </c>
      <c r="J129">
        <v>0</v>
      </c>
      <c r="K129" t="s">
        <v>51</v>
      </c>
      <c r="L129">
        <v>3</v>
      </c>
      <c r="N129" t="s">
        <v>51</v>
      </c>
      <c r="O129">
        <v>60000</v>
      </c>
    </row>
    <row r="130" spans="1:15">
      <c r="A130" t="s">
        <v>81</v>
      </c>
      <c r="B130" t="s">
        <v>277</v>
      </c>
      <c r="C130">
        <v>8300</v>
      </c>
      <c r="D130" t="str">
        <f>TEXT(Tabela7[[#This Row],[cpf]],"000\.000\.000\-00")</f>
        <v>000.000.083-00</v>
      </c>
      <c r="E130">
        <v>31</v>
      </c>
      <c r="F130">
        <v>34828</v>
      </c>
      <c r="G130" t="s">
        <v>223</v>
      </c>
      <c r="H130" t="s">
        <v>90</v>
      </c>
      <c r="I130" s="13">
        <v>24900</v>
      </c>
      <c r="J130">
        <v>72000</v>
      </c>
      <c r="K130" t="s">
        <v>50</v>
      </c>
      <c r="L130">
        <v>35</v>
      </c>
      <c r="N130" t="s">
        <v>50</v>
      </c>
      <c r="O130">
        <v>79000</v>
      </c>
    </row>
    <row r="131" spans="1:15">
      <c r="A131" t="s">
        <v>76</v>
      </c>
      <c r="B131" t="s">
        <v>401</v>
      </c>
      <c r="C131">
        <v>3800</v>
      </c>
      <c r="D131" t="str">
        <f>TEXT(Tabela7[[#This Row],[cpf]],"000\.000\.000\-00")</f>
        <v>000.000.038-00</v>
      </c>
      <c r="E131">
        <v>41</v>
      </c>
      <c r="F131" s="11">
        <v>30992</v>
      </c>
      <c r="G131" t="s">
        <v>103</v>
      </c>
      <c r="H131" t="s">
        <v>402</v>
      </c>
      <c r="I131" s="13">
        <v>28600</v>
      </c>
      <c r="J131" s="12">
        <v>67500</v>
      </c>
      <c r="K131" t="s">
        <v>50</v>
      </c>
      <c r="L131">
        <v>39</v>
      </c>
      <c r="N131" t="s">
        <v>50</v>
      </c>
      <c r="O131">
        <v>22000</v>
      </c>
    </row>
    <row r="132" spans="1:15">
      <c r="A132" t="s">
        <v>76</v>
      </c>
      <c r="B132" t="s">
        <v>403</v>
      </c>
      <c r="C132" t="s">
        <v>404</v>
      </c>
      <c r="D132" t="str">
        <f>TEXT(Tabela7[[#This Row],[cpf]],"000\.000\.000\-00")</f>
        <v>000.000.282-00</v>
      </c>
      <c r="E132">
        <v>56</v>
      </c>
      <c r="F132">
        <v>25671</v>
      </c>
      <c r="G132" t="s">
        <v>169</v>
      </c>
      <c r="H132" t="s">
        <v>139</v>
      </c>
      <c r="I132">
        <v>28300</v>
      </c>
      <c r="J132">
        <v>56000</v>
      </c>
      <c r="K132" t="s">
        <v>50</v>
      </c>
      <c r="L132">
        <v>6</v>
      </c>
      <c r="N132" t="s">
        <v>50</v>
      </c>
      <c r="O132">
        <v>77000</v>
      </c>
    </row>
    <row r="133" spans="1:15">
      <c r="A133" t="s">
        <v>76</v>
      </c>
      <c r="B133" t="s">
        <v>405</v>
      </c>
      <c r="C133">
        <v>37700</v>
      </c>
      <c r="D133" t="str">
        <f>TEXT(Tabela7[[#This Row],[cpf]],"000\.000\.000\-00")</f>
        <v>000.000.377-00</v>
      </c>
      <c r="E133">
        <v>23</v>
      </c>
      <c r="F133" s="11">
        <v>37566</v>
      </c>
      <c r="G133" t="s">
        <v>127</v>
      </c>
      <c r="H133" t="s">
        <v>256</v>
      </c>
      <c r="I133">
        <v>2600</v>
      </c>
      <c r="J133">
        <v>0</v>
      </c>
      <c r="K133" t="s">
        <v>51</v>
      </c>
      <c r="L133">
        <v>30</v>
      </c>
      <c r="N133" t="s">
        <v>51</v>
      </c>
      <c r="O133">
        <v>11000</v>
      </c>
    </row>
    <row r="134" spans="1:15">
      <c r="A134" t="s">
        <v>76</v>
      </c>
      <c r="B134" t="s">
        <v>406</v>
      </c>
      <c r="C134" t="s">
        <v>407</v>
      </c>
      <c r="D134" t="str">
        <f>TEXT(Tabela7[[#This Row],[cpf]],"000\.000\.000\-00")</f>
        <v>000.000.310-00</v>
      </c>
      <c r="E134">
        <v>25</v>
      </c>
      <c r="F134">
        <v>37137</v>
      </c>
      <c r="G134" t="s">
        <v>79</v>
      </c>
      <c r="H134" t="s">
        <v>80</v>
      </c>
      <c r="J134" s="13">
        <v>21000</v>
      </c>
      <c r="K134" t="s">
        <v>50</v>
      </c>
      <c r="L134">
        <v>34</v>
      </c>
      <c r="N134" t="s">
        <v>50</v>
      </c>
      <c r="O134">
        <v>7500</v>
      </c>
    </row>
    <row r="135" spans="1:15">
      <c r="A135" t="s">
        <v>76</v>
      </c>
      <c r="B135" t="s">
        <v>408</v>
      </c>
      <c r="C135" t="s">
        <v>409</v>
      </c>
      <c r="D135" t="str">
        <f>TEXT(Tabela7[[#This Row],[cpf]],"000\.000\.000\-00")</f>
        <v>000.000.376-00</v>
      </c>
      <c r="E135">
        <v>57</v>
      </c>
      <c r="F135">
        <v>25199</v>
      </c>
      <c r="G135" t="s">
        <v>148</v>
      </c>
      <c r="H135" t="s">
        <v>213</v>
      </c>
      <c r="I135" s="12">
        <v>20700</v>
      </c>
      <c r="J135">
        <v>64500</v>
      </c>
      <c r="K135" t="s">
        <v>50</v>
      </c>
      <c r="L135" t="s">
        <v>410</v>
      </c>
      <c r="N135" t="s">
        <v>50</v>
      </c>
      <c r="O135">
        <v>54500</v>
      </c>
    </row>
    <row r="136" spans="1:15">
      <c r="A136" t="s">
        <v>257</v>
      </c>
      <c r="B136" t="s">
        <v>411</v>
      </c>
      <c r="C136" t="s">
        <v>412</v>
      </c>
      <c r="D136" t="str">
        <f>TEXT(Tabela7[[#This Row],[cpf]],"000\.000\.000\-00")</f>
        <v>000.000.181-00</v>
      </c>
      <c r="E136">
        <v>73</v>
      </c>
      <c r="F136" s="11">
        <v>19314</v>
      </c>
      <c r="G136" t="s">
        <v>89</v>
      </c>
      <c r="H136" t="s">
        <v>413</v>
      </c>
      <c r="I136">
        <v>6100</v>
      </c>
      <c r="J136" t="s">
        <v>414</v>
      </c>
      <c r="K136" t="s">
        <v>50</v>
      </c>
      <c r="L136">
        <v>9</v>
      </c>
      <c r="N136" t="s">
        <v>50</v>
      </c>
      <c r="O136">
        <v>24500</v>
      </c>
    </row>
    <row r="137" spans="1:15">
      <c r="A137" t="s">
        <v>76</v>
      </c>
      <c r="B137" t="s">
        <v>415</v>
      </c>
      <c r="C137">
        <v>37000</v>
      </c>
      <c r="D137" t="str">
        <f>TEXT(Tabela7[[#This Row],[cpf]],"000\.000\.000\-00")</f>
        <v>000.000.370-00</v>
      </c>
      <c r="E137">
        <v>24</v>
      </c>
      <c r="F137" s="11">
        <v>37290</v>
      </c>
      <c r="G137" t="s">
        <v>172</v>
      </c>
      <c r="H137" t="s">
        <v>216</v>
      </c>
      <c r="I137" s="12">
        <v>6400</v>
      </c>
      <c r="J137" s="13">
        <v>41000</v>
      </c>
      <c r="K137" t="s">
        <v>50</v>
      </c>
      <c r="L137">
        <v>22</v>
      </c>
      <c r="N137" t="s">
        <v>50</v>
      </c>
      <c r="O137">
        <v>74500</v>
      </c>
    </row>
    <row r="138" spans="1:15">
      <c r="A138" t="s">
        <v>105</v>
      </c>
      <c r="B138" t="s">
        <v>416</v>
      </c>
      <c r="C138" t="s">
        <v>417</v>
      </c>
      <c r="D138" t="str">
        <f>TEXT(Tabela7[[#This Row],[cpf]],"000\.000\.000\-00")</f>
        <v>000.000.373-00</v>
      </c>
      <c r="E138">
        <v>47</v>
      </c>
      <c r="G138" t="s">
        <v>127</v>
      </c>
      <c r="I138" s="13">
        <v>11600</v>
      </c>
      <c r="J138" s="13">
        <v>63500</v>
      </c>
      <c r="K138">
        <v>0</v>
      </c>
      <c r="L138">
        <v>18</v>
      </c>
      <c r="N138">
        <v>0</v>
      </c>
      <c r="O138">
        <v>3000</v>
      </c>
    </row>
    <row r="139" spans="1:15">
      <c r="A139" t="s">
        <v>81</v>
      </c>
      <c r="B139" t="s">
        <v>418</v>
      </c>
      <c r="C139" t="s">
        <v>419</v>
      </c>
      <c r="D139" t="str">
        <f>TEXT(Tabela7[[#This Row],[cpf]],"000\.000\.000\-00")</f>
        <v>000.000.094-00</v>
      </c>
      <c r="E139">
        <v>52</v>
      </c>
      <c r="F139">
        <v>27186</v>
      </c>
      <c r="G139" t="s">
        <v>83</v>
      </c>
      <c r="H139" t="s">
        <v>187</v>
      </c>
      <c r="I139">
        <v>6400</v>
      </c>
      <c r="J139">
        <v>37000</v>
      </c>
      <c r="K139" t="s">
        <v>50</v>
      </c>
      <c r="L139">
        <v>1</v>
      </c>
      <c r="N139" t="s">
        <v>50</v>
      </c>
      <c r="O139">
        <v>87000</v>
      </c>
    </row>
    <row r="140" spans="1:15">
      <c r="A140" t="s">
        <v>81</v>
      </c>
      <c r="B140" t="s">
        <v>420</v>
      </c>
      <c r="C140">
        <v>26700</v>
      </c>
      <c r="D140" t="str">
        <f>TEXT(Tabela7[[#This Row],[cpf]],"000\.000\.000\-00")</f>
        <v>000.000.267-00</v>
      </c>
      <c r="E140">
        <v>54</v>
      </c>
      <c r="F140">
        <v>26453</v>
      </c>
      <c r="G140" t="s">
        <v>242</v>
      </c>
      <c r="H140" t="s">
        <v>243</v>
      </c>
      <c r="I140">
        <v>3900</v>
      </c>
      <c r="J140">
        <v>80000</v>
      </c>
      <c r="K140" t="s">
        <v>50</v>
      </c>
      <c r="L140" t="s">
        <v>421</v>
      </c>
      <c r="N140" t="s">
        <v>50</v>
      </c>
      <c r="O140">
        <v>30000</v>
      </c>
    </row>
    <row r="141" spans="1:15">
      <c r="A141" t="s">
        <v>76</v>
      </c>
      <c r="B141" t="s">
        <v>422</v>
      </c>
      <c r="C141" t="s">
        <v>423</v>
      </c>
      <c r="D141" t="str">
        <f>TEXT(Tabela7[[#This Row],[cpf]],"000\.000\.000\-00")</f>
        <v>000.000.225-00</v>
      </c>
      <c r="E141">
        <v>45</v>
      </c>
      <c r="F141" s="11">
        <v>29598</v>
      </c>
      <c r="G141" t="s">
        <v>103</v>
      </c>
      <c r="H141" t="s">
        <v>193</v>
      </c>
      <c r="I141">
        <v>22800</v>
      </c>
      <c r="K141" t="s">
        <v>50</v>
      </c>
      <c r="L141">
        <v>10</v>
      </c>
      <c r="N141" t="s">
        <v>50</v>
      </c>
      <c r="O141">
        <v>31000</v>
      </c>
    </row>
    <row r="142" spans="1:15">
      <c r="A142" t="s">
        <v>76</v>
      </c>
      <c r="B142" t="s">
        <v>424</v>
      </c>
      <c r="C142">
        <v>35200</v>
      </c>
      <c r="D142" t="str">
        <f>TEXT(Tabela7[[#This Row],[cpf]],"000\.000\.000\-00")</f>
        <v>000.000.352-00</v>
      </c>
      <c r="E142">
        <v>65</v>
      </c>
      <c r="F142">
        <v>22337</v>
      </c>
      <c r="G142" t="s">
        <v>141</v>
      </c>
      <c r="H142" t="s">
        <v>142</v>
      </c>
      <c r="I142">
        <v>3800</v>
      </c>
      <c r="J142">
        <v>49500</v>
      </c>
      <c r="K142" t="s">
        <v>50</v>
      </c>
      <c r="L142">
        <v>16</v>
      </c>
      <c r="N142" t="s">
        <v>50</v>
      </c>
      <c r="O142">
        <v>15500</v>
      </c>
    </row>
    <row r="143" spans="1:15">
      <c r="A143" t="s">
        <v>76</v>
      </c>
      <c r="B143" t="s">
        <v>425</v>
      </c>
      <c r="C143" t="s">
        <v>426</v>
      </c>
      <c r="D143" t="str">
        <f>TEXT(Tabela7[[#This Row],[cpf]],"000\.000\.000\-00")</f>
        <v>000.000.242-00</v>
      </c>
      <c r="E143">
        <v>66</v>
      </c>
      <c r="F143">
        <v>22151</v>
      </c>
      <c r="G143" t="s">
        <v>148</v>
      </c>
      <c r="H143" t="s">
        <v>149</v>
      </c>
      <c r="I143">
        <v>11800</v>
      </c>
      <c r="J143" s="12">
        <v>2000</v>
      </c>
      <c r="K143" t="s">
        <v>51</v>
      </c>
      <c r="L143">
        <v>23</v>
      </c>
      <c r="N143" t="s">
        <v>51</v>
      </c>
      <c r="O143">
        <v>72500</v>
      </c>
    </row>
    <row r="144" spans="1:15">
      <c r="A144" t="s">
        <v>81</v>
      </c>
      <c r="B144" t="s">
        <v>427</v>
      </c>
      <c r="C144" t="s">
        <v>428</v>
      </c>
      <c r="D144" t="str">
        <f>TEXT(Tabela7[[#This Row],[cpf]],"000\.000\.000\-00")</f>
        <v>000.000.357-00</v>
      </c>
      <c r="E144">
        <v>29</v>
      </c>
      <c r="F144">
        <v>35607</v>
      </c>
      <c r="G144" t="s">
        <v>154</v>
      </c>
      <c r="H144" t="s">
        <v>142</v>
      </c>
      <c r="I144">
        <v>13800</v>
      </c>
      <c r="J144">
        <v>41500</v>
      </c>
      <c r="K144" t="s">
        <v>50</v>
      </c>
      <c r="L144">
        <v>34</v>
      </c>
      <c r="N144" t="s">
        <v>50</v>
      </c>
      <c r="O144">
        <v>66000</v>
      </c>
    </row>
    <row r="145" spans="1:15">
      <c r="A145" t="s">
        <v>76</v>
      </c>
      <c r="B145" t="s">
        <v>429</v>
      </c>
      <c r="C145" t="s">
        <v>430</v>
      </c>
      <c r="D145" t="str">
        <f>TEXT(Tabela7[[#This Row],[cpf]],"000\.000\.000\-00")</f>
        <v>000.000.157-00</v>
      </c>
      <c r="E145">
        <v>22</v>
      </c>
      <c r="F145" s="11">
        <v>37904</v>
      </c>
      <c r="G145" t="s">
        <v>83</v>
      </c>
      <c r="H145" t="s">
        <v>84</v>
      </c>
      <c r="I145">
        <v>2300</v>
      </c>
      <c r="J145">
        <v>0</v>
      </c>
      <c r="K145" t="s">
        <v>51</v>
      </c>
      <c r="L145" t="s">
        <v>431</v>
      </c>
      <c r="N145" t="s">
        <v>51</v>
      </c>
      <c r="O145">
        <v>51500</v>
      </c>
    </row>
    <row r="146" spans="1:15">
      <c r="A146" t="s">
        <v>81</v>
      </c>
      <c r="B146" t="s">
        <v>432</v>
      </c>
      <c r="C146" t="s">
        <v>433</v>
      </c>
      <c r="D146" t="str">
        <f>TEXT(Tabela7[[#This Row],[cpf]],"000\.000\.000\-00")</f>
        <v>000.000.221-00</v>
      </c>
      <c r="E146">
        <v>29</v>
      </c>
      <c r="F146">
        <v>35598</v>
      </c>
      <c r="G146" t="s">
        <v>183</v>
      </c>
      <c r="H146" t="s">
        <v>183</v>
      </c>
      <c r="I146">
        <v>15500</v>
      </c>
      <c r="J146">
        <v>75000</v>
      </c>
      <c r="K146" t="s">
        <v>244</v>
      </c>
      <c r="L146">
        <v>25</v>
      </c>
      <c r="N146" t="s">
        <v>244</v>
      </c>
      <c r="O146">
        <v>47000</v>
      </c>
    </row>
    <row r="147" spans="1:15">
      <c r="A147" t="s">
        <v>76</v>
      </c>
      <c r="B147" t="s">
        <v>434</v>
      </c>
      <c r="C147" t="s">
        <v>435</v>
      </c>
      <c r="D147" t="str">
        <f>TEXT(Tabela7[[#This Row],[cpf]],"000\.000\.000\-00")</f>
        <v>000.000.115-00</v>
      </c>
      <c r="E147">
        <v>72</v>
      </c>
      <c r="F147">
        <v>19839</v>
      </c>
      <c r="G147" t="s">
        <v>79</v>
      </c>
      <c r="H147" t="s">
        <v>436</v>
      </c>
      <c r="I147" s="12">
        <v>3900</v>
      </c>
      <c r="J147">
        <v>27000</v>
      </c>
      <c r="K147" t="s">
        <v>50</v>
      </c>
      <c r="L147">
        <v>33</v>
      </c>
      <c r="N147" t="s">
        <v>50</v>
      </c>
      <c r="O147">
        <v>2000</v>
      </c>
    </row>
    <row r="148" spans="1:15">
      <c r="A148" t="s">
        <v>76</v>
      </c>
      <c r="B148" t="s">
        <v>437</v>
      </c>
      <c r="C148" t="s">
        <v>438</v>
      </c>
      <c r="D148" t="str">
        <f>TEXT(Tabela7[[#This Row],[cpf]],"000\.000\.000\-00")</f>
        <v>000.000.182-00</v>
      </c>
      <c r="E148">
        <v>58</v>
      </c>
      <c r="F148" s="11">
        <v>25066</v>
      </c>
      <c r="G148" t="s">
        <v>172</v>
      </c>
      <c r="H148" t="s">
        <v>216</v>
      </c>
      <c r="I148" s="13">
        <v>4500</v>
      </c>
      <c r="K148" t="s">
        <v>51</v>
      </c>
      <c r="L148">
        <v>31</v>
      </c>
      <c r="N148" t="s">
        <v>51</v>
      </c>
      <c r="O148">
        <v>97500</v>
      </c>
    </row>
    <row r="149" spans="1:15">
      <c r="A149" t="s">
        <v>173</v>
      </c>
      <c r="B149" t="s">
        <v>439</v>
      </c>
      <c r="C149">
        <v>20900</v>
      </c>
      <c r="D149" t="str">
        <f>TEXT(Tabela7[[#This Row],[cpf]],"000\.000\.000\-00")</f>
        <v>000.000.209-00</v>
      </c>
      <c r="E149">
        <v>33</v>
      </c>
      <c r="F149">
        <v>34021</v>
      </c>
      <c r="G149" t="s">
        <v>83</v>
      </c>
      <c r="H149" t="s">
        <v>84</v>
      </c>
      <c r="J149">
        <v>73500</v>
      </c>
      <c r="K149" t="s">
        <v>50</v>
      </c>
      <c r="L149">
        <v>33</v>
      </c>
      <c r="N149" t="s">
        <v>50</v>
      </c>
      <c r="O149">
        <v>95000</v>
      </c>
    </row>
    <row r="150" spans="1:15">
      <c r="A150" t="s">
        <v>76</v>
      </c>
      <c r="B150" t="s">
        <v>440</v>
      </c>
      <c r="C150">
        <v>36900</v>
      </c>
      <c r="D150" t="str">
        <f>TEXT(Tabela7[[#This Row],[cpf]],"000\.000\.000\-00")</f>
        <v>000.000.369-00</v>
      </c>
      <c r="E150">
        <v>61</v>
      </c>
      <c r="F150">
        <v>23928</v>
      </c>
      <c r="G150" t="s">
        <v>302</v>
      </c>
      <c r="H150" t="s">
        <v>84</v>
      </c>
      <c r="I150">
        <v>22900</v>
      </c>
      <c r="J150">
        <v>7500</v>
      </c>
      <c r="K150" t="s">
        <v>50</v>
      </c>
      <c r="L150">
        <v>12</v>
      </c>
      <c r="N150" t="s">
        <v>50</v>
      </c>
      <c r="O150">
        <v>73000</v>
      </c>
    </row>
    <row r="151" spans="1:15">
      <c r="A151" t="s">
        <v>76</v>
      </c>
      <c r="B151" t="s">
        <v>441</v>
      </c>
      <c r="C151" t="s">
        <v>442</v>
      </c>
      <c r="D151" t="str">
        <f>TEXT(Tabela7[[#This Row],[cpf]],"000\.000\.000\-00")</f>
        <v>000.000.259-00</v>
      </c>
      <c r="E151">
        <v>73</v>
      </c>
      <c r="F151">
        <v>19363</v>
      </c>
      <c r="G151" t="s">
        <v>172</v>
      </c>
      <c r="H151" t="s">
        <v>149</v>
      </c>
      <c r="I151" t="s">
        <v>123</v>
      </c>
      <c r="J151" s="12">
        <v>19000</v>
      </c>
      <c r="K151" t="s">
        <v>50</v>
      </c>
      <c r="L151">
        <v>0</v>
      </c>
      <c r="N151" t="s">
        <v>50</v>
      </c>
      <c r="O151">
        <v>17000</v>
      </c>
    </row>
    <row r="152" spans="1:15">
      <c r="A152" t="s">
        <v>443</v>
      </c>
      <c r="B152" t="s">
        <v>444</v>
      </c>
      <c r="C152">
        <v>6900</v>
      </c>
      <c r="D152" t="str">
        <f>TEXT(Tabela7[[#This Row],[cpf]],"000\.000\.000\-00")</f>
        <v>000.000.069-00</v>
      </c>
      <c r="E152">
        <v>51</v>
      </c>
      <c r="F152">
        <v>27590</v>
      </c>
      <c r="G152" t="s">
        <v>141</v>
      </c>
      <c r="H152" t="s">
        <v>142</v>
      </c>
      <c r="I152" s="13">
        <v>19400</v>
      </c>
      <c r="J152">
        <v>4000</v>
      </c>
      <c r="K152" t="s">
        <v>50</v>
      </c>
      <c r="L152">
        <v>30</v>
      </c>
      <c r="N152" t="s">
        <v>50</v>
      </c>
      <c r="O152">
        <v>38500</v>
      </c>
    </row>
    <row r="153" spans="1:15">
      <c r="A153" t="s">
        <v>76</v>
      </c>
      <c r="B153" t="s">
        <v>445</v>
      </c>
      <c r="C153" t="s">
        <v>446</v>
      </c>
      <c r="D153" t="str">
        <f>TEXT(Tabela7[[#This Row],[cpf]],"000\.000\.000\-00")</f>
        <v>000.000.052-00</v>
      </c>
      <c r="E153">
        <v>43</v>
      </c>
      <c r="F153" s="11">
        <v>30309</v>
      </c>
      <c r="G153" t="s">
        <v>242</v>
      </c>
      <c r="H153" t="s">
        <v>243</v>
      </c>
      <c r="I153" s="12">
        <v>18400</v>
      </c>
      <c r="J153">
        <v>62000</v>
      </c>
      <c r="K153" t="s">
        <v>50</v>
      </c>
      <c r="L153">
        <v>33</v>
      </c>
      <c r="N153" t="s">
        <v>50</v>
      </c>
      <c r="O153">
        <v>31000</v>
      </c>
    </row>
    <row r="154" spans="1:15">
      <c r="A154" t="s">
        <v>81</v>
      </c>
      <c r="B154" t="s">
        <v>447</v>
      </c>
      <c r="C154" t="s">
        <v>448</v>
      </c>
      <c r="D154" t="str">
        <f>TEXT(Tabela7[[#This Row],[cpf]],"000\.000\.000\-00")</f>
        <v>000.000.173-00</v>
      </c>
      <c r="E154">
        <v>63</v>
      </c>
      <c r="F154">
        <v>23119</v>
      </c>
      <c r="G154" t="s">
        <v>79</v>
      </c>
      <c r="H154" t="s">
        <v>100</v>
      </c>
      <c r="I154">
        <v>9300</v>
      </c>
      <c r="J154">
        <v>48500</v>
      </c>
      <c r="K154" t="s">
        <v>50</v>
      </c>
      <c r="L154">
        <v>28</v>
      </c>
      <c r="N154" t="s">
        <v>50</v>
      </c>
      <c r="O154">
        <v>20000</v>
      </c>
    </row>
    <row r="155" spans="1:15">
      <c r="A155" t="s">
        <v>81</v>
      </c>
      <c r="B155" t="s">
        <v>449</v>
      </c>
      <c r="C155" t="s">
        <v>450</v>
      </c>
      <c r="D155" t="str">
        <f>TEXT(Tabela7[[#This Row],[cpf]],"000\.000\.000\-00")</f>
        <v>000.000.073-00</v>
      </c>
      <c r="E155">
        <v>63</v>
      </c>
      <c r="F155" s="11">
        <v>22924</v>
      </c>
      <c r="G155" t="s">
        <v>127</v>
      </c>
      <c r="H155" t="s">
        <v>256</v>
      </c>
      <c r="I155">
        <v>29000</v>
      </c>
      <c r="J155" s="12">
        <v>36500</v>
      </c>
      <c r="K155" t="s">
        <v>50</v>
      </c>
      <c r="L155">
        <v>38</v>
      </c>
      <c r="N155" t="s">
        <v>50</v>
      </c>
      <c r="O155">
        <v>47000</v>
      </c>
    </row>
    <row r="156" spans="1:15">
      <c r="A156" t="s">
        <v>81</v>
      </c>
      <c r="B156" t="s">
        <v>451</v>
      </c>
      <c r="C156">
        <v>23700</v>
      </c>
      <c r="D156" t="str">
        <f>TEXT(Tabela7[[#This Row],[cpf]],"000\.000\.000\-00")</f>
        <v>000.000.237-00</v>
      </c>
      <c r="F156">
        <v>19234</v>
      </c>
      <c r="G156" t="s">
        <v>172</v>
      </c>
      <c r="H156" t="s">
        <v>149</v>
      </c>
      <c r="I156" s="12">
        <v>8900</v>
      </c>
      <c r="J156" s="12">
        <v>4000</v>
      </c>
      <c r="K156" t="s">
        <v>50</v>
      </c>
      <c r="L156">
        <v>38</v>
      </c>
      <c r="N156" t="s">
        <v>50</v>
      </c>
      <c r="O156">
        <v>22500</v>
      </c>
    </row>
    <row r="157" spans="1:15">
      <c r="B157" t="s">
        <v>452</v>
      </c>
      <c r="C157" t="s">
        <v>453</v>
      </c>
      <c r="D157" t="str">
        <f>TEXT(Tabela7[[#This Row],[cpf]],"000\.000\.000\-00")</f>
        <v>000.000.169-00</v>
      </c>
      <c r="E157">
        <v>61</v>
      </c>
      <c r="F157">
        <v>23813</v>
      </c>
      <c r="G157" t="s">
        <v>127</v>
      </c>
      <c r="H157" t="s">
        <v>122</v>
      </c>
      <c r="I157" s="12">
        <v>26300</v>
      </c>
      <c r="J157">
        <v>40000</v>
      </c>
      <c r="K157" t="s">
        <v>51</v>
      </c>
      <c r="L157" t="s">
        <v>313</v>
      </c>
      <c r="N157" t="s">
        <v>51</v>
      </c>
      <c r="O157">
        <v>16500</v>
      </c>
    </row>
    <row r="158" spans="1:15">
      <c r="A158" t="s">
        <v>76</v>
      </c>
      <c r="B158" t="s">
        <v>454</v>
      </c>
      <c r="C158" t="s">
        <v>455</v>
      </c>
      <c r="D158" t="str">
        <f>TEXT(Tabela7[[#This Row],[cpf]],"000\.000\.000\-00")</f>
        <v>000.000.012-00</v>
      </c>
      <c r="E158">
        <v>53</v>
      </c>
      <c r="F158" s="11">
        <v>26631</v>
      </c>
      <c r="G158" t="s">
        <v>242</v>
      </c>
      <c r="H158" t="s">
        <v>456</v>
      </c>
      <c r="I158" s="12">
        <v>22700</v>
      </c>
      <c r="J158">
        <v>42500</v>
      </c>
      <c r="K158" t="s">
        <v>51</v>
      </c>
      <c r="L158">
        <v>25</v>
      </c>
      <c r="N158" t="s">
        <v>51</v>
      </c>
      <c r="O158">
        <v>86000</v>
      </c>
    </row>
    <row r="159" spans="1:15">
      <c r="A159" t="s">
        <v>76</v>
      </c>
      <c r="B159" t="s">
        <v>457</v>
      </c>
      <c r="C159" t="s">
        <v>458</v>
      </c>
      <c r="D159" t="str">
        <f>TEXT(Tabela7[[#This Row],[cpf]],"000\.000\.000\-00")</f>
        <v>000.000.148-00</v>
      </c>
      <c r="E159">
        <v>48</v>
      </c>
      <c r="F159">
        <v>28673</v>
      </c>
      <c r="G159" t="s">
        <v>242</v>
      </c>
      <c r="H159" t="s">
        <v>456</v>
      </c>
      <c r="I159" s="12">
        <v>2300</v>
      </c>
      <c r="J159">
        <v>26500</v>
      </c>
      <c r="K159" t="s">
        <v>93</v>
      </c>
      <c r="L159">
        <v>44</v>
      </c>
      <c r="N159" t="s">
        <v>93</v>
      </c>
      <c r="O159">
        <v>81000</v>
      </c>
    </row>
    <row r="160" spans="1:15">
      <c r="A160" t="s">
        <v>81</v>
      </c>
      <c r="B160" t="s">
        <v>459</v>
      </c>
      <c r="C160" t="s">
        <v>460</v>
      </c>
      <c r="D160" t="str">
        <f>TEXT(Tabela7[[#This Row],[cpf]],"000\.000\.000\-00")</f>
        <v>000.000.250-00</v>
      </c>
      <c r="F160">
        <v>38001</v>
      </c>
      <c r="G160" t="s">
        <v>162</v>
      </c>
      <c r="H160" t="s">
        <v>155</v>
      </c>
      <c r="I160">
        <v>2100</v>
      </c>
      <c r="J160">
        <v>79500</v>
      </c>
      <c r="K160" t="s">
        <v>51</v>
      </c>
      <c r="L160">
        <v>29</v>
      </c>
      <c r="N160" t="s">
        <v>51</v>
      </c>
      <c r="O160">
        <v>64000</v>
      </c>
    </row>
    <row r="161" spans="1:15">
      <c r="A161" t="s">
        <v>81</v>
      </c>
      <c r="B161" t="s">
        <v>461</v>
      </c>
      <c r="C161" t="s">
        <v>462</v>
      </c>
      <c r="D161" t="str">
        <f>TEXT(Tabela7[[#This Row],[cpf]],"000\.000\.000\-00")</f>
        <v>000.000.186-00</v>
      </c>
      <c r="E161">
        <v>33</v>
      </c>
      <c r="F161" s="11">
        <v>33955</v>
      </c>
      <c r="G161" t="s">
        <v>210</v>
      </c>
      <c r="H161" t="s">
        <v>142</v>
      </c>
      <c r="I161">
        <v>25700</v>
      </c>
      <c r="J161">
        <v>35000</v>
      </c>
      <c r="K161" t="s">
        <v>50</v>
      </c>
      <c r="L161">
        <v>40</v>
      </c>
      <c r="N161" t="s">
        <v>50</v>
      </c>
      <c r="O161">
        <v>1000</v>
      </c>
    </row>
    <row r="162" spans="1:15">
      <c r="A162" t="s">
        <v>81</v>
      </c>
      <c r="B162" t="s">
        <v>463</v>
      </c>
      <c r="C162">
        <v>27300</v>
      </c>
      <c r="D162" t="str">
        <f>TEXT(Tabela7[[#This Row],[cpf]],"000\.000\.000\-00")</f>
        <v>000.000.273-00</v>
      </c>
      <c r="E162">
        <v>66</v>
      </c>
      <c r="F162">
        <v>21873</v>
      </c>
      <c r="G162" t="s">
        <v>162</v>
      </c>
      <c r="H162" t="s">
        <v>142</v>
      </c>
      <c r="I162" s="12">
        <v>9900</v>
      </c>
      <c r="J162" t="s">
        <v>464</v>
      </c>
      <c r="K162" t="s">
        <v>50</v>
      </c>
      <c r="L162">
        <v>13</v>
      </c>
      <c r="N162" t="s">
        <v>50</v>
      </c>
      <c r="O162">
        <v>37000</v>
      </c>
    </row>
    <row r="163" spans="1:15">
      <c r="A163" t="s">
        <v>173</v>
      </c>
      <c r="B163" t="s">
        <v>465</v>
      </c>
      <c r="C163">
        <v>33700</v>
      </c>
      <c r="D163" t="str">
        <f>TEXT(Tabela7[[#This Row],[cpf]],"000\.000\.000\-00")</f>
        <v>000.000.337-00</v>
      </c>
      <c r="E163">
        <v>44</v>
      </c>
      <c r="F163">
        <v>30167</v>
      </c>
      <c r="G163" t="s">
        <v>148</v>
      </c>
      <c r="I163">
        <v>5500</v>
      </c>
      <c r="J163" s="12">
        <v>26000</v>
      </c>
      <c r="K163" t="s">
        <v>50</v>
      </c>
      <c r="L163" t="s">
        <v>466</v>
      </c>
      <c r="N163" t="s">
        <v>50</v>
      </c>
      <c r="O163">
        <v>64000</v>
      </c>
    </row>
    <row r="164" spans="1:15">
      <c r="A164" t="s">
        <v>81</v>
      </c>
      <c r="B164" t="s">
        <v>467</v>
      </c>
      <c r="C164" t="s">
        <v>468</v>
      </c>
      <c r="D164" t="str">
        <f>TEXT(Tabela7[[#This Row],[cpf]],"000\.000\.000\-00")</f>
        <v>000.000.258-00</v>
      </c>
      <c r="E164">
        <v>33</v>
      </c>
      <c r="F164" s="11">
        <v>34154</v>
      </c>
      <c r="G164" t="s">
        <v>141</v>
      </c>
      <c r="H164" t="s">
        <v>142</v>
      </c>
      <c r="I164">
        <v>2400</v>
      </c>
      <c r="J164" s="12">
        <v>78000</v>
      </c>
      <c r="K164" t="s">
        <v>50</v>
      </c>
      <c r="L164">
        <v>6</v>
      </c>
      <c r="N164" t="s">
        <v>50</v>
      </c>
      <c r="O164">
        <v>28000</v>
      </c>
    </row>
    <row r="165" spans="1:15">
      <c r="A165" t="s">
        <v>76</v>
      </c>
      <c r="B165" t="s">
        <v>469</v>
      </c>
      <c r="C165" t="s">
        <v>470</v>
      </c>
      <c r="D165" t="str">
        <f>TEXT(Tabela7[[#This Row],[cpf]],"000\.000\.000\-00")</f>
        <v>000.000.254-00</v>
      </c>
      <c r="E165">
        <v>51</v>
      </c>
      <c r="F165" s="11">
        <v>27505</v>
      </c>
      <c r="G165" t="s">
        <v>471</v>
      </c>
      <c r="I165" s="12">
        <v>7200</v>
      </c>
      <c r="J165" t="s">
        <v>472</v>
      </c>
      <c r="K165" t="s">
        <v>51</v>
      </c>
      <c r="L165">
        <v>40</v>
      </c>
      <c r="N165" t="s">
        <v>51</v>
      </c>
      <c r="O165">
        <v>5500</v>
      </c>
    </row>
    <row r="166" spans="1:15">
      <c r="A166" t="s">
        <v>443</v>
      </c>
      <c r="B166" t="s">
        <v>822</v>
      </c>
      <c r="D166" t="str">
        <f>TEXT(Tabela7[[#This Row],[cpf]],"000\.000\.000\-00")</f>
        <v>000.000.000-00</v>
      </c>
      <c r="E166">
        <v>61</v>
      </c>
      <c r="F166">
        <v>23932</v>
      </c>
      <c r="G166" t="s">
        <v>138</v>
      </c>
      <c r="H166" t="s">
        <v>139</v>
      </c>
      <c r="I166">
        <v>4100</v>
      </c>
      <c r="J166">
        <v>78000</v>
      </c>
      <c r="K166" t="s">
        <v>50</v>
      </c>
      <c r="L166">
        <v>25</v>
      </c>
      <c r="N166" t="s">
        <v>50</v>
      </c>
      <c r="O166">
        <v>48000</v>
      </c>
    </row>
    <row r="167" spans="1:15">
      <c r="A167" t="s">
        <v>76</v>
      </c>
      <c r="B167" t="s">
        <v>473</v>
      </c>
      <c r="C167">
        <v>18800</v>
      </c>
      <c r="D167" t="str">
        <f>TEXT(Tabela7[[#This Row],[cpf]],"000\.000\.000\-00")</f>
        <v>000.000.188-00</v>
      </c>
      <c r="E167">
        <v>43</v>
      </c>
      <c r="F167">
        <v>30355</v>
      </c>
      <c r="G167" t="s">
        <v>154</v>
      </c>
      <c r="H167" t="s">
        <v>142</v>
      </c>
      <c r="I167" s="12">
        <v>21700</v>
      </c>
      <c r="J167">
        <v>31000</v>
      </c>
      <c r="K167" t="s">
        <v>50</v>
      </c>
      <c r="L167">
        <v>27</v>
      </c>
      <c r="N167" t="s">
        <v>50</v>
      </c>
      <c r="O167">
        <v>45500</v>
      </c>
    </row>
    <row r="168" spans="1:15">
      <c r="A168" t="s">
        <v>76</v>
      </c>
      <c r="B168" t="s">
        <v>474</v>
      </c>
      <c r="C168" t="s">
        <v>475</v>
      </c>
      <c r="D168" t="str">
        <f>TEXT(Tabela7[[#This Row],[cpf]],"000\.000\.000\-00")</f>
        <v>000.000.097-00</v>
      </c>
      <c r="E168">
        <v>56</v>
      </c>
      <c r="F168" s="11">
        <v>25808</v>
      </c>
      <c r="G168" t="s">
        <v>148</v>
      </c>
      <c r="H168" t="s">
        <v>149</v>
      </c>
      <c r="I168">
        <v>5400</v>
      </c>
      <c r="J168">
        <v>61000</v>
      </c>
      <c r="K168" t="s">
        <v>50</v>
      </c>
      <c r="L168">
        <v>12</v>
      </c>
      <c r="N168" t="s">
        <v>50</v>
      </c>
      <c r="O168">
        <v>96500</v>
      </c>
    </row>
    <row r="169" spans="1:15">
      <c r="A169" t="s">
        <v>105</v>
      </c>
      <c r="B169" t="s">
        <v>476</v>
      </c>
      <c r="C169">
        <v>10200</v>
      </c>
      <c r="D169" t="str">
        <f>TEXT(Tabela7[[#This Row],[cpf]],"000\.000\.000\-00")</f>
        <v>000.000.102-00</v>
      </c>
      <c r="E169">
        <v>35</v>
      </c>
      <c r="F169" s="11">
        <v>33444</v>
      </c>
      <c r="G169" t="s">
        <v>89</v>
      </c>
      <c r="H169" t="s">
        <v>90</v>
      </c>
      <c r="I169" s="13">
        <v>8400</v>
      </c>
      <c r="J169">
        <v>62500</v>
      </c>
      <c r="K169" t="s">
        <v>50</v>
      </c>
      <c r="L169">
        <v>31</v>
      </c>
      <c r="N169" t="s">
        <v>50</v>
      </c>
      <c r="O169">
        <v>83500</v>
      </c>
    </row>
    <row r="170" spans="1:15">
      <c r="A170" t="s">
        <v>81</v>
      </c>
      <c r="B170" t="s">
        <v>477</v>
      </c>
      <c r="C170" t="s">
        <v>478</v>
      </c>
      <c r="D170" t="str">
        <f>TEXT(Tabela7[[#This Row],[cpf]],"000\.000\.000\-00")</f>
        <v>000.000.291-00</v>
      </c>
      <c r="E170">
        <v>44</v>
      </c>
      <c r="F170">
        <v>29948</v>
      </c>
      <c r="G170" t="s">
        <v>183</v>
      </c>
      <c r="H170" t="s">
        <v>183</v>
      </c>
      <c r="J170">
        <v>0</v>
      </c>
      <c r="K170" t="s">
        <v>50</v>
      </c>
      <c r="L170">
        <v>4</v>
      </c>
      <c r="N170" t="s">
        <v>50</v>
      </c>
      <c r="O170">
        <v>80000</v>
      </c>
    </row>
    <row r="171" spans="1:15">
      <c r="A171" t="s">
        <v>81</v>
      </c>
      <c r="B171" t="s">
        <v>479</v>
      </c>
      <c r="C171" t="s">
        <v>480</v>
      </c>
      <c r="D171" t="str">
        <f>TEXT(Tabela7[[#This Row],[cpf]],"000\.000\.000\-00")</f>
        <v>000.000.211-00</v>
      </c>
      <c r="E171">
        <v>31</v>
      </c>
      <c r="F171" s="11">
        <v>34738</v>
      </c>
      <c r="G171" t="s">
        <v>148</v>
      </c>
      <c r="H171" t="s">
        <v>149</v>
      </c>
      <c r="I171">
        <v>22600</v>
      </c>
      <c r="J171">
        <v>58000</v>
      </c>
      <c r="K171" t="s">
        <v>190</v>
      </c>
      <c r="L171" t="s">
        <v>481</v>
      </c>
      <c r="N171" t="s">
        <v>190</v>
      </c>
      <c r="O171">
        <v>26500</v>
      </c>
    </row>
    <row r="172" spans="1:15">
      <c r="A172" t="s">
        <v>81</v>
      </c>
      <c r="B172" t="s">
        <v>214</v>
      </c>
      <c r="C172">
        <v>4000</v>
      </c>
      <c r="D172" t="str">
        <f>TEXT(Tabela7[[#This Row],[cpf]],"000\.000\.000\-00")</f>
        <v>000.000.040-00</v>
      </c>
      <c r="E172">
        <v>48</v>
      </c>
      <c r="F172" s="11">
        <v>28663</v>
      </c>
      <c r="G172" t="s">
        <v>223</v>
      </c>
      <c r="H172" t="s">
        <v>90</v>
      </c>
      <c r="I172">
        <v>24700</v>
      </c>
      <c r="J172">
        <v>30500</v>
      </c>
      <c r="K172" t="s">
        <v>50</v>
      </c>
      <c r="L172">
        <v>34</v>
      </c>
      <c r="N172" t="s">
        <v>50</v>
      </c>
      <c r="O172">
        <v>87500</v>
      </c>
    </row>
    <row r="173" spans="1:15">
      <c r="A173" t="s">
        <v>81</v>
      </c>
      <c r="B173" t="s">
        <v>482</v>
      </c>
      <c r="C173" t="s">
        <v>483</v>
      </c>
      <c r="D173" t="str">
        <f>TEXT(Tabela7[[#This Row],[cpf]],"000\.000\.000\-00")</f>
        <v>000.000.017-00</v>
      </c>
      <c r="E173">
        <v>30</v>
      </c>
      <c r="F173">
        <v>35213</v>
      </c>
      <c r="G173" t="s">
        <v>343</v>
      </c>
      <c r="I173">
        <v>3900</v>
      </c>
      <c r="J173">
        <v>45000</v>
      </c>
      <c r="K173" t="s">
        <v>50</v>
      </c>
      <c r="L173">
        <v>34</v>
      </c>
      <c r="N173" t="s">
        <v>50</v>
      </c>
      <c r="O173">
        <v>41500</v>
      </c>
    </row>
    <row r="174" spans="1:15">
      <c r="A174" t="s">
        <v>81</v>
      </c>
      <c r="B174" t="s">
        <v>484</v>
      </c>
      <c r="C174" t="s">
        <v>485</v>
      </c>
      <c r="D174" t="str">
        <f>TEXT(Tabela7[[#This Row],[cpf]],"000\.000\.000\-00")</f>
        <v>000.000.241-00</v>
      </c>
      <c r="E174">
        <v>21</v>
      </c>
      <c r="F174" s="11">
        <v>38328</v>
      </c>
      <c r="G174" t="s">
        <v>112</v>
      </c>
      <c r="H174" t="s">
        <v>264</v>
      </c>
      <c r="I174">
        <v>4400</v>
      </c>
      <c r="J174">
        <v>23500</v>
      </c>
      <c r="K174" t="s">
        <v>51</v>
      </c>
      <c r="L174">
        <v>31</v>
      </c>
      <c r="N174" t="s">
        <v>51</v>
      </c>
      <c r="O174">
        <v>91000</v>
      </c>
    </row>
    <row r="175" spans="1:15">
      <c r="A175" t="s">
        <v>76</v>
      </c>
      <c r="B175" t="s">
        <v>486</v>
      </c>
      <c r="C175">
        <v>30000</v>
      </c>
      <c r="D175" t="str">
        <f>TEXT(Tabela7[[#This Row],[cpf]],"000\.000\.000\-00")</f>
        <v>000.000.300-00</v>
      </c>
      <c r="E175">
        <v>48</v>
      </c>
      <c r="F175">
        <v>28509</v>
      </c>
      <c r="G175" t="s">
        <v>169</v>
      </c>
      <c r="H175" t="s">
        <v>146</v>
      </c>
      <c r="I175" t="s">
        <v>487</v>
      </c>
      <c r="J175" s="12">
        <v>9000</v>
      </c>
      <c r="K175">
        <v>0</v>
      </c>
      <c r="L175">
        <v>28</v>
      </c>
      <c r="N175">
        <v>0</v>
      </c>
      <c r="O175">
        <v>80000</v>
      </c>
    </row>
    <row r="176" spans="1:15">
      <c r="A176" t="s">
        <v>76</v>
      </c>
      <c r="B176" t="s">
        <v>488</v>
      </c>
      <c r="C176" t="s">
        <v>489</v>
      </c>
      <c r="D176" t="str">
        <f>TEXT(Tabela7[[#This Row],[cpf]],"000\.000\.000\-00")</f>
        <v>000.000.201-00</v>
      </c>
      <c r="F176">
        <v>25925</v>
      </c>
      <c r="G176" t="s">
        <v>112</v>
      </c>
      <c r="H176" t="s">
        <v>264</v>
      </c>
      <c r="I176" s="12">
        <v>20200</v>
      </c>
      <c r="J176">
        <v>61000</v>
      </c>
      <c r="K176" t="s">
        <v>50</v>
      </c>
      <c r="L176">
        <v>10</v>
      </c>
      <c r="N176" t="s">
        <v>50</v>
      </c>
      <c r="O176">
        <v>6500</v>
      </c>
    </row>
    <row r="177" spans="1:15">
      <c r="B177" t="s">
        <v>490</v>
      </c>
      <c r="C177" t="s">
        <v>491</v>
      </c>
      <c r="D177" t="str">
        <f>TEXT(Tabela7[[#This Row],[cpf]],"000\.000\.000\-00")</f>
        <v>000.000.177-00</v>
      </c>
      <c r="E177">
        <v>56</v>
      </c>
      <c r="F177" s="11">
        <v>25705</v>
      </c>
      <c r="G177" t="s">
        <v>223</v>
      </c>
      <c r="H177" t="s">
        <v>90</v>
      </c>
      <c r="I177" s="12">
        <v>11100</v>
      </c>
      <c r="J177" s="12">
        <v>13000</v>
      </c>
      <c r="K177" t="s">
        <v>50</v>
      </c>
      <c r="L177">
        <v>38</v>
      </c>
      <c r="N177" t="s">
        <v>50</v>
      </c>
      <c r="O177">
        <v>88000</v>
      </c>
    </row>
    <row r="178" spans="1:15">
      <c r="A178" t="s">
        <v>76</v>
      </c>
      <c r="B178" t="s">
        <v>492</v>
      </c>
      <c r="C178" t="s">
        <v>493</v>
      </c>
      <c r="D178" t="str">
        <f>TEXT(Tabela7[[#This Row],[cpf]],"000\.000\.000\-00")</f>
        <v>000.000.070-00</v>
      </c>
      <c r="E178">
        <v>62</v>
      </c>
      <c r="F178" s="11">
        <v>23337</v>
      </c>
      <c r="G178" t="s">
        <v>89</v>
      </c>
      <c r="H178" t="s">
        <v>90</v>
      </c>
      <c r="I178">
        <v>11900</v>
      </c>
      <c r="J178" s="13">
        <v>58500</v>
      </c>
      <c r="K178" t="s">
        <v>50</v>
      </c>
      <c r="L178">
        <v>37</v>
      </c>
      <c r="N178" t="s">
        <v>50</v>
      </c>
      <c r="O178">
        <v>48000</v>
      </c>
    </row>
    <row r="179" spans="1:15">
      <c r="A179" t="s">
        <v>76</v>
      </c>
      <c r="B179" t="s">
        <v>494</v>
      </c>
      <c r="C179" t="s">
        <v>495</v>
      </c>
      <c r="D179" t="str">
        <f>TEXT(Tabela7[[#This Row],[cpf]],"000\.000\.000\-00")</f>
        <v>000.000.143-00</v>
      </c>
      <c r="E179">
        <v>26</v>
      </c>
      <c r="F179">
        <v>36619</v>
      </c>
      <c r="G179" t="s">
        <v>169</v>
      </c>
      <c r="H179" t="s">
        <v>139</v>
      </c>
      <c r="I179" t="s">
        <v>496</v>
      </c>
      <c r="J179">
        <v>42500</v>
      </c>
      <c r="K179" t="s">
        <v>51</v>
      </c>
      <c r="L179">
        <v>29</v>
      </c>
      <c r="N179" t="s">
        <v>51</v>
      </c>
      <c r="O179">
        <v>66000</v>
      </c>
    </row>
    <row r="180" spans="1:15">
      <c r="A180" t="s">
        <v>76</v>
      </c>
      <c r="B180" t="s">
        <v>497</v>
      </c>
      <c r="C180" t="s">
        <v>498</v>
      </c>
      <c r="D180" t="str">
        <f>TEXT(Tabela7[[#This Row],[cpf]],"000\.000\.000\-00")</f>
        <v>000.000.178-00</v>
      </c>
      <c r="E180">
        <v>30</v>
      </c>
      <c r="F180" s="11">
        <v>35109</v>
      </c>
      <c r="G180" t="s">
        <v>83</v>
      </c>
      <c r="H180" t="s">
        <v>135</v>
      </c>
      <c r="I180">
        <v>2600</v>
      </c>
      <c r="J180">
        <v>62000</v>
      </c>
      <c r="K180" t="s">
        <v>50</v>
      </c>
      <c r="L180">
        <v>22</v>
      </c>
      <c r="N180" t="s">
        <v>50</v>
      </c>
      <c r="O180">
        <v>62000</v>
      </c>
    </row>
    <row r="181" spans="1:15">
      <c r="A181" t="s">
        <v>76</v>
      </c>
      <c r="B181" t="s">
        <v>499</v>
      </c>
      <c r="C181" t="s">
        <v>500</v>
      </c>
      <c r="D181" t="str">
        <f>TEXT(Tabela7[[#This Row],[cpf]],"000\.000\.000\-00")</f>
        <v>000.000.326-00</v>
      </c>
      <c r="F181" s="11">
        <v>19168</v>
      </c>
      <c r="G181" t="s">
        <v>112</v>
      </c>
      <c r="H181" t="s">
        <v>132</v>
      </c>
      <c r="I181">
        <v>25000</v>
      </c>
      <c r="J181">
        <v>0</v>
      </c>
      <c r="K181" t="s">
        <v>50</v>
      </c>
      <c r="L181">
        <v>3</v>
      </c>
      <c r="N181" t="s">
        <v>50</v>
      </c>
      <c r="O181">
        <v>2500</v>
      </c>
    </row>
    <row r="182" spans="1:15">
      <c r="A182" t="s">
        <v>81</v>
      </c>
      <c r="B182" t="s">
        <v>501</v>
      </c>
      <c r="C182" t="s">
        <v>502</v>
      </c>
      <c r="D182" t="str">
        <f>TEXT(Tabela7[[#This Row],[cpf]],"000\.000\.000\-00")</f>
        <v>000.000.245-00</v>
      </c>
      <c r="E182">
        <v>65</v>
      </c>
      <c r="F182">
        <v>22205</v>
      </c>
      <c r="G182" t="s">
        <v>141</v>
      </c>
      <c r="H182" t="s">
        <v>142</v>
      </c>
      <c r="I182">
        <v>19800</v>
      </c>
      <c r="J182" s="13">
        <v>78500</v>
      </c>
      <c r="K182" t="s">
        <v>50</v>
      </c>
      <c r="L182">
        <v>34</v>
      </c>
      <c r="N182" t="s">
        <v>50</v>
      </c>
      <c r="O182">
        <v>23000</v>
      </c>
    </row>
    <row r="183" spans="1:15">
      <c r="A183" t="s">
        <v>81</v>
      </c>
      <c r="B183" t="s">
        <v>503</v>
      </c>
      <c r="C183" t="s">
        <v>504</v>
      </c>
      <c r="D183" t="str">
        <f>TEXT(Tabela7[[#This Row],[cpf]],"000\.000\.000\-00")</f>
        <v>000.000.061-00</v>
      </c>
      <c r="E183">
        <v>58</v>
      </c>
      <c r="F183" s="11">
        <v>24726</v>
      </c>
      <c r="G183" t="s">
        <v>121</v>
      </c>
      <c r="H183" t="s">
        <v>122</v>
      </c>
      <c r="I183" t="s">
        <v>505</v>
      </c>
      <c r="J183">
        <v>40000</v>
      </c>
      <c r="K183" t="s">
        <v>50</v>
      </c>
      <c r="L183">
        <v>16</v>
      </c>
      <c r="N183" t="s">
        <v>50</v>
      </c>
      <c r="O183">
        <v>98500</v>
      </c>
    </row>
    <row r="184" spans="1:15">
      <c r="A184" t="s">
        <v>76</v>
      </c>
      <c r="B184" t="s">
        <v>506</v>
      </c>
      <c r="C184" t="s">
        <v>507</v>
      </c>
      <c r="D184" t="str">
        <f>TEXT(Tabela7[[#This Row],[cpf]],"000\.000\.000\-00")</f>
        <v>000.000.023-00</v>
      </c>
      <c r="E184">
        <v>45</v>
      </c>
      <c r="F184">
        <v>29769</v>
      </c>
      <c r="G184" t="s">
        <v>83</v>
      </c>
      <c r="H184" t="s">
        <v>187</v>
      </c>
      <c r="I184">
        <v>24400</v>
      </c>
      <c r="J184" s="12">
        <v>7500</v>
      </c>
      <c r="K184" t="s">
        <v>190</v>
      </c>
      <c r="L184">
        <v>13</v>
      </c>
      <c r="N184" t="s">
        <v>190</v>
      </c>
      <c r="O184">
        <v>95000</v>
      </c>
    </row>
    <row r="185" spans="1:15">
      <c r="A185" t="s">
        <v>76</v>
      </c>
      <c r="B185" t="s">
        <v>508</v>
      </c>
      <c r="C185">
        <v>34800</v>
      </c>
      <c r="D185" t="str">
        <f>TEXT(Tabela7[[#This Row],[cpf]],"000\.000\.000\-00")</f>
        <v>000.000.348-00</v>
      </c>
      <c r="E185">
        <v>26</v>
      </c>
      <c r="F185">
        <v>36596</v>
      </c>
      <c r="G185" t="s">
        <v>154</v>
      </c>
      <c r="H185" t="s">
        <v>176</v>
      </c>
      <c r="I185">
        <v>3500</v>
      </c>
      <c r="J185">
        <v>50000</v>
      </c>
      <c r="K185">
        <v>0</v>
      </c>
      <c r="L185">
        <v>40</v>
      </c>
      <c r="N185">
        <v>0</v>
      </c>
      <c r="O185">
        <v>46500</v>
      </c>
    </row>
    <row r="186" spans="1:15">
      <c r="A186" t="s">
        <v>76</v>
      </c>
      <c r="B186" t="s">
        <v>509</v>
      </c>
      <c r="C186" t="s">
        <v>510</v>
      </c>
      <c r="D186" t="str">
        <f>TEXT(Tabela7[[#This Row],[cpf]],"000\.000\.000\-00")</f>
        <v>000.000.301-00</v>
      </c>
      <c r="E186">
        <v>42</v>
      </c>
      <c r="F186">
        <v>30898</v>
      </c>
      <c r="G186" t="s">
        <v>103</v>
      </c>
      <c r="I186">
        <v>20800</v>
      </c>
      <c r="J186" s="12">
        <v>54000</v>
      </c>
      <c r="K186" t="s">
        <v>50</v>
      </c>
      <c r="L186">
        <v>4</v>
      </c>
      <c r="N186" t="s">
        <v>50</v>
      </c>
      <c r="O186">
        <v>73500</v>
      </c>
    </row>
    <row r="187" spans="1:15">
      <c r="A187" t="s">
        <v>81</v>
      </c>
      <c r="B187" t="s">
        <v>511</v>
      </c>
      <c r="C187" t="s">
        <v>512</v>
      </c>
      <c r="D187" t="str">
        <f>TEXT(Tabela7[[#This Row],[cpf]],"000\.000\.000\-00")</f>
        <v>000.000.045-00</v>
      </c>
      <c r="E187">
        <v>66</v>
      </c>
      <c r="F187" s="11">
        <v>21954</v>
      </c>
      <c r="G187" t="s">
        <v>223</v>
      </c>
      <c r="H187" t="s">
        <v>165</v>
      </c>
      <c r="I187">
        <v>3400</v>
      </c>
      <c r="J187">
        <v>78000</v>
      </c>
      <c r="K187" t="s">
        <v>50</v>
      </c>
      <c r="L187">
        <v>9</v>
      </c>
      <c r="N187" t="s">
        <v>50</v>
      </c>
      <c r="O187">
        <v>51500</v>
      </c>
    </row>
    <row r="188" spans="1:15">
      <c r="A188" t="s">
        <v>443</v>
      </c>
      <c r="B188" t="s">
        <v>513</v>
      </c>
      <c r="C188" t="s">
        <v>514</v>
      </c>
      <c r="D188" t="str">
        <f>TEXT(Tabela7[[#This Row],[cpf]],"000\.000\.000\-00")</f>
        <v>000.000.122-00</v>
      </c>
      <c r="E188">
        <v>49</v>
      </c>
      <c r="F188">
        <v>28049</v>
      </c>
      <c r="G188" t="s">
        <v>141</v>
      </c>
      <c r="H188" t="s">
        <v>142</v>
      </c>
      <c r="I188">
        <v>25200</v>
      </c>
      <c r="J188">
        <v>59500</v>
      </c>
      <c r="K188" t="s">
        <v>50</v>
      </c>
      <c r="L188">
        <v>37</v>
      </c>
      <c r="N188" t="s">
        <v>50</v>
      </c>
      <c r="O188">
        <v>86500</v>
      </c>
    </row>
    <row r="189" spans="1:15">
      <c r="A189" t="s">
        <v>76</v>
      </c>
      <c r="B189" t="s">
        <v>515</v>
      </c>
      <c r="C189" t="s">
        <v>516</v>
      </c>
      <c r="D189" t="str">
        <f>TEXT(Tabela7[[#This Row],[cpf]],"000\.000\.000\-00")</f>
        <v>000.000.354-00</v>
      </c>
      <c r="E189">
        <v>60</v>
      </c>
      <c r="F189" s="11">
        <v>24021</v>
      </c>
      <c r="G189" t="s">
        <v>210</v>
      </c>
      <c r="H189" t="s">
        <v>155</v>
      </c>
      <c r="I189">
        <v>22900</v>
      </c>
      <c r="J189">
        <v>4500</v>
      </c>
      <c r="K189" t="s">
        <v>51</v>
      </c>
      <c r="L189">
        <v>29</v>
      </c>
      <c r="N189" t="s">
        <v>51</v>
      </c>
      <c r="O189">
        <v>43500</v>
      </c>
    </row>
    <row r="190" spans="1:15">
      <c r="A190" t="s">
        <v>517</v>
      </c>
      <c r="B190" t="s">
        <v>518</v>
      </c>
      <c r="C190">
        <v>17500</v>
      </c>
      <c r="D190" t="str">
        <f>TEXT(Tabela7[[#This Row],[cpf]],"000\.000\.000\-00")</f>
        <v>000.000.175-00</v>
      </c>
      <c r="E190">
        <v>60</v>
      </c>
      <c r="F190" s="11">
        <v>24091</v>
      </c>
      <c r="G190" t="s">
        <v>103</v>
      </c>
      <c r="H190" t="s">
        <v>108</v>
      </c>
      <c r="I190">
        <v>10100</v>
      </c>
      <c r="J190">
        <v>55000</v>
      </c>
      <c r="K190" t="s">
        <v>50</v>
      </c>
      <c r="L190">
        <v>26</v>
      </c>
      <c r="N190" t="s">
        <v>50</v>
      </c>
      <c r="O190">
        <v>54000</v>
      </c>
    </row>
    <row r="191" spans="1:15">
      <c r="A191" t="s">
        <v>76</v>
      </c>
      <c r="B191" t="s">
        <v>519</v>
      </c>
      <c r="C191">
        <v>16300</v>
      </c>
      <c r="D191" t="str">
        <f>TEXT(Tabela7[[#This Row],[cpf]],"000\.000\.000\-00")</f>
        <v>000.000.163-00</v>
      </c>
      <c r="E191" t="s">
        <v>520</v>
      </c>
      <c r="F191" s="11">
        <v>36255</v>
      </c>
      <c r="G191" t="s">
        <v>141</v>
      </c>
      <c r="H191" t="s">
        <v>142</v>
      </c>
      <c r="I191">
        <v>14000</v>
      </c>
      <c r="J191">
        <v>63500</v>
      </c>
      <c r="K191" t="s">
        <v>50</v>
      </c>
      <c r="L191">
        <v>24</v>
      </c>
      <c r="N191" t="s">
        <v>50</v>
      </c>
      <c r="O191">
        <v>87000</v>
      </c>
    </row>
    <row r="192" spans="1:15">
      <c r="A192" t="s">
        <v>76</v>
      </c>
      <c r="B192" t="s">
        <v>521</v>
      </c>
      <c r="C192" t="s">
        <v>522</v>
      </c>
      <c r="D192" t="str">
        <f>TEXT(Tabela7[[#This Row],[cpf]],"000\.000\.000\-00")</f>
        <v>000.000.197-00</v>
      </c>
      <c r="E192">
        <v>53</v>
      </c>
      <c r="F192">
        <v>26898</v>
      </c>
      <c r="G192" t="s">
        <v>162</v>
      </c>
      <c r="H192" t="s">
        <v>142</v>
      </c>
      <c r="I192">
        <v>27100</v>
      </c>
      <c r="J192">
        <v>68000</v>
      </c>
      <c r="K192" t="s">
        <v>50</v>
      </c>
      <c r="L192" t="s">
        <v>523</v>
      </c>
      <c r="N192" t="s">
        <v>50</v>
      </c>
      <c r="O192">
        <v>49500</v>
      </c>
    </row>
    <row r="193" spans="1:15">
      <c r="A193" t="s">
        <v>76</v>
      </c>
      <c r="B193" t="s">
        <v>524</v>
      </c>
      <c r="C193" t="s">
        <v>525</v>
      </c>
      <c r="D193" t="str">
        <f>TEXT(Tabela7[[#This Row],[cpf]],"000\.000\.000\-00")</f>
        <v>000.000.168-00</v>
      </c>
      <c r="E193">
        <v>37</v>
      </c>
      <c r="F193">
        <v>32414</v>
      </c>
      <c r="G193" t="s">
        <v>526</v>
      </c>
      <c r="I193">
        <v>12800</v>
      </c>
      <c r="J193">
        <v>76500</v>
      </c>
      <c r="K193" t="s">
        <v>50</v>
      </c>
      <c r="L193" t="s">
        <v>466</v>
      </c>
      <c r="N193" t="s">
        <v>50</v>
      </c>
      <c r="O193">
        <v>18500</v>
      </c>
    </row>
    <row r="194" spans="1:15">
      <c r="A194" t="s">
        <v>76</v>
      </c>
      <c r="B194" t="s">
        <v>527</v>
      </c>
      <c r="C194">
        <v>35000</v>
      </c>
      <c r="D194" t="str">
        <f>TEXT(Tabela7[[#This Row],[cpf]],"000\.000\.000\-00")</f>
        <v>000.000.350-00</v>
      </c>
      <c r="E194">
        <v>18</v>
      </c>
      <c r="F194" s="11">
        <v>39342</v>
      </c>
      <c r="G194" t="s">
        <v>148</v>
      </c>
      <c r="H194" t="s">
        <v>149</v>
      </c>
      <c r="I194">
        <v>28900</v>
      </c>
      <c r="J194">
        <v>22000</v>
      </c>
      <c r="K194" t="s">
        <v>50</v>
      </c>
      <c r="L194">
        <v>23</v>
      </c>
      <c r="N194" t="s">
        <v>50</v>
      </c>
      <c r="O194">
        <v>90000</v>
      </c>
    </row>
    <row r="195" spans="1:15">
      <c r="A195" t="s">
        <v>76</v>
      </c>
      <c r="B195" t="s">
        <v>291</v>
      </c>
      <c r="C195" t="s">
        <v>292</v>
      </c>
      <c r="D195" t="str">
        <f>TEXT(Tabela7[[#This Row],[cpf]],"000\.000\.000\-00")</f>
        <v>000.000.283-00</v>
      </c>
      <c r="E195">
        <v>27</v>
      </c>
      <c r="F195">
        <v>36308</v>
      </c>
      <c r="G195" t="s">
        <v>138</v>
      </c>
      <c r="H195" t="s">
        <v>139</v>
      </c>
      <c r="I195">
        <v>5300</v>
      </c>
      <c r="J195" t="s">
        <v>293</v>
      </c>
      <c r="K195" t="s">
        <v>244</v>
      </c>
      <c r="L195">
        <v>11</v>
      </c>
      <c r="N195" t="s">
        <v>244</v>
      </c>
      <c r="O195">
        <v>4500</v>
      </c>
    </row>
    <row r="196" spans="1:15">
      <c r="A196" t="s">
        <v>76</v>
      </c>
      <c r="B196" t="s">
        <v>528</v>
      </c>
      <c r="C196" t="s">
        <v>529</v>
      </c>
      <c r="D196" t="str">
        <f>TEXT(Tabela7[[#This Row],[cpf]],"000\.000\.000\-00")</f>
        <v>000.000.037-00</v>
      </c>
      <c r="E196">
        <v>25</v>
      </c>
      <c r="F196">
        <v>36824</v>
      </c>
      <c r="G196" t="s">
        <v>141</v>
      </c>
      <c r="H196" t="s">
        <v>142</v>
      </c>
      <c r="I196">
        <v>18300</v>
      </c>
      <c r="J196">
        <v>41000</v>
      </c>
      <c r="K196" t="s">
        <v>50</v>
      </c>
      <c r="L196">
        <v>9</v>
      </c>
      <c r="N196" t="s">
        <v>50</v>
      </c>
      <c r="O196">
        <v>32500</v>
      </c>
    </row>
    <row r="197" spans="1:15">
      <c r="A197" t="s">
        <v>76</v>
      </c>
      <c r="B197" t="s">
        <v>530</v>
      </c>
      <c r="C197" t="s">
        <v>531</v>
      </c>
      <c r="D197" t="str">
        <f>TEXT(Tabela7[[#This Row],[cpf]],"000\.000\.000\-00")</f>
        <v>000.000.224-00</v>
      </c>
      <c r="E197">
        <v>55</v>
      </c>
      <c r="F197">
        <v>26103</v>
      </c>
      <c r="G197" t="s">
        <v>83</v>
      </c>
      <c r="H197" t="s">
        <v>84</v>
      </c>
      <c r="I197">
        <v>9600</v>
      </c>
      <c r="J197">
        <v>43000</v>
      </c>
      <c r="K197" t="s">
        <v>50</v>
      </c>
      <c r="L197">
        <v>36</v>
      </c>
      <c r="N197" t="s">
        <v>50</v>
      </c>
      <c r="O197">
        <v>67500</v>
      </c>
    </row>
    <row r="198" spans="1:15">
      <c r="A198" t="s">
        <v>76</v>
      </c>
      <c r="B198" t="s">
        <v>532</v>
      </c>
      <c r="C198" t="s">
        <v>533</v>
      </c>
      <c r="D198" t="str">
        <f>TEXT(Tabela7[[#This Row],[cpf]],"000\.000\.000\-00")</f>
        <v>000.000.031-00</v>
      </c>
      <c r="E198">
        <v>23</v>
      </c>
      <c r="F198">
        <v>37530</v>
      </c>
      <c r="G198" t="s">
        <v>96</v>
      </c>
      <c r="I198">
        <v>10700</v>
      </c>
      <c r="J198">
        <v>15000</v>
      </c>
      <c r="K198" t="s">
        <v>50</v>
      </c>
      <c r="L198">
        <v>42</v>
      </c>
      <c r="N198" t="s">
        <v>50</v>
      </c>
      <c r="O198">
        <v>81500</v>
      </c>
    </row>
    <row r="199" spans="1:15">
      <c r="A199" t="s">
        <v>81</v>
      </c>
      <c r="B199" t="s">
        <v>534</v>
      </c>
      <c r="C199" t="s">
        <v>535</v>
      </c>
      <c r="D199" t="str">
        <f>TEXT(Tabela7[[#This Row],[cpf]],"000\.000\.000\-00")</f>
        <v>000.000.009-00</v>
      </c>
      <c r="E199">
        <v>58</v>
      </c>
      <c r="F199">
        <v>24872</v>
      </c>
      <c r="G199" t="s">
        <v>112</v>
      </c>
      <c r="H199" t="s">
        <v>264</v>
      </c>
      <c r="I199" s="12">
        <v>12500</v>
      </c>
      <c r="J199" s="13">
        <v>44500</v>
      </c>
      <c r="K199" t="s">
        <v>244</v>
      </c>
      <c r="L199">
        <v>13</v>
      </c>
      <c r="N199" t="s">
        <v>244</v>
      </c>
      <c r="O199">
        <v>16000</v>
      </c>
    </row>
    <row r="200" spans="1:15">
      <c r="A200" t="s">
        <v>76</v>
      </c>
      <c r="B200" t="s">
        <v>912</v>
      </c>
      <c r="D200" t="str">
        <f>TEXT(Tabela7[[#This Row],[cpf]],"000\.000\.000\-00")</f>
        <v>000.000.000-00</v>
      </c>
      <c r="E200">
        <v>24</v>
      </c>
      <c r="G200" t="s">
        <v>89</v>
      </c>
      <c r="H200" t="s">
        <v>413</v>
      </c>
      <c r="I200">
        <v>17000</v>
      </c>
      <c r="J200">
        <v>41000</v>
      </c>
      <c r="K200" t="s">
        <v>50</v>
      </c>
      <c r="L200">
        <v>37</v>
      </c>
      <c r="N200" t="s">
        <v>50</v>
      </c>
      <c r="O200">
        <v>33000</v>
      </c>
    </row>
    <row r="201" spans="1:15">
      <c r="A201" t="s">
        <v>76</v>
      </c>
      <c r="B201" t="s">
        <v>536</v>
      </c>
      <c r="C201">
        <v>7700</v>
      </c>
      <c r="D201" t="str">
        <f>TEXT(Tabela7[[#This Row],[cpf]],"000\.000\.000\-00")</f>
        <v>000.000.077-00</v>
      </c>
      <c r="F201" s="11">
        <v>31337</v>
      </c>
      <c r="G201" t="s">
        <v>169</v>
      </c>
      <c r="H201" t="s">
        <v>139</v>
      </c>
      <c r="I201">
        <v>14000</v>
      </c>
      <c r="J201">
        <v>0</v>
      </c>
      <c r="K201" t="s">
        <v>190</v>
      </c>
      <c r="L201">
        <v>24</v>
      </c>
      <c r="N201" t="s">
        <v>190</v>
      </c>
      <c r="O201">
        <v>82000</v>
      </c>
    </row>
    <row r="202" spans="1:15">
      <c r="A202" t="s">
        <v>76</v>
      </c>
      <c r="B202" t="s">
        <v>131</v>
      </c>
      <c r="C202" t="s">
        <v>1187</v>
      </c>
      <c r="D202" t="str">
        <f>TEXT(Tabela7[[#This Row],[cpf]],"000\.000\.000\-00")</f>
        <v>000.000.006-00</v>
      </c>
      <c r="E202">
        <v>59</v>
      </c>
      <c r="F202">
        <v>24710</v>
      </c>
      <c r="G202" t="s">
        <v>705</v>
      </c>
      <c r="I202" s="13">
        <v>19900</v>
      </c>
      <c r="J202" s="13">
        <v>55000</v>
      </c>
      <c r="K202" t="s">
        <v>50</v>
      </c>
      <c r="L202">
        <v>26</v>
      </c>
      <c r="N202" t="s">
        <v>50</v>
      </c>
      <c r="O202">
        <v>100000</v>
      </c>
    </row>
    <row r="203" spans="1:15">
      <c r="A203" t="s">
        <v>81</v>
      </c>
      <c r="B203" t="s">
        <v>537</v>
      </c>
      <c r="C203" t="s">
        <v>538</v>
      </c>
      <c r="D203" t="str">
        <f>TEXT(Tabela7[[#This Row],[cpf]],"000\.000\.000\-00")</f>
        <v>000.000.289-00</v>
      </c>
      <c r="E203">
        <v>74</v>
      </c>
      <c r="F203">
        <v>19073</v>
      </c>
      <c r="G203" t="s">
        <v>103</v>
      </c>
      <c r="I203">
        <v>7100</v>
      </c>
      <c r="J203">
        <v>61500</v>
      </c>
      <c r="K203" t="s">
        <v>50</v>
      </c>
      <c r="L203" t="s">
        <v>166</v>
      </c>
      <c r="N203" t="s">
        <v>50</v>
      </c>
      <c r="O203">
        <v>50500</v>
      </c>
    </row>
    <row r="204" spans="1:15">
      <c r="A204" t="s">
        <v>76</v>
      </c>
      <c r="B204" t="s">
        <v>539</v>
      </c>
      <c r="C204" t="s">
        <v>540</v>
      </c>
      <c r="D204" t="str">
        <f>TEXT(Tabela7[[#This Row],[cpf]],"000\.000\.000\-00")</f>
        <v>000.000.316-00</v>
      </c>
      <c r="E204">
        <v>64</v>
      </c>
      <c r="F204" s="11">
        <v>22886</v>
      </c>
      <c r="G204" t="s">
        <v>112</v>
      </c>
      <c r="H204" t="s">
        <v>132</v>
      </c>
      <c r="I204" s="13">
        <v>8800</v>
      </c>
      <c r="J204" s="12">
        <v>66000</v>
      </c>
      <c r="K204" t="s">
        <v>50</v>
      </c>
      <c r="L204">
        <v>28</v>
      </c>
      <c r="N204" t="s">
        <v>50</v>
      </c>
      <c r="O204">
        <v>5000</v>
      </c>
    </row>
    <row r="205" spans="1:15">
      <c r="A205" t="s">
        <v>81</v>
      </c>
      <c r="B205" t="s">
        <v>534</v>
      </c>
      <c r="C205" t="s">
        <v>535</v>
      </c>
      <c r="D205" t="str">
        <f>TEXT(Tabela7[[#This Row],[cpf]],"000\.000\.000\-00")</f>
        <v>000.000.009-00</v>
      </c>
      <c r="E205">
        <v>58</v>
      </c>
      <c r="F205">
        <v>24872</v>
      </c>
      <c r="G205" t="s">
        <v>112</v>
      </c>
      <c r="H205" t="s">
        <v>264</v>
      </c>
      <c r="I205" s="12">
        <v>12500</v>
      </c>
      <c r="J205" s="13">
        <v>44500</v>
      </c>
      <c r="K205" t="s">
        <v>244</v>
      </c>
      <c r="L205">
        <v>13</v>
      </c>
      <c r="N205" t="s">
        <v>244</v>
      </c>
      <c r="O205">
        <v>98500</v>
      </c>
    </row>
    <row r="206" spans="1:15">
      <c r="A206" t="s">
        <v>76</v>
      </c>
      <c r="B206" t="s">
        <v>541</v>
      </c>
      <c r="C206">
        <v>23300</v>
      </c>
      <c r="D206" t="str">
        <f>TEXT(Tabela7[[#This Row],[cpf]],"000\.000\.000\-00")</f>
        <v>000.000.233-00</v>
      </c>
      <c r="E206">
        <v>38</v>
      </c>
      <c r="F206">
        <v>32066</v>
      </c>
      <c r="G206" t="s">
        <v>121</v>
      </c>
      <c r="H206" t="s">
        <v>122</v>
      </c>
      <c r="I206">
        <v>9700</v>
      </c>
      <c r="J206" s="13">
        <v>25000</v>
      </c>
      <c r="K206" t="s">
        <v>50</v>
      </c>
      <c r="L206">
        <v>0</v>
      </c>
      <c r="N206" t="s">
        <v>50</v>
      </c>
      <c r="O206">
        <v>55500</v>
      </c>
    </row>
    <row r="207" spans="1:15">
      <c r="A207" t="s">
        <v>76</v>
      </c>
      <c r="B207" t="s">
        <v>542</v>
      </c>
      <c r="C207">
        <v>9600</v>
      </c>
      <c r="D207" t="str">
        <f>TEXT(Tabela7[[#This Row],[cpf]],"000\.000\.000\-00")</f>
        <v>000.000.096-00</v>
      </c>
      <c r="E207">
        <v>49</v>
      </c>
      <c r="F207">
        <v>28330</v>
      </c>
      <c r="G207" t="s">
        <v>127</v>
      </c>
      <c r="H207" t="s">
        <v>122</v>
      </c>
      <c r="I207">
        <v>11500</v>
      </c>
      <c r="J207">
        <v>44500</v>
      </c>
      <c r="K207" t="s">
        <v>50</v>
      </c>
      <c r="L207">
        <v>45</v>
      </c>
      <c r="N207" t="s">
        <v>50</v>
      </c>
      <c r="O207">
        <v>3000</v>
      </c>
    </row>
    <row r="208" spans="1:15">
      <c r="A208" t="s">
        <v>76</v>
      </c>
      <c r="B208" t="s">
        <v>543</v>
      </c>
      <c r="C208">
        <v>19000</v>
      </c>
      <c r="D208" t="str">
        <f>TEXT(Tabela7[[#This Row],[cpf]],"000\.000\.000\-00")</f>
        <v>000.000.190-00</v>
      </c>
      <c r="E208">
        <v>42</v>
      </c>
      <c r="F208" s="11">
        <v>30724</v>
      </c>
      <c r="G208" t="s">
        <v>154</v>
      </c>
      <c r="H208" t="s">
        <v>142</v>
      </c>
      <c r="I208">
        <v>18500</v>
      </c>
      <c r="J208" s="12">
        <v>59000</v>
      </c>
      <c r="K208" t="s">
        <v>50</v>
      </c>
      <c r="L208">
        <v>44</v>
      </c>
      <c r="N208" t="s">
        <v>50</v>
      </c>
      <c r="O208">
        <v>16500</v>
      </c>
    </row>
    <row r="209" spans="1:15">
      <c r="A209" t="s">
        <v>76</v>
      </c>
      <c r="B209" t="s">
        <v>544</v>
      </c>
      <c r="C209" t="s">
        <v>545</v>
      </c>
      <c r="D209" t="str">
        <f>TEXT(Tabela7[[#This Row],[cpf]],"000\.000\.000\-00")</f>
        <v>000.000.304-00</v>
      </c>
      <c r="E209">
        <v>18</v>
      </c>
      <c r="F209">
        <v>39338</v>
      </c>
      <c r="G209" t="s">
        <v>162</v>
      </c>
      <c r="H209" t="s">
        <v>155</v>
      </c>
      <c r="I209" s="13">
        <v>14100</v>
      </c>
      <c r="J209">
        <v>38500</v>
      </c>
      <c r="K209" t="s">
        <v>50</v>
      </c>
      <c r="L209">
        <v>7</v>
      </c>
      <c r="N209" t="s">
        <v>50</v>
      </c>
      <c r="O209">
        <v>11000</v>
      </c>
    </row>
    <row r="210" spans="1:15">
      <c r="A210" t="s">
        <v>76</v>
      </c>
      <c r="B210" t="s">
        <v>546</v>
      </c>
      <c r="C210">
        <v>4900</v>
      </c>
      <c r="D210" t="str">
        <f>TEXT(Tabela7[[#This Row],[cpf]],"000\.000\.000\-00")</f>
        <v>000.000.049-00</v>
      </c>
      <c r="E210">
        <v>18</v>
      </c>
      <c r="F210">
        <v>39369</v>
      </c>
      <c r="G210" t="s">
        <v>121</v>
      </c>
      <c r="H210" t="s">
        <v>273</v>
      </c>
      <c r="I210">
        <v>18500</v>
      </c>
      <c r="J210">
        <v>74500</v>
      </c>
      <c r="K210" t="s">
        <v>51</v>
      </c>
      <c r="L210">
        <v>20</v>
      </c>
      <c r="N210" t="s">
        <v>51</v>
      </c>
      <c r="O210">
        <v>45500</v>
      </c>
    </row>
    <row r="211" spans="1:15">
      <c r="A211" t="s">
        <v>81</v>
      </c>
      <c r="B211" t="s">
        <v>547</v>
      </c>
      <c r="C211" t="s">
        <v>548</v>
      </c>
      <c r="D211" t="str">
        <f>TEXT(Tabela7[[#This Row],[cpf]],"000\.000\.000\-00")</f>
        <v>000.000.332-00</v>
      </c>
      <c r="E211">
        <v>66</v>
      </c>
      <c r="F211" s="11">
        <v>22039</v>
      </c>
      <c r="G211" t="s">
        <v>183</v>
      </c>
      <c r="H211" t="s">
        <v>296</v>
      </c>
      <c r="I211" t="s">
        <v>549</v>
      </c>
      <c r="J211" t="s">
        <v>550</v>
      </c>
      <c r="K211" t="s">
        <v>50</v>
      </c>
      <c r="L211">
        <v>28</v>
      </c>
      <c r="N211" t="s">
        <v>50</v>
      </c>
      <c r="O211">
        <v>74500</v>
      </c>
    </row>
    <row r="212" spans="1:15">
      <c r="A212" t="s">
        <v>76</v>
      </c>
      <c r="B212" t="s">
        <v>551</v>
      </c>
      <c r="C212" t="s">
        <v>552</v>
      </c>
      <c r="D212" t="str">
        <f>TEXT(Tabela7[[#This Row],[cpf]],"000\.000\.000\-00")</f>
        <v>000.000.056-00</v>
      </c>
      <c r="E212">
        <v>35</v>
      </c>
      <c r="F212" s="11">
        <v>33336</v>
      </c>
      <c r="G212" t="s">
        <v>79</v>
      </c>
      <c r="H212" t="s">
        <v>80</v>
      </c>
      <c r="I212" t="s">
        <v>553</v>
      </c>
      <c r="J212">
        <v>54000</v>
      </c>
      <c r="K212">
        <v>0</v>
      </c>
      <c r="L212">
        <v>44</v>
      </c>
      <c r="N212">
        <v>0</v>
      </c>
      <c r="O212">
        <v>18000</v>
      </c>
    </row>
    <row r="213" spans="1:15">
      <c r="A213" t="s">
        <v>76</v>
      </c>
      <c r="B213" t="s">
        <v>554</v>
      </c>
      <c r="C213">
        <v>27800</v>
      </c>
      <c r="D213" t="str">
        <f>TEXT(Tabela7[[#This Row],[cpf]],"000\.000\.000\-00")</f>
        <v>000.000.278-00</v>
      </c>
      <c r="E213">
        <v>38</v>
      </c>
      <c r="F213">
        <v>32152</v>
      </c>
      <c r="G213" t="s">
        <v>555</v>
      </c>
      <c r="I213">
        <v>2000</v>
      </c>
      <c r="J213">
        <v>60000</v>
      </c>
      <c r="K213" t="s">
        <v>50</v>
      </c>
      <c r="L213" t="s">
        <v>556</v>
      </c>
      <c r="N213" t="s">
        <v>50</v>
      </c>
      <c r="O213">
        <v>54000</v>
      </c>
    </row>
    <row r="214" spans="1:15">
      <c r="A214" t="s">
        <v>81</v>
      </c>
      <c r="B214" t="s">
        <v>260</v>
      </c>
      <c r="C214" t="s">
        <v>261</v>
      </c>
      <c r="D214" t="str">
        <f>TEXT(Tabela7[[#This Row],[cpf]],"000\.000\.000\-00")</f>
        <v>000.000.014-00</v>
      </c>
      <c r="E214" t="s">
        <v>262</v>
      </c>
      <c r="F214" s="11">
        <v>29113</v>
      </c>
      <c r="G214" t="s">
        <v>162</v>
      </c>
      <c r="H214" t="s">
        <v>142</v>
      </c>
      <c r="I214">
        <v>15000</v>
      </c>
      <c r="J214">
        <v>0</v>
      </c>
      <c r="K214" t="s">
        <v>50</v>
      </c>
      <c r="L214">
        <v>40</v>
      </c>
      <c r="N214" t="s">
        <v>50</v>
      </c>
      <c r="O214">
        <v>90500</v>
      </c>
    </row>
    <row r="215" spans="1:15">
      <c r="A215" t="s">
        <v>76</v>
      </c>
      <c r="B215" t="s">
        <v>557</v>
      </c>
      <c r="C215" t="s">
        <v>558</v>
      </c>
      <c r="D215" t="str">
        <f>TEXT(Tabela7[[#This Row],[cpf]],"000\.000\.000\-00")</f>
        <v>000.000.025-00</v>
      </c>
      <c r="E215">
        <v>72</v>
      </c>
      <c r="F215">
        <v>19800</v>
      </c>
      <c r="G215" t="s">
        <v>138</v>
      </c>
      <c r="H215" t="s">
        <v>139</v>
      </c>
      <c r="I215">
        <v>24300</v>
      </c>
      <c r="J215">
        <v>13500</v>
      </c>
      <c r="K215" t="s">
        <v>50</v>
      </c>
      <c r="L215">
        <v>33</v>
      </c>
      <c r="N215" t="s">
        <v>50</v>
      </c>
      <c r="O215">
        <v>14500</v>
      </c>
    </row>
    <row r="216" spans="1:15">
      <c r="A216" t="s">
        <v>76</v>
      </c>
      <c r="B216" t="s">
        <v>559</v>
      </c>
      <c r="C216" t="s">
        <v>560</v>
      </c>
      <c r="D216" t="str">
        <f>TEXT(Tabela7[[#This Row],[cpf]],"000\.000\.000\-00")</f>
        <v>000.000.041-00</v>
      </c>
      <c r="E216">
        <v>69</v>
      </c>
      <c r="G216" t="s">
        <v>127</v>
      </c>
      <c r="H216" t="s">
        <v>122</v>
      </c>
      <c r="I216" s="13">
        <v>4500</v>
      </c>
      <c r="J216">
        <v>0</v>
      </c>
      <c r="K216" t="s">
        <v>51</v>
      </c>
      <c r="L216">
        <v>32</v>
      </c>
      <c r="N216" t="s">
        <v>51</v>
      </c>
      <c r="O216">
        <v>56500</v>
      </c>
    </row>
    <row r="217" spans="1:15">
      <c r="A217" t="s">
        <v>76</v>
      </c>
      <c r="B217" t="s">
        <v>561</v>
      </c>
      <c r="C217" t="s">
        <v>562</v>
      </c>
      <c r="D217" t="str">
        <f>TEXT(Tabela7[[#This Row],[cpf]],"000\.000\.000\-00")</f>
        <v>000.000.146-00</v>
      </c>
      <c r="E217">
        <v>22</v>
      </c>
      <c r="F217">
        <v>38079</v>
      </c>
      <c r="G217" t="s">
        <v>83</v>
      </c>
      <c r="H217" t="s">
        <v>84</v>
      </c>
      <c r="I217">
        <v>9200</v>
      </c>
      <c r="J217" s="12">
        <v>5000</v>
      </c>
      <c r="K217" t="s">
        <v>50</v>
      </c>
      <c r="L217">
        <v>42</v>
      </c>
      <c r="N217" t="s">
        <v>50</v>
      </c>
      <c r="O217">
        <v>63500</v>
      </c>
    </row>
    <row r="218" spans="1:15">
      <c r="A218" t="s">
        <v>76</v>
      </c>
      <c r="B218" t="s">
        <v>563</v>
      </c>
      <c r="C218" t="s">
        <v>564</v>
      </c>
      <c r="D218" t="str">
        <f>TEXT(Tabela7[[#This Row],[cpf]],"000\.000\.000\-00")</f>
        <v>000.000.187-00</v>
      </c>
      <c r="E218">
        <v>39</v>
      </c>
      <c r="F218">
        <v>31972</v>
      </c>
      <c r="G218" t="s">
        <v>138</v>
      </c>
      <c r="H218" t="s">
        <v>146</v>
      </c>
      <c r="I218">
        <v>8700</v>
      </c>
      <c r="J218" t="s">
        <v>232</v>
      </c>
      <c r="K218" t="s">
        <v>50</v>
      </c>
      <c r="L218">
        <v>16</v>
      </c>
      <c r="N218" t="s">
        <v>50</v>
      </c>
      <c r="O218">
        <v>93500</v>
      </c>
    </row>
    <row r="219" spans="1:15">
      <c r="A219" t="s">
        <v>76</v>
      </c>
      <c r="B219" t="s">
        <v>565</v>
      </c>
      <c r="C219">
        <v>9800</v>
      </c>
      <c r="D219" t="str">
        <f>TEXT(Tabela7[[#This Row],[cpf]],"000\.000\.000\-00")</f>
        <v>000.000.098-00</v>
      </c>
      <c r="E219">
        <v>35</v>
      </c>
      <c r="F219" s="11">
        <v>33440</v>
      </c>
      <c r="G219" t="s">
        <v>112</v>
      </c>
      <c r="H219" t="s">
        <v>264</v>
      </c>
      <c r="I219" s="12">
        <v>2000</v>
      </c>
      <c r="J219" s="12">
        <v>5500</v>
      </c>
      <c r="K219" t="s">
        <v>50</v>
      </c>
      <c r="L219">
        <v>34</v>
      </c>
      <c r="N219" t="s">
        <v>50</v>
      </c>
      <c r="O219">
        <v>71000</v>
      </c>
    </row>
    <row r="220" spans="1:15">
      <c r="A220" t="s">
        <v>76</v>
      </c>
      <c r="B220" t="s">
        <v>566</v>
      </c>
      <c r="C220" t="s">
        <v>567</v>
      </c>
      <c r="D220" t="str">
        <f>TEXT(Tabela7[[#This Row],[cpf]],"000\.000\.000\-00")</f>
        <v>000.000.114-00</v>
      </c>
      <c r="E220">
        <v>72</v>
      </c>
      <c r="F220">
        <v>19623</v>
      </c>
      <c r="G220" t="s">
        <v>103</v>
      </c>
      <c r="H220" t="s">
        <v>108</v>
      </c>
      <c r="I220" s="13">
        <v>12600</v>
      </c>
      <c r="J220" s="13">
        <v>5500</v>
      </c>
      <c r="K220" t="s">
        <v>50</v>
      </c>
      <c r="L220">
        <v>35</v>
      </c>
      <c r="N220" t="s">
        <v>50</v>
      </c>
      <c r="O220">
        <v>21000</v>
      </c>
    </row>
    <row r="221" spans="1:15">
      <c r="A221" t="s">
        <v>76</v>
      </c>
      <c r="B221" t="s">
        <v>568</v>
      </c>
      <c r="C221" t="s">
        <v>569</v>
      </c>
      <c r="D221" t="str">
        <f>TEXT(Tabela7[[#This Row],[cpf]],"000\.000\.000\-00")</f>
        <v>000.000.303-00</v>
      </c>
      <c r="E221">
        <v>24</v>
      </c>
      <c r="G221" t="s">
        <v>141</v>
      </c>
      <c r="H221" t="s">
        <v>142</v>
      </c>
      <c r="I221">
        <v>29300</v>
      </c>
      <c r="J221">
        <v>32000</v>
      </c>
      <c r="K221" t="s">
        <v>51</v>
      </c>
      <c r="L221">
        <v>26</v>
      </c>
      <c r="N221" t="s">
        <v>51</v>
      </c>
      <c r="O221">
        <v>59000</v>
      </c>
    </row>
    <row r="222" spans="1:15">
      <c r="A222" t="s">
        <v>81</v>
      </c>
      <c r="B222" t="s">
        <v>570</v>
      </c>
      <c r="C222" t="s">
        <v>571</v>
      </c>
      <c r="D222" t="str">
        <f>TEXT(Tabela7[[#This Row],[cpf]],"000\.000\.000\-00")</f>
        <v>000.000.322-00</v>
      </c>
      <c r="E222">
        <v>26</v>
      </c>
      <c r="F222">
        <v>36540</v>
      </c>
      <c r="G222" t="s">
        <v>89</v>
      </c>
      <c r="H222" t="s">
        <v>165</v>
      </c>
      <c r="I222">
        <v>24000</v>
      </c>
      <c r="J222" t="s">
        <v>572</v>
      </c>
      <c r="K222" t="s">
        <v>50</v>
      </c>
      <c r="L222">
        <v>30</v>
      </c>
      <c r="N222" t="s">
        <v>50</v>
      </c>
      <c r="O222">
        <v>62500</v>
      </c>
    </row>
    <row r="223" spans="1:15">
      <c r="A223" t="s">
        <v>76</v>
      </c>
      <c r="B223" t="s">
        <v>573</v>
      </c>
      <c r="C223" t="s">
        <v>574</v>
      </c>
      <c r="D223" t="str">
        <f>TEXT(Tabela7[[#This Row],[cpf]],"000\.000\.000\-00")</f>
        <v>000.000.335-00</v>
      </c>
      <c r="E223">
        <v>35</v>
      </c>
      <c r="F223">
        <v>33309</v>
      </c>
      <c r="G223" t="s">
        <v>138</v>
      </c>
      <c r="H223" t="s">
        <v>139</v>
      </c>
      <c r="I223">
        <v>28500</v>
      </c>
      <c r="J223" s="12">
        <v>48500</v>
      </c>
      <c r="K223" t="s">
        <v>50</v>
      </c>
      <c r="L223">
        <v>24</v>
      </c>
      <c r="N223" t="s">
        <v>50</v>
      </c>
      <c r="O223">
        <v>80500</v>
      </c>
    </row>
    <row r="224" spans="1:15">
      <c r="A224" t="s">
        <v>76</v>
      </c>
      <c r="B224" t="s">
        <v>575</v>
      </c>
      <c r="C224" t="s">
        <v>576</v>
      </c>
      <c r="D224" t="str">
        <f>TEXT(Tabela7[[#This Row],[cpf]],"000\.000\.000\-00")</f>
        <v>000.000.003-00</v>
      </c>
      <c r="E224">
        <v>23</v>
      </c>
      <c r="F224" s="11">
        <v>37785</v>
      </c>
      <c r="G224" t="s">
        <v>223</v>
      </c>
      <c r="H224" t="s">
        <v>413</v>
      </c>
      <c r="I224" s="13">
        <v>17900</v>
      </c>
      <c r="J224">
        <v>28000</v>
      </c>
      <c r="K224" t="s">
        <v>50</v>
      </c>
      <c r="L224">
        <v>41</v>
      </c>
      <c r="N224" t="s">
        <v>50</v>
      </c>
      <c r="O224">
        <v>52500</v>
      </c>
    </row>
    <row r="225" spans="1:15">
      <c r="A225" t="s">
        <v>81</v>
      </c>
      <c r="B225" t="s">
        <v>577</v>
      </c>
      <c r="C225" t="s">
        <v>578</v>
      </c>
      <c r="D225" t="str">
        <f>TEXT(Tabela7[[#This Row],[cpf]],"000\.000\.000\-00")</f>
        <v>000.000.235-00</v>
      </c>
      <c r="E225">
        <v>33</v>
      </c>
      <c r="F225">
        <v>33902</v>
      </c>
      <c r="G225" t="s">
        <v>172</v>
      </c>
      <c r="H225" t="s">
        <v>216</v>
      </c>
      <c r="I225">
        <v>12500</v>
      </c>
      <c r="J225">
        <v>51500</v>
      </c>
      <c r="K225" t="s">
        <v>51</v>
      </c>
      <c r="L225">
        <v>44</v>
      </c>
      <c r="N225" t="s">
        <v>51</v>
      </c>
      <c r="O225">
        <v>24000</v>
      </c>
    </row>
    <row r="226" spans="1:15">
      <c r="A226" t="s">
        <v>76</v>
      </c>
      <c r="B226" t="s">
        <v>566</v>
      </c>
      <c r="C226" t="s">
        <v>1188</v>
      </c>
      <c r="D226" t="str">
        <f>TEXT(Tabela7[[#This Row],[cpf]],"000\.000\.000\-00")</f>
        <v>000.000.307-00</v>
      </c>
      <c r="E226">
        <v>63</v>
      </c>
      <c r="F226" s="11">
        <v>22900</v>
      </c>
      <c r="G226" t="s">
        <v>183</v>
      </c>
      <c r="H226" t="s">
        <v>183</v>
      </c>
      <c r="I226">
        <v>5500</v>
      </c>
      <c r="J226" s="12">
        <v>41000</v>
      </c>
      <c r="K226" t="s">
        <v>50</v>
      </c>
      <c r="L226">
        <v>2</v>
      </c>
      <c r="N226" t="s">
        <v>50</v>
      </c>
      <c r="O226">
        <v>54500</v>
      </c>
    </row>
    <row r="227" spans="1:15">
      <c r="A227" t="s">
        <v>81</v>
      </c>
      <c r="B227" t="s">
        <v>579</v>
      </c>
      <c r="C227" t="s">
        <v>580</v>
      </c>
      <c r="D227" t="str">
        <f>TEXT(Tabela7[[#This Row],[cpf]],"000\.000\.000\-00")</f>
        <v>000.000.260-00</v>
      </c>
      <c r="E227">
        <v>31</v>
      </c>
      <c r="F227" s="11">
        <v>34885</v>
      </c>
      <c r="G227" t="s">
        <v>89</v>
      </c>
      <c r="H227" t="s">
        <v>90</v>
      </c>
      <c r="I227" s="13">
        <v>16400</v>
      </c>
      <c r="J227" t="s">
        <v>581</v>
      </c>
      <c r="K227" t="s">
        <v>93</v>
      </c>
      <c r="L227">
        <v>6</v>
      </c>
      <c r="N227" t="s">
        <v>93</v>
      </c>
      <c r="O227">
        <v>49500</v>
      </c>
    </row>
    <row r="228" spans="1:15">
      <c r="A228" t="s">
        <v>105</v>
      </c>
      <c r="B228" t="s">
        <v>933</v>
      </c>
      <c r="C228" t="s">
        <v>1189</v>
      </c>
      <c r="D228" t="str">
        <f>TEXT(Tabela7[[#This Row],[cpf]],"000\.000\.000\-00")</f>
        <v>000.000.008-00</v>
      </c>
      <c r="E228">
        <v>71</v>
      </c>
      <c r="F228" s="11">
        <v>20000</v>
      </c>
      <c r="G228" t="s">
        <v>242</v>
      </c>
      <c r="H228" t="s">
        <v>243</v>
      </c>
      <c r="I228">
        <v>15100</v>
      </c>
      <c r="J228" t="s">
        <v>92</v>
      </c>
      <c r="K228" t="s">
        <v>50</v>
      </c>
      <c r="L228">
        <v>42</v>
      </c>
      <c r="N228" t="s">
        <v>50</v>
      </c>
      <c r="O228">
        <v>77000</v>
      </c>
    </row>
    <row r="229" spans="1:15">
      <c r="A229" t="s">
        <v>76</v>
      </c>
      <c r="B229" t="s">
        <v>582</v>
      </c>
      <c r="C229">
        <v>21900</v>
      </c>
      <c r="D229" t="str">
        <f>TEXT(Tabela7[[#This Row],[cpf]],"000\.000\.000\-00")</f>
        <v>000.000.219-00</v>
      </c>
      <c r="E229">
        <v>67</v>
      </c>
      <c r="F229">
        <v>21619</v>
      </c>
      <c r="G229" t="s">
        <v>83</v>
      </c>
      <c r="H229" t="s">
        <v>135</v>
      </c>
      <c r="I229">
        <v>20200</v>
      </c>
      <c r="J229">
        <v>6500</v>
      </c>
      <c r="K229" t="s">
        <v>50</v>
      </c>
      <c r="L229">
        <v>1</v>
      </c>
      <c r="N229" t="s">
        <v>50</v>
      </c>
      <c r="O229">
        <v>98500</v>
      </c>
    </row>
    <row r="230" spans="1:15">
      <c r="A230" t="s">
        <v>76</v>
      </c>
      <c r="B230" t="s">
        <v>583</v>
      </c>
      <c r="C230" t="s">
        <v>584</v>
      </c>
      <c r="D230" t="str">
        <f>TEXT(Tabela7[[#This Row],[cpf]],"000\.000\.000\-00")</f>
        <v>000.000.001-00</v>
      </c>
      <c r="E230">
        <v>27</v>
      </c>
      <c r="F230" s="11">
        <v>36288</v>
      </c>
      <c r="G230" t="s">
        <v>210</v>
      </c>
      <c r="H230" t="s">
        <v>142</v>
      </c>
      <c r="I230">
        <v>29700</v>
      </c>
      <c r="J230">
        <v>12000</v>
      </c>
      <c r="K230" t="s">
        <v>50</v>
      </c>
      <c r="L230">
        <v>37</v>
      </c>
      <c r="N230" t="s">
        <v>50</v>
      </c>
      <c r="O230">
        <v>49000</v>
      </c>
    </row>
    <row r="231" spans="1:15">
      <c r="A231" t="s">
        <v>76</v>
      </c>
      <c r="B231" t="s">
        <v>585</v>
      </c>
      <c r="C231" t="s">
        <v>586</v>
      </c>
      <c r="D231" t="str">
        <f>TEXT(Tabela7[[#This Row],[cpf]],"000\.000\.000\-00")</f>
        <v>000.000.227-00</v>
      </c>
      <c r="E231">
        <v>25</v>
      </c>
      <c r="F231" s="11">
        <v>37056</v>
      </c>
      <c r="G231" t="s">
        <v>162</v>
      </c>
      <c r="H231" t="s">
        <v>142</v>
      </c>
      <c r="I231">
        <v>25400</v>
      </c>
      <c r="J231">
        <v>4000</v>
      </c>
      <c r="K231" t="s">
        <v>50</v>
      </c>
      <c r="L231">
        <v>4</v>
      </c>
      <c r="N231" t="s">
        <v>50</v>
      </c>
      <c r="O231">
        <v>8500</v>
      </c>
    </row>
    <row r="232" spans="1:15">
      <c r="A232" t="s">
        <v>76</v>
      </c>
      <c r="B232" t="s">
        <v>587</v>
      </c>
      <c r="C232" t="s">
        <v>588</v>
      </c>
      <c r="D232" t="str">
        <f>TEXT(Tabela7[[#This Row],[cpf]],"000\.000\.000\-00")</f>
        <v>000.000.266-00</v>
      </c>
      <c r="E232">
        <v>70</v>
      </c>
      <c r="F232">
        <v>20533</v>
      </c>
      <c r="G232" t="s">
        <v>242</v>
      </c>
      <c r="H232" t="s">
        <v>456</v>
      </c>
      <c r="I232">
        <v>9100</v>
      </c>
      <c r="J232">
        <v>40500</v>
      </c>
      <c r="K232" t="s">
        <v>50</v>
      </c>
      <c r="L232">
        <v>35</v>
      </c>
      <c r="N232" t="s">
        <v>50</v>
      </c>
      <c r="O232">
        <v>53000</v>
      </c>
    </row>
    <row r="233" spans="1:15">
      <c r="A233" t="s">
        <v>81</v>
      </c>
      <c r="B233" t="s">
        <v>589</v>
      </c>
      <c r="C233" t="s">
        <v>590</v>
      </c>
      <c r="D233" t="str">
        <f>TEXT(Tabela7[[#This Row],[cpf]],"000\.000\.000\-00")</f>
        <v>000.000.158-00</v>
      </c>
      <c r="E233">
        <v>57</v>
      </c>
      <c r="F233" s="11">
        <v>25324</v>
      </c>
      <c r="G233" t="s">
        <v>154</v>
      </c>
      <c r="H233" t="s">
        <v>155</v>
      </c>
      <c r="I233">
        <v>9500</v>
      </c>
      <c r="J233">
        <v>58000</v>
      </c>
      <c r="K233" t="s">
        <v>190</v>
      </c>
      <c r="L233">
        <v>23</v>
      </c>
      <c r="N233" t="s">
        <v>190</v>
      </c>
      <c r="O233">
        <v>81500</v>
      </c>
    </row>
    <row r="234" spans="1:15">
      <c r="A234" t="s">
        <v>81</v>
      </c>
      <c r="B234" t="s">
        <v>971</v>
      </c>
      <c r="C234" t="s">
        <v>1190</v>
      </c>
      <c r="D234" t="str">
        <f>TEXT(Tabela7[[#This Row],[cpf]],"000\.000\.000\-00")</f>
        <v>000.000.020-00</v>
      </c>
      <c r="E234">
        <v>58</v>
      </c>
      <c r="F234">
        <v>25054</v>
      </c>
      <c r="G234" t="s">
        <v>223</v>
      </c>
      <c r="H234" t="s">
        <v>165</v>
      </c>
      <c r="I234" s="12">
        <v>4500</v>
      </c>
      <c r="J234" s="12">
        <v>20000</v>
      </c>
      <c r="K234" t="s">
        <v>51</v>
      </c>
      <c r="L234">
        <v>9</v>
      </c>
      <c r="N234" t="s">
        <v>51</v>
      </c>
      <c r="O234">
        <v>49000</v>
      </c>
    </row>
    <row r="235" spans="1:15">
      <c r="A235" t="s">
        <v>81</v>
      </c>
      <c r="B235" t="s">
        <v>591</v>
      </c>
      <c r="C235">
        <v>6400</v>
      </c>
      <c r="D235" t="str">
        <f>TEXT(Tabela7[[#This Row],[cpf]],"000\.000\.000\-00")</f>
        <v>000.000.064-00</v>
      </c>
      <c r="E235">
        <v>57</v>
      </c>
      <c r="F235">
        <v>25206</v>
      </c>
      <c r="G235" t="s">
        <v>138</v>
      </c>
      <c r="H235" t="s">
        <v>353</v>
      </c>
      <c r="I235">
        <v>3400</v>
      </c>
      <c r="J235">
        <v>0</v>
      </c>
      <c r="K235" t="s">
        <v>50</v>
      </c>
      <c r="L235">
        <v>20</v>
      </c>
      <c r="N235" t="s">
        <v>50</v>
      </c>
      <c r="O235">
        <v>19500</v>
      </c>
    </row>
    <row r="236" spans="1:15">
      <c r="A236" t="s">
        <v>76</v>
      </c>
      <c r="B236" t="s">
        <v>592</v>
      </c>
      <c r="C236" t="s">
        <v>593</v>
      </c>
      <c r="D236" t="str">
        <f>TEXT(Tabela7[[#This Row],[cpf]],"000\.000\.000\-00")</f>
        <v>000.000.220-00</v>
      </c>
      <c r="E236">
        <v>65</v>
      </c>
      <c r="F236" s="11">
        <v>22366</v>
      </c>
      <c r="G236" t="s">
        <v>172</v>
      </c>
      <c r="H236" t="s">
        <v>216</v>
      </c>
      <c r="I236" s="13">
        <v>18000</v>
      </c>
      <c r="J236">
        <v>0</v>
      </c>
      <c r="K236" t="s">
        <v>50</v>
      </c>
      <c r="L236">
        <v>27</v>
      </c>
      <c r="N236" t="s">
        <v>50</v>
      </c>
      <c r="O236">
        <v>38500</v>
      </c>
    </row>
    <row r="237" spans="1:15">
      <c r="A237" t="s">
        <v>76</v>
      </c>
      <c r="B237" t="s">
        <v>594</v>
      </c>
      <c r="C237" t="s">
        <v>595</v>
      </c>
      <c r="D237" t="str">
        <f>TEXT(Tabela7[[#This Row],[cpf]],"000\.000\.000\-00")</f>
        <v>000.000.256-00</v>
      </c>
      <c r="E237">
        <v>39</v>
      </c>
      <c r="F237" s="11">
        <v>31814</v>
      </c>
      <c r="G237" t="s">
        <v>154</v>
      </c>
      <c r="H237" t="s">
        <v>142</v>
      </c>
      <c r="I237" s="12">
        <v>9300</v>
      </c>
      <c r="J237" s="12">
        <v>36500</v>
      </c>
      <c r="K237" t="s">
        <v>50</v>
      </c>
      <c r="N237" t="s">
        <v>50</v>
      </c>
      <c r="O237">
        <v>3000</v>
      </c>
    </row>
    <row r="238" spans="1:15">
      <c r="A238" t="s">
        <v>76</v>
      </c>
      <c r="B238" t="s">
        <v>596</v>
      </c>
      <c r="C238">
        <v>30500</v>
      </c>
      <c r="D238" t="str">
        <f>TEXT(Tabela7[[#This Row],[cpf]],"000\.000\.000\-00")</f>
        <v>000.000.305-00</v>
      </c>
      <c r="E238">
        <v>62</v>
      </c>
      <c r="F238">
        <v>23278</v>
      </c>
      <c r="G238" t="s">
        <v>141</v>
      </c>
      <c r="H238" t="s">
        <v>142</v>
      </c>
      <c r="I238">
        <v>17000</v>
      </c>
      <c r="J238">
        <v>64000</v>
      </c>
      <c r="K238" t="s">
        <v>51</v>
      </c>
      <c r="L238">
        <v>21</v>
      </c>
      <c r="N238" t="s">
        <v>51</v>
      </c>
      <c r="O238">
        <v>19000</v>
      </c>
    </row>
    <row r="239" spans="1:15">
      <c r="A239" t="s">
        <v>81</v>
      </c>
      <c r="B239" t="s">
        <v>597</v>
      </c>
      <c r="C239" t="s">
        <v>598</v>
      </c>
      <c r="D239" t="str">
        <f>TEXT(Tabela7[[#This Row],[cpf]],"000\.000\.000\-00")</f>
        <v>000.000.074-00</v>
      </c>
      <c r="E239">
        <v>69</v>
      </c>
      <c r="F239">
        <v>20785</v>
      </c>
      <c r="G239" t="s">
        <v>141</v>
      </c>
      <c r="H239" t="s">
        <v>155</v>
      </c>
      <c r="I239">
        <v>16000</v>
      </c>
      <c r="J239" s="12">
        <v>48000</v>
      </c>
      <c r="K239" t="s">
        <v>50</v>
      </c>
      <c r="L239">
        <v>29</v>
      </c>
      <c r="N239" t="s">
        <v>50</v>
      </c>
      <c r="O239">
        <v>74500</v>
      </c>
    </row>
    <row r="240" spans="1:15">
      <c r="A240" t="s">
        <v>81</v>
      </c>
      <c r="B240" t="s">
        <v>599</v>
      </c>
      <c r="C240">
        <v>27100</v>
      </c>
      <c r="D240" t="str">
        <f>TEXT(Tabela7[[#This Row],[cpf]],"000\.000\.000\-00")</f>
        <v>000.000.271-00</v>
      </c>
      <c r="E240">
        <v>55</v>
      </c>
      <c r="F240" s="11">
        <v>25895</v>
      </c>
      <c r="G240" t="s">
        <v>121</v>
      </c>
      <c r="H240" t="s">
        <v>122</v>
      </c>
      <c r="I240">
        <v>6800</v>
      </c>
      <c r="J240">
        <v>12000</v>
      </c>
      <c r="K240" t="s">
        <v>50</v>
      </c>
      <c r="L240">
        <v>6</v>
      </c>
      <c r="N240" t="s">
        <v>50</v>
      </c>
      <c r="O240">
        <v>11000</v>
      </c>
    </row>
    <row r="241" spans="1:15">
      <c r="A241" t="s">
        <v>76</v>
      </c>
      <c r="B241" t="s">
        <v>600</v>
      </c>
      <c r="C241" t="s">
        <v>601</v>
      </c>
      <c r="D241" t="str">
        <f>TEXT(Tabela7[[#This Row],[cpf]],"000\.000\.000\-00")</f>
        <v>000.000.144-00</v>
      </c>
      <c r="E241">
        <v>25</v>
      </c>
      <c r="F241" s="11">
        <v>37026</v>
      </c>
      <c r="G241" t="s">
        <v>302</v>
      </c>
      <c r="H241" t="s">
        <v>84</v>
      </c>
      <c r="I241">
        <v>28200</v>
      </c>
      <c r="J241">
        <v>0</v>
      </c>
      <c r="K241" t="s">
        <v>50</v>
      </c>
      <c r="L241">
        <v>29</v>
      </c>
      <c r="N241" t="s">
        <v>50</v>
      </c>
      <c r="O241">
        <v>92500</v>
      </c>
    </row>
    <row r="242" spans="1:15">
      <c r="A242" t="s">
        <v>81</v>
      </c>
      <c r="B242" t="s">
        <v>364</v>
      </c>
      <c r="C242">
        <v>34900</v>
      </c>
      <c r="D242" t="str">
        <f>TEXT(Tabela7[[#This Row],[cpf]],"000\.000\.000\-00")</f>
        <v>000.000.349-00</v>
      </c>
      <c r="E242" t="s">
        <v>1191</v>
      </c>
      <c r="F242">
        <v>34387</v>
      </c>
      <c r="G242" t="s">
        <v>141</v>
      </c>
      <c r="H242" t="s">
        <v>142</v>
      </c>
      <c r="I242">
        <v>20500</v>
      </c>
      <c r="J242">
        <v>0</v>
      </c>
      <c r="K242" t="s">
        <v>50</v>
      </c>
      <c r="L242" t="s">
        <v>421</v>
      </c>
      <c r="N242" t="s">
        <v>50</v>
      </c>
      <c r="O242">
        <v>54500</v>
      </c>
    </row>
    <row r="243" spans="1:15">
      <c r="A243" t="s">
        <v>76</v>
      </c>
      <c r="B243" t="s">
        <v>602</v>
      </c>
      <c r="C243" t="s">
        <v>603</v>
      </c>
      <c r="D243" t="str">
        <f>TEXT(Tabela7[[#This Row],[cpf]],"000\.000\.000\-00")</f>
        <v>000.000.126-00</v>
      </c>
      <c r="E243">
        <v>53</v>
      </c>
      <c r="F243">
        <v>26620</v>
      </c>
      <c r="G243" t="s">
        <v>79</v>
      </c>
      <c r="H243" t="s">
        <v>100</v>
      </c>
      <c r="I243" s="12">
        <v>21300</v>
      </c>
      <c r="J243">
        <v>79500</v>
      </c>
      <c r="K243" t="s">
        <v>50</v>
      </c>
      <c r="L243" t="s">
        <v>556</v>
      </c>
      <c r="N243" t="s">
        <v>50</v>
      </c>
      <c r="O243">
        <v>19000</v>
      </c>
    </row>
    <row r="244" spans="1:15">
      <c r="A244" t="s">
        <v>76</v>
      </c>
      <c r="B244" t="s">
        <v>604</v>
      </c>
      <c r="C244" t="s">
        <v>605</v>
      </c>
      <c r="D244" t="str">
        <f>TEXT(Tabela7[[#This Row],[cpf]],"000\.000\.000\-00")</f>
        <v>000.000.236-00</v>
      </c>
      <c r="E244">
        <v>69</v>
      </c>
      <c r="F244" s="11">
        <v>20943</v>
      </c>
      <c r="G244" t="s">
        <v>526</v>
      </c>
      <c r="I244">
        <v>13800</v>
      </c>
      <c r="J244">
        <v>62000</v>
      </c>
      <c r="K244" t="s">
        <v>50</v>
      </c>
      <c r="L244">
        <v>31</v>
      </c>
      <c r="N244" t="s">
        <v>50</v>
      </c>
      <c r="O244">
        <v>60500</v>
      </c>
    </row>
    <row r="245" spans="1:15">
      <c r="A245" t="s">
        <v>76</v>
      </c>
      <c r="B245" t="s">
        <v>606</v>
      </c>
      <c r="C245" t="s">
        <v>607</v>
      </c>
      <c r="D245" t="str">
        <f>TEXT(Tabela7[[#This Row],[cpf]],"000\.000\.000\-00")</f>
        <v>000.000.043-00</v>
      </c>
      <c r="E245">
        <v>27</v>
      </c>
      <c r="F245">
        <v>36316</v>
      </c>
      <c r="G245" t="s">
        <v>148</v>
      </c>
      <c r="H245" t="s">
        <v>216</v>
      </c>
      <c r="I245" s="13">
        <v>10700</v>
      </c>
      <c r="J245" t="s">
        <v>608</v>
      </c>
      <c r="K245" t="s">
        <v>50</v>
      </c>
      <c r="L245">
        <v>44</v>
      </c>
      <c r="N245" t="s">
        <v>50</v>
      </c>
      <c r="O245">
        <v>48000</v>
      </c>
    </row>
    <row r="246" spans="1:15">
      <c r="A246" t="s">
        <v>76</v>
      </c>
      <c r="B246" t="s">
        <v>609</v>
      </c>
      <c r="C246">
        <v>19300</v>
      </c>
      <c r="D246" t="str">
        <f>TEXT(Tabela7[[#This Row],[cpf]],"000\.000\.000\-00")</f>
        <v>000.000.193-00</v>
      </c>
      <c r="E246">
        <v>74</v>
      </c>
      <c r="F246" s="11">
        <v>19131</v>
      </c>
      <c r="G246" t="s">
        <v>223</v>
      </c>
      <c r="H246" t="s">
        <v>331</v>
      </c>
      <c r="I246">
        <v>20700</v>
      </c>
      <c r="J246" s="12">
        <v>17500</v>
      </c>
      <c r="K246" t="s">
        <v>50</v>
      </c>
      <c r="L246">
        <v>35</v>
      </c>
      <c r="N246" t="s">
        <v>50</v>
      </c>
      <c r="O246">
        <v>65000</v>
      </c>
    </row>
    <row r="247" spans="1:15">
      <c r="A247" t="s">
        <v>257</v>
      </c>
      <c r="B247" t="s">
        <v>610</v>
      </c>
      <c r="C247" t="s">
        <v>611</v>
      </c>
      <c r="D247" t="str">
        <f>TEXT(Tabela7[[#This Row],[cpf]],"000\.000\.000\-00")</f>
        <v>000.000.155-00</v>
      </c>
      <c r="F247">
        <v>39230</v>
      </c>
      <c r="G247" t="s">
        <v>172</v>
      </c>
      <c r="H247" t="s">
        <v>149</v>
      </c>
      <c r="I247" t="s">
        <v>612</v>
      </c>
      <c r="J247" s="13">
        <v>49500</v>
      </c>
      <c r="K247" t="s">
        <v>50</v>
      </c>
      <c r="L247">
        <v>25</v>
      </c>
      <c r="N247" t="s">
        <v>50</v>
      </c>
      <c r="O247">
        <v>46500</v>
      </c>
    </row>
    <row r="248" spans="1:15">
      <c r="A248" t="s">
        <v>81</v>
      </c>
      <c r="B248" t="s">
        <v>570</v>
      </c>
      <c r="C248" t="s">
        <v>571</v>
      </c>
      <c r="D248" t="str">
        <f>TEXT(Tabela7[[#This Row],[cpf]],"000\.000\.000\-00")</f>
        <v>000.000.322-00</v>
      </c>
      <c r="E248">
        <v>26</v>
      </c>
      <c r="F248">
        <v>36540</v>
      </c>
      <c r="G248" t="s">
        <v>89</v>
      </c>
      <c r="H248" t="s">
        <v>165</v>
      </c>
      <c r="I248">
        <v>24000</v>
      </c>
      <c r="J248" t="s">
        <v>572</v>
      </c>
      <c r="K248" t="s">
        <v>50</v>
      </c>
      <c r="L248">
        <v>30</v>
      </c>
      <c r="N248" t="s">
        <v>50</v>
      </c>
      <c r="O248">
        <v>11500</v>
      </c>
    </row>
    <row r="249" spans="1:15">
      <c r="A249" t="s">
        <v>76</v>
      </c>
      <c r="B249" t="s">
        <v>613</v>
      </c>
      <c r="C249" t="s">
        <v>614</v>
      </c>
      <c r="D249" t="str">
        <f>TEXT(Tabela7[[#This Row],[cpf]],"000\.000\.000\-00")</f>
        <v>000.000.265-00</v>
      </c>
      <c r="E249">
        <v>47</v>
      </c>
      <c r="F249" s="11">
        <v>28841</v>
      </c>
      <c r="G249" t="s">
        <v>183</v>
      </c>
      <c r="H249" t="s">
        <v>183</v>
      </c>
      <c r="I249" t="s">
        <v>615</v>
      </c>
      <c r="J249" s="13">
        <v>62000</v>
      </c>
      <c r="K249" t="s">
        <v>51</v>
      </c>
      <c r="L249">
        <v>37</v>
      </c>
      <c r="N249" t="s">
        <v>51</v>
      </c>
      <c r="O249">
        <v>92500</v>
      </c>
    </row>
    <row r="250" spans="1:15">
      <c r="A250" t="s">
        <v>76</v>
      </c>
      <c r="B250" t="s">
        <v>616</v>
      </c>
      <c r="C250" t="s">
        <v>617</v>
      </c>
      <c r="D250" t="str">
        <f>TEXT(Tabela7[[#This Row],[cpf]],"000\.000\.000\-00")</f>
        <v>000.000.378-00</v>
      </c>
      <c r="E250">
        <v>34</v>
      </c>
      <c r="F250">
        <v>33746</v>
      </c>
      <c r="G250" t="s">
        <v>183</v>
      </c>
      <c r="H250" t="s">
        <v>183</v>
      </c>
      <c r="I250">
        <v>28900</v>
      </c>
      <c r="J250">
        <v>37000</v>
      </c>
      <c r="K250" t="s">
        <v>50</v>
      </c>
      <c r="L250">
        <v>21</v>
      </c>
      <c r="N250" t="s">
        <v>50</v>
      </c>
      <c r="O250">
        <v>97500</v>
      </c>
    </row>
    <row r="251" spans="1:15">
      <c r="A251" t="s">
        <v>76</v>
      </c>
      <c r="B251" t="s">
        <v>618</v>
      </c>
      <c r="C251" t="s">
        <v>619</v>
      </c>
      <c r="D251" t="str">
        <f>TEXT(Tabela7[[#This Row],[cpf]],"000\.000\.000\-00")</f>
        <v>000.000.313-00</v>
      </c>
      <c r="E251">
        <v>30</v>
      </c>
      <c r="F251" s="11">
        <v>35180</v>
      </c>
      <c r="G251" t="s">
        <v>154</v>
      </c>
      <c r="H251" t="s">
        <v>142</v>
      </c>
      <c r="I251" s="12">
        <v>13800</v>
      </c>
      <c r="J251">
        <v>42000</v>
      </c>
      <c r="L251">
        <v>29</v>
      </c>
      <c r="O251">
        <v>7000</v>
      </c>
    </row>
    <row r="252" spans="1:15">
      <c r="A252" t="s">
        <v>81</v>
      </c>
      <c r="B252" t="s">
        <v>620</v>
      </c>
      <c r="C252" t="s">
        <v>621</v>
      </c>
      <c r="D252" t="str">
        <f>TEXT(Tabela7[[#This Row],[cpf]],"000\.000\.000\-00")</f>
        <v>000.000.100-00</v>
      </c>
      <c r="E252">
        <v>67</v>
      </c>
      <c r="F252" s="11">
        <v>21674</v>
      </c>
      <c r="G252" t="s">
        <v>242</v>
      </c>
      <c r="H252" t="s">
        <v>456</v>
      </c>
      <c r="I252">
        <v>15200</v>
      </c>
      <c r="J252">
        <v>67500</v>
      </c>
      <c r="K252" t="s">
        <v>50</v>
      </c>
      <c r="L252">
        <v>12</v>
      </c>
      <c r="N252" t="s">
        <v>50</v>
      </c>
      <c r="O252">
        <v>97500</v>
      </c>
    </row>
    <row r="253" spans="1:15">
      <c r="A253" t="s">
        <v>76</v>
      </c>
      <c r="B253" t="s">
        <v>622</v>
      </c>
      <c r="C253" t="s">
        <v>623</v>
      </c>
      <c r="D253" t="str">
        <f>TEXT(Tabela7[[#This Row],[cpf]],"000\.000\.000\-00")</f>
        <v>000.000.379-00</v>
      </c>
      <c r="E253">
        <v>59</v>
      </c>
      <c r="F253" s="11">
        <v>24578</v>
      </c>
      <c r="G253" t="s">
        <v>242</v>
      </c>
      <c r="I253">
        <v>6600</v>
      </c>
      <c r="J253">
        <v>50000</v>
      </c>
      <c r="K253" t="s">
        <v>51</v>
      </c>
      <c r="L253">
        <v>9</v>
      </c>
      <c r="N253" t="s">
        <v>51</v>
      </c>
      <c r="O253">
        <v>25000</v>
      </c>
    </row>
    <row r="254" spans="1:15">
      <c r="A254" t="s">
        <v>81</v>
      </c>
      <c r="B254" t="s">
        <v>624</v>
      </c>
      <c r="C254">
        <v>24300</v>
      </c>
      <c r="D254" t="str">
        <f>TEXT(Tabela7[[#This Row],[cpf]],"000\.000\.000\-00")</f>
        <v>000.000.243-00</v>
      </c>
      <c r="E254">
        <v>25</v>
      </c>
      <c r="F254">
        <v>37131</v>
      </c>
      <c r="G254" t="s">
        <v>103</v>
      </c>
      <c r="H254" t="s">
        <v>108</v>
      </c>
      <c r="I254" s="12">
        <v>24500</v>
      </c>
      <c r="J254" t="s">
        <v>92</v>
      </c>
      <c r="K254">
        <v>0</v>
      </c>
      <c r="L254">
        <v>0</v>
      </c>
      <c r="N254">
        <v>0</v>
      </c>
      <c r="O254">
        <v>55000</v>
      </c>
    </row>
    <row r="255" spans="1:15">
      <c r="A255" t="s">
        <v>76</v>
      </c>
      <c r="B255" t="s">
        <v>625</v>
      </c>
      <c r="C255" t="s">
        <v>626</v>
      </c>
      <c r="D255" t="str">
        <f>TEXT(Tabela7[[#This Row],[cpf]],"000\.000\.000\-00")</f>
        <v>000.000.128-00</v>
      </c>
      <c r="F255">
        <v>32796</v>
      </c>
      <c r="G255" t="s">
        <v>89</v>
      </c>
      <c r="H255" t="s">
        <v>90</v>
      </c>
      <c r="I255">
        <v>28600</v>
      </c>
      <c r="K255" t="s">
        <v>50</v>
      </c>
      <c r="L255">
        <v>19</v>
      </c>
      <c r="N255" t="s">
        <v>50</v>
      </c>
      <c r="O255">
        <v>90000</v>
      </c>
    </row>
    <row r="256" spans="1:15">
      <c r="A256" t="s">
        <v>81</v>
      </c>
      <c r="B256" t="s">
        <v>627</v>
      </c>
      <c r="C256" t="s">
        <v>628</v>
      </c>
      <c r="D256" t="str">
        <f>TEXT(Tabela7[[#This Row],[cpf]],"000\.000\.000\-00")</f>
        <v>000.000.380-00</v>
      </c>
      <c r="E256">
        <v>36</v>
      </c>
      <c r="F256">
        <v>32914</v>
      </c>
      <c r="G256" t="s">
        <v>242</v>
      </c>
      <c r="H256" t="s">
        <v>456</v>
      </c>
      <c r="I256">
        <v>27600</v>
      </c>
      <c r="J256">
        <v>37000</v>
      </c>
      <c r="K256" t="s">
        <v>50</v>
      </c>
      <c r="L256">
        <v>15</v>
      </c>
      <c r="N256" t="s">
        <v>50</v>
      </c>
      <c r="O256">
        <v>41500</v>
      </c>
    </row>
    <row r="257" spans="1:15">
      <c r="A257" t="s">
        <v>81</v>
      </c>
      <c r="B257" t="s">
        <v>629</v>
      </c>
      <c r="C257">
        <v>17100</v>
      </c>
      <c r="D257" t="str">
        <f>TEXT(Tabela7[[#This Row],[cpf]],"000\.000\.000\-00")</f>
        <v>000.000.171-00</v>
      </c>
      <c r="E257">
        <v>45</v>
      </c>
      <c r="F257">
        <v>29506</v>
      </c>
      <c r="G257" t="s">
        <v>302</v>
      </c>
      <c r="H257" t="s">
        <v>84</v>
      </c>
      <c r="I257">
        <v>5100</v>
      </c>
      <c r="J257" s="12">
        <v>25000</v>
      </c>
      <c r="K257" t="s">
        <v>50</v>
      </c>
      <c r="L257">
        <v>29</v>
      </c>
      <c r="N257" t="s">
        <v>50</v>
      </c>
      <c r="O257">
        <v>88000</v>
      </c>
    </row>
    <row r="258" spans="1:15">
      <c r="A258" t="s">
        <v>105</v>
      </c>
      <c r="B258" t="s">
        <v>630</v>
      </c>
      <c r="C258" t="s">
        <v>631</v>
      </c>
      <c r="D258" t="str">
        <f>TEXT(Tabela7[[#This Row],[cpf]],"000\.000\.000\-00")</f>
        <v>000.000.093-00</v>
      </c>
      <c r="E258">
        <v>56</v>
      </c>
      <c r="F258">
        <v>25551</v>
      </c>
      <c r="G258" t="s">
        <v>183</v>
      </c>
      <c r="H258" t="s">
        <v>183</v>
      </c>
      <c r="I258" s="13">
        <v>22600</v>
      </c>
      <c r="J258">
        <v>63000</v>
      </c>
      <c r="K258" t="s">
        <v>50</v>
      </c>
      <c r="L258">
        <v>33</v>
      </c>
      <c r="N258" t="s">
        <v>50</v>
      </c>
      <c r="O258">
        <v>53000</v>
      </c>
    </row>
    <row r="259" spans="1:15">
      <c r="A259" t="s">
        <v>76</v>
      </c>
      <c r="B259" t="s">
        <v>632</v>
      </c>
      <c r="C259" t="s">
        <v>633</v>
      </c>
      <c r="D259" t="str">
        <f>TEXT(Tabela7[[#This Row],[cpf]],"000\.000\.000\-00")</f>
        <v>000.000.111-00</v>
      </c>
      <c r="E259">
        <v>47</v>
      </c>
      <c r="F259" s="11">
        <v>29007</v>
      </c>
      <c r="G259" t="s">
        <v>121</v>
      </c>
      <c r="H259" t="s">
        <v>122</v>
      </c>
      <c r="I259">
        <v>5000</v>
      </c>
      <c r="J259" s="13">
        <v>75500</v>
      </c>
      <c r="K259" t="s">
        <v>51</v>
      </c>
      <c r="L259">
        <v>2</v>
      </c>
      <c r="N259" t="s">
        <v>51</v>
      </c>
      <c r="O259">
        <v>89500</v>
      </c>
    </row>
    <row r="260" spans="1:15">
      <c r="A260" t="s">
        <v>76</v>
      </c>
      <c r="B260" t="s">
        <v>163</v>
      </c>
      <c r="C260" t="s">
        <v>1192</v>
      </c>
      <c r="D260" t="str">
        <f>TEXT(Tabela7[[#This Row],[cpf]],"000\.000\.000\-00")</f>
        <v>000.000.007-00</v>
      </c>
      <c r="E260">
        <v>44</v>
      </c>
      <c r="F260" s="11">
        <v>30069</v>
      </c>
      <c r="G260" t="s">
        <v>138</v>
      </c>
      <c r="H260" t="s">
        <v>139</v>
      </c>
      <c r="I260">
        <v>21700</v>
      </c>
      <c r="J260">
        <v>34500</v>
      </c>
      <c r="K260" t="s">
        <v>244</v>
      </c>
      <c r="L260">
        <v>29</v>
      </c>
      <c r="N260" t="s">
        <v>244</v>
      </c>
      <c r="O260">
        <v>10500</v>
      </c>
    </row>
    <row r="261" spans="1:15">
      <c r="A261" t="s">
        <v>76</v>
      </c>
      <c r="B261" t="s">
        <v>634</v>
      </c>
      <c r="C261">
        <v>15900</v>
      </c>
      <c r="D261" t="str">
        <f>TEXT(Tabela7[[#This Row],[cpf]],"000\.000\.000\-00")</f>
        <v>000.000.159-00</v>
      </c>
      <c r="E261">
        <v>26</v>
      </c>
      <c r="F261" s="11">
        <v>36411</v>
      </c>
      <c r="G261" t="s">
        <v>138</v>
      </c>
      <c r="H261" t="s">
        <v>139</v>
      </c>
      <c r="I261" t="s">
        <v>635</v>
      </c>
      <c r="J261" s="12">
        <v>68500</v>
      </c>
      <c r="K261" t="s">
        <v>50</v>
      </c>
      <c r="L261">
        <v>27</v>
      </c>
      <c r="N261" t="s">
        <v>50</v>
      </c>
      <c r="O261">
        <v>7000</v>
      </c>
    </row>
    <row r="262" spans="1:15">
      <c r="A262" t="s">
        <v>81</v>
      </c>
      <c r="B262" t="s">
        <v>636</v>
      </c>
      <c r="C262" t="s">
        <v>637</v>
      </c>
      <c r="D262" t="str">
        <f>TEXT(Tabela7[[#This Row],[cpf]],"000\.000\.000\-00")</f>
        <v>000.000.324-00</v>
      </c>
      <c r="E262">
        <v>49</v>
      </c>
      <c r="F262" s="11">
        <v>28286</v>
      </c>
      <c r="G262" t="s">
        <v>112</v>
      </c>
      <c r="H262" t="s">
        <v>113</v>
      </c>
      <c r="I262">
        <v>21900</v>
      </c>
      <c r="J262">
        <v>69000</v>
      </c>
      <c r="K262" t="s">
        <v>50</v>
      </c>
      <c r="L262" t="s">
        <v>638</v>
      </c>
      <c r="N262" t="s">
        <v>50</v>
      </c>
      <c r="O262">
        <v>80500</v>
      </c>
    </row>
    <row r="263" spans="1:15">
      <c r="A263" t="s">
        <v>76</v>
      </c>
      <c r="B263" t="s">
        <v>639</v>
      </c>
      <c r="C263" t="s">
        <v>640</v>
      </c>
      <c r="D263" t="str">
        <f>TEXT(Tabela7[[#This Row],[cpf]],"000\.000\.000\-00")</f>
        <v>000.000.296-00</v>
      </c>
      <c r="E263">
        <v>71</v>
      </c>
      <c r="F263">
        <v>20187</v>
      </c>
      <c r="G263" t="s">
        <v>127</v>
      </c>
      <c r="H263" t="s">
        <v>122</v>
      </c>
      <c r="I263">
        <v>29200</v>
      </c>
      <c r="J263">
        <v>73500</v>
      </c>
      <c r="K263" t="s">
        <v>50</v>
      </c>
      <c r="L263">
        <v>2</v>
      </c>
      <c r="N263" t="s">
        <v>50</v>
      </c>
      <c r="O263">
        <v>33000</v>
      </c>
    </row>
    <row r="264" spans="1:15">
      <c r="A264" t="s">
        <v>76</v>
      </c>
      <c r="B264" t="s">
        <v>641</v>
      </c>
      <c r="C264" t="s">
        <v>642</v>
      </c>
      <c r="D264" t="str">
        <f>TEXT(Tabela7[[#This Row],[cpf]],"000\.000\.000\-00")</f>
        <v>000.000.112-00</v>
      </c>
      <c r="E264">
        <v>65</v>
      </c>
      <c r="F264">
        <v>22314</v>
      </c>
      <c r="G264" t="s">
        <v>83</v>
      </c>
      <c r="H264" t="s">
        <v>303</v>
      </c>
      <c r="I264">
        <v>6100</v>
      </c>
      <c r="J264">
        <v>40000</v>
      </c>
      <c r="K264" t="s">
        <v>50</v>
      </c>
      <c r="L264" t="s">
        <v>643</v>
      </c>
      <c r="N264" t="s">
        <v>50</v>
      </c>
      <c r="O264">
        <v>22500</v>
      </c>
    </row>
    <row r="265" spans="1:15">
      <c r="A265" t="s">
        <v>76</v>
      </c>
      <c r="B265" t="s">
        <v>644</v>
      </c>
      <c r="C265" t="s">
        <v>645</v>
      </c>
      <c r="D265" t="str">
        <f>TEXT(Tabela7[[#This Row],[cpf]],"000\.000\.000\-00")</f>
        <v>000.000.130-00</v>
      </c>
      <c r="E265">
        <v>65</v>
      </c>
      <c r="F265">
        <v>22297</v>
      </c>
      <c r="G265" t="s">
        <v>103</v>
      </c>
      <c r="H265" t="s">
        <v>108</v>
      </c>
      <c r="I265" s="13">
        <v>27300</v>
      </c>
      <c r="J265">
        <v>48500</v>
      </c>
      <c r="K265" t="s">
        <v>50</v>
      </c>
      <c r="L265">
        <v>29</v>
      </c>
      <c r="N265" t="s">
        <v>50</v>
      </c>
      <c r="O265">
        <v>94000</v>
      </c>
    </row>
    <row r="266" spans="1:15">
      <c r="A266" t="s">
        <v>76</v>
      </c>
      <c r="B266" t="s">
        <v>646</v>
      </c>
      <c r="C266" t="s">
        <v>647</v>
      </c>
      <c r="D266" t="str">
        <f>TEXT(Tabela7[[#This Row],[cpf]],"000\.000\.000\-00")</f>
        <v>000.000.315-00</v>
      </c>
      <c r="E266">
        <v>57</v>
      </c>
      <c r="F266">
        <v>25350</v>
      </c>
      <c r="G266" t="s">
        <v>169</v>
      </c>
      <c r="H266" t="s">
        <v>139</v>
      </c>
      <c r="I266">
        <v>20600</v>
      </c>
      <c r="J266">
        <v>52500</v>
      </c>
      <c r="L266">
        <v>16</v>
      </c>
      <c r="O266">
        <v>97000</v>
      </c>
    </row>
    <row r="267" spans="1:15">
      <c r="A267" t="s">
        <v>76</v>
      </c>
      <c r="B267" t="s">
        <v>648</v>
      </c>
      <c r="C267">
        <v>2800</v>
      </c>
      <c r="D267" t="str">
        <f>TEXT(Tabela7[[#This Row],[cpf]],"000\.000\.000\-00")</f>
        <v>000.000.028-00</v>
      </c>
      <c r="E267">
        <v>24</v>
      </c>
      <c r="F267">
        <v>37470</v>
      </c>
      <c r="G267" t="s">
        <v>302</v>
      </c>
      <c r="H267" t="s">
        <v>187</v>
      </c>
      <c r="I267">
        <v>16900</v>
      </c>
      <c r="J267">
        <v>42500</v>
      </c>
      <c r="K267" t="s">
        <v>51</v>
      </c>
      <c r="L267" t="s">
        <v>649</v>
      </c>
      <c r="N267" t="s">
        <v>51</v>
      </c>
      <c r="O267">
        <v>12500</v>
      </c>
    </row>
    <row r="268" spans="1:15">
      <c r="A268" t="s">
        <v>81</v>
      </c>
      <c r="B268" t="s">
        <v>650</v>
      </c>
      <c r="C268" t="s">
        <v>651</v>
      </c>
      <c r="D268" t="str">
        <f>TEXT(Tabela7[[#This Row],[cpf]],"000\.000\.000\-00")</f>
        <v>000.000.238-00</v>
      </c>
      <c r="E268">
        <v>55</v>
      </c>
      <c r="F268" s="11">
        <v>25848</v>
      </c>
      <c r="G268" t="s">
        <v>121</v>
      </c>
      <c r="H268" t="s">
        <v>122</v>
      </c>
      <c r="J268">
        <v>5000</v>
      </c>
      <c r="K268" t="s">
        <v>50</v>
      </c>
      <c r="L268">
        <v>8</v>
      </c>
      <c r="N268" t="s">
        <v>50</v>
      </c>
      <c r="O268">
        <v>11000</v>
      </c>
    </row>
    <row r="269" spans="1:15">
      <c r="A269" t="s">
        <v>76</v>
      </c>
      <c r="B269" t="s">
        <v>606</v>
      </c>
      <c r="C269" t="s">
        <v>1193</v>
      </c>
      <c r="D269" t="str">
        <f>TEXT(Tabela7[[#This Row],[cpf]],"000\.000\.000\-00")</f>
        <v>000.000.374-00</v>
      </c>
      <c r="E269">
        <v>67</v>
      </c>
      <c r="F269" s="11">
        <v>21573</v>
      </c>
      <c r="G269" t="s">
        <v>242</v>
      </c>
      <c r="H269" t="s">
        <v>243</v>
      </c>
      <c r="I269">
        <v>6400</v>
      </c>
      <c r="J269">
        <v>1000</v>
      </c>
      <c r="K269" t="s">
        <v>244</v>
      </c>
      <c r="L269">
        <v>27</v>
      </c>
      <c r="N269" t="s">
        <v>244</v>
      </c>
      <c r="O269">
        <v>50000</v>
      </c>
    </row>
    <row r="270" spans="1:15">
      <c r="A270" t="s">
        <v>76</v>
      </c>
      <c r="B270" t="s">
        <v>652</v>
      </c>
      <c r="C270">
        <v>15600</v>
      </c>
      <c r="D270" t="str">
        <f>TEXT(Tabela7[[#This Row],[cpf]],"000\.000\.000\-00")</f>
        <v>000.000.156-00</v>
      </c>
      <c r="E270">
        <v>44</v>
      </c>
      <c r="F270">
        <v>29843</v>
      </c>
      <c r="G270" t="s">
        <v>89</v>
      </c>
      <c r="H270" t="s">
        <v>90</v>
      </c>
      <c r="I270">
        <v>11300</v>
      </c>
      <c r="J270">
        <v>55000</v>
      </c>
      <c r="K270" t="s">
        <v>50</v>
      </c>
      <c r="L270">
        <v>38</v>
      </c>
      <c r="N270" t="s">
        <v>50</v>
      </c>
      <c r="O270">
        <v>68500</v>
      </c>
    </row>
    <row r="271" spans="1:15">
      <c r="A271" t="s">
        <v>76</v>
      </c>
      <c r="B271" t="s">
        <v>653</v>
      </c>
      <c r="C271" t="s">
        <v>654</v>
      </c>
      <c r="D271" t="str">
        <f>TEXT(Tabela7[[#This Row],[cpf]],"000\.000\.000\-00")</f>
        <v>000.000.110-00</v>
      </c>
      <c r="E271">
        <v>33</v>
      </c>
      <c r="F271">
        <v>34070</v>
      </c>
      <c r="G271" t="s">
        <v>302</v>
      </c>
      <c r="H271" t="s">
        <v>187</v>
      </c>
      <c r="I271">
        <v>29300</v>
      </c>
      <c r="J271">
        <v>69000</v>
      </c>
      <c r="K271" t="s">
        <v>51</v>
      </c>
      <c r="L271">
        <v>0</v>
      </c>
      <c r="N271" t="s">
        <v>51</v>
      </c>
      <c r="O271">
        <v>4500</v>
      </c>
    </row>
    <row r="272" spans="1:15">
      <c r="A272" t="s">
        <v>76</v>
      </c>
      <c r="B272" t="s">
        <v>655</v>
      </c>
      <c r="C272" t="s">
        <v>656</v>
      </c>
      <c r="D272" t="str">
        <f>TEXT(Tabela7[[#This Row],[cpf]],"000\.000\.000\-00")</f>
        <v>000.000.153-00</v>
      </c>
      <c r="E272">
        <v>24</v>
      </c>
      <c r="F272">
        <v>37394</v>
      </c>
      <c r="G272" t="s">
        <v>657</v>
      </c>
      <c r="I272">
        <v>14200</v>
      </c>
      <c r="J272">
        <v>71000</v>
      </c>
      <c r="K272" t="s">
        <v>50</v>
      </c>
      <c r="L272">
        <v>10</v>
      </c>
      <c r="N272" t="s">
        <v>50</v>
      </c>
      <c r="O272">
        <v>91500</v>
      </c>
    </row>
    <row r="273" spans="1:15">
      <c r="A273" t="s">
        <v>76</v>
      </c>
      <c r="B273" t="s">
        <v>658</v>
      </c>
      <c r="C273">
        <v>31900</v>
      </c>
      <c r="D273" t="str">
        <f>TEXT(Tabela7[[#This Row],[cpf]],"000\.000\.000\-00")</f>
        <v>000.000.319-00</v>
      </c>
      <c r="E273">
        <v>20</v>
      </c>
      <c r="F273">
        <v>38678</v>
      </c>
      <c r="G273" t="s">
        <v>127</v>
      </c>
      <c r="H273" t="s">
        <v>122</v>
      </c>
      <c r="I273" s="13">
        <v>9300</v>
      </c>
      <c r="J273" s="13">
        <v>35000</v>
      </c>
      <c r="K273" t="s">
        <v>50</v>
      </c>
      <c r="L273">
        <v>5</v>
      </c>
      <c r="N273" t="s">
        <v>50</v>
      </c>
      <c r="O273">
        <v>10500</v>
      </c>
    </row>
    <row r="274" spans="1:15">
      <c r="A274" t="s">
        <v>81</v>
      </c>
      <c r="B274" t="s">
        <v>659</v>
      </c>
      <c r="C274" t="s">
        <v>660</v>
      </c>
      <c r="D274" t="str">
        <f>TEXT(Tabela7[[#This Row],[cpf]],"000\.000\.000\-00")</f>
        <v>000.000.106-00</v>
      </c>
      <c r="E274">
        <v>20</v>
      </c>
      <c r="F274" s="11">
        <v>38704</v>
      </c>
      <c r="G274" t="s">
        <v>302</v>
      </c>
      <c r="H274" t="s">
        <v>135</v>
      </c>
      <c r="I274">
        <v>12900</v>
      </c>
      <c r="J274" s="12">
        <v>26500</v>
      </c>
      <c r="K274" t="s">
        <v>50</v>
      </c>
      <c r="L274">
        <v>13</v>
      </c>
      <c r="N274" t="s">
        <v>50</v>
      </c>
      <c r="O274">
        <v>2000</v>
      </c>
    </row>
    <row r="275" spans="1:15">
      <c r="A275" t="s">
        <v>76</v>
      </c>
      <c r="B275" t="s">
        <v>661</v>
      </c>
      <c r="C275" t="s">
        <v>662</v>
      </c>
      <c r="D275" t="str">
        <f>TEXT(Tabela7[[#This Row],[cpf]],"000\.000\.000\-00")</f>
        <v>000.000.055-00</v>
      </c>
      <c r="F275">
        <v>36337</v>
      </c>
      <c r="G275" t="s">
        <v>210</v>
      </c>
      <c r="H275" t="s">
        <v>142</v>
      </c>
      <c r="I275">
        <v>22500</v>
      </c>
      <c r="J275">
        <v>55500</v>
      </c>
      <c r="K275" t="s">
        <v>50</v>
      </c>
      <c r="L275">
        <v>32</v>
      </c>
      <c r="N275" t="s">
        <v>50</v>
      </c>
      <c r="O275">
        <v>91500</v>
      </c>
    </row>
    <row r="276" spans="1:15">
      <c r="A276" t="s">
        <v>76</v>
      </c>
      <c r="B276" t="s">
        <v>663</v>
      </c>
      <c r="C276">
        <v>29500</v>
      </c>
      <c r="D276" t="str">
        <f>TEXT(Tabela7[[#This Row],[cpf]],"000\.000\.000\-00")</f>
        <v>000.000.295-00</v>
      </c>
      <c r="E276">
        <v>68</v>
      </c>
      <c r="F276" s="11">
        <v>21079</v>
      </c>
      <c r="G276" t="s">
        <v>242</v>
      </c>
      <c r="H276" t="s">
        <v>247</v>
      </c>
      <c r="I276" t="s">
        <v>664</v>
      </c>
      <c r="J276">
        <v>64500</v>
      </c>
      <c r="K276" t="s">
        <v>51</v>
      </c>
      <c r="L276">
        <v>32</v>
      </c>
      <c r="N276" t="s">
        <v>51</v>
      </c>
      <c r="O276">
        <v>35500</v>
      </c>
    </row>
    <row r="277" spans="1:15">
      <c r="A277" t="s">
        <v>76</v>
      </c>
      <c r="B277" t="s">
        <v>524</v>
      </c>
      <c r="C277" t="s">
        <v>1194</v>
      </c>
      <c r="D277" t="str">
        <f>TEXT(Tabela7[[#This Row],[cpf]],"000\.000\.000\-00")</f>
        <v>000.000.339-00</v>
      </c>
      <c r="E277">
        <v>53</v>
      </c>
      <c r="F277" s="11">
        <v>26558</v>
      </c>
      <c r="G277" t="s">
        <v>89</v>
      </c>
      <c r="H277" t="s">
        <v>165</v>
      </c>
      <c r="I277">
        <v>15500</v>
      </c>
      <c r="K277" t="s">
        <v>50</v>
      </c>
      <c r="L277">
        <v>16</v>
      </c>
      <c r="N277" t="s">
        <v>50</v>
      </c>
      <c r="O277">
        <v>41000</v>
      </c>
    </row>
    <row r="278" spans="1:15">
      <c r="A278" t="s">
        <v>76</v>
      </c>
      <c r="B278" t="s">
        <v>665</v>
      </c>
      <c r="C278" t="s">
        <v>666</v>
      </c>
      <c r="D278" t="str">
        <f>TEXT(Tabela7[[#This Row],[cpf]],"000\.000\.000\-00")</f>
        <v>000.000.058-00</v>
      </c>
      <c r="E278">
        <v>62</v>
      </c>
      <c r="G278" t="s">
        <v>172</v>
      </c>
      <c r="H278" t="s">
        <v>149</v>
      </c>
      <c r="I278">
        <v>1900</v>
      </c>
      <c r="J278">
        <v>3500</v>
      </c>
      <c r="K278" t="s">
        <v>50</v>
      </c>
      <c r="L278">
        <v>19</v>
      </c>
      <c r="N278" t="s">
        <v>50</v>
      </c>
      <c r="O278">
        <v>62000</v>
      </c>
    </row>
    <row r="279" spans="1:15">
      <c r="A279" t="s">
        <v>76</v>
      </c>
      <c r="B279" t="s">
        <v>667</v>
      </c>
      <c r="C279" t="s">
        <v>668</v>
      </c>
      <c r="D279" t="str">
        <f>TEXT(Tabela7[[#This Row],[cpf]],"000\.000\.000\-00")</f>
        <v>000.000.095-00</v>
      </c>
      <c r="E279">
        <v>61</v>
      </c>
      <c r="F279" s="11">
        <v>23964</v>
      </c>
      <c r="G279" t="s">
        <v>154</v>
      </c>
      <c r="H279" t="s">
        <v>155</v>
      </c>
      <c r="I279">
        <v>7000</v>
      </c>
      <c r="J279">
        <v>1500</v>
      </c>
      <c r="K279" t="s">
        <v>51</v>
      </c>
      <c r="L279">
        <v>32</v>
      </c>
      <c r="N279" t="s">
        <v>51</v>
      </c>
      <c r="O279">
        <v>53000</v>
      </c>
    </row>
    <row r="280" spans="1:15">
      <c r="A280" t="s">
        <v>76</v>
      </c>
      <c r="B280" t="s">
        <v>669</v>
      </c>
      <c r="C280" t="s">
        <v>670</v>
      </c>
      <c r="D280" t="str">
        <f>TEXT(Tabela7[[#This Row],[cpf]],"000\.000\.000\-00")</f>
        <v>000.000.105-00</v>
      </c>
      <c r="E280">
        <v>25</v>
      </c>
      <c r="F280">
        <v>37118</v>
      </c>
      <c r="G280" t="s">
        <v>172</v>
      </c>
      <c r="H280" t="s">
        <v>149</v>
      </c>
      <c r="I280" t="s">
        <v>671</v>
      </c>
      <c r="J280">
        <v>1500</v>
      </c>
      <c r="K280">
        <v>1</v>
      </c>
      <c r="L280">
        <v>33</v>
      </c>
      <c r="N280">
        <v>1</v>
      </c>
      <c r="O280">
        <v>14000</v>
      </c>
    </row>
    <row r="281" spans="1:15">
      <c r="A281" t="s">
        <v>257</v>
      </c>
      <c r="B281" t="s">
        <v>672</v>
      </c>
      <c r="C281" t="s">
        <v>673</v>
      </c>
      <c r="D281" t="str">
        <f>TEXT(Tabela7[[#This Row],[cpf]],"000\.000\.000\-00")</f>
        <v>000.000.208-00</v>
      </c>
      <c r="E281">
        <v>52</v>
      </c>
      <c r="F281">
        <v>27088</v>
      </c>
      <c r="G281" t="s">
        <v>83</v>
      </c>
      <c r="H281" t="s">
        <v>303</v>
      </c>
      <c r="I281">
        <v>24900</v>
      </c>
      <c r="J281">
        <v>0</v>
      </c>
      <c r="K281" t="s">
        <v>50</v>
      </c>
      <c r="L281" t="s">
        <v>358</v>
      </c>
      <c r="N281" t="s">
        <v>50</v>
      </c>
      <c r="O281">
        <v>16000</v>
      </c>
    </row>
    <row r="282" spans="1:15">
      <c r="A282" t="s">
        <v>81</v>
      </c>
      <c r="B282" t="s">
        <v>674</v>
      </c>
      <c r="C282" t="s">
        <v>675</v>
      </c>
      <c r="D282" t="str">
        <f>TEXT(Tabela7[[#This Row],[cpf]],"000\.000\.000\-00")</f>
        <v>000.000.263-00</v>
      </c>
      <c r="E282">
        <v>33</v>
      </c>
      <c r="F282">
        <v>33989</v>
      </c>
      <c r="G282" t="s">
        <v>223</v>
      </c>
      <c r="H282" t="s">
        <v>165</v>
      </c>
      <c r="I282">
        <v>23400</v>
      </c>
      <c r="J282">
        <v>59000</v>
      </c>
      <c r="K282" t="s">
        <v>181</v>
      </c>
      <c r="L282">
        <v>35</v>
      </c>
      <c r="N282" t="s">
        <v>181</v>
      </c>
      <c r="O282">
        <v>39000</v>
      </c>
    </row>
    <row r="283" spans="1:15">
      <c r="A283" t="s">
        <v>81</v>
      </c>
      <c r="B283" t="s">
        <v>676</v>
      </c>
      <c r="C283" t="s">
        <v>677</v>
      </c>
      <c r="D283" t="str">
        <f>TEXT(Tabela7[[#This Row],[cpf]],"000\.000\.000\-00")</f>
        <v>000.000.229-00</v>
      </c>
      <c r="E283">
        <v>48</v>
      </c>
      <c r="F283">
        <v>28737</v>
      </c>
      <c r="G283" t="s">
        <v>223</v>
      </c>
      <c r="H283" t="s">
        <v>90</v>
      </c>
      <c r="I283">
        <v>12400</v>
      </c>
      <c r="J283">
        <v>0</v>
      </c>
      <c r="K283" t="s">
        <v>50</v>
      </c>
      <c r="L283">
        <v>25</v>
      </c>
      <c r="N283" t="s">
        <v>50</v>
      </c>
      <c r="O283">
        <v>65500</v>
      </c>
    </row>
    <row r="284" spans="1:15">
      <c r="A284" t="s">
        <v>81</v>
      </c>
      <c r="B284" t="s">
        <v>678</v>
      </c>
      <c r="C284" t="s">
        <v>679</v>
      </c>
      <c r="D284" t="str">
        <f>TEXT(Tabela7[[#This Row],[cpf]],"000\.000\.000\-00")</f>
        <v>000.000.015-00</v>
      </c>
      <c r="E284">
        <v>55</v>
      </c>
      <c r="F284" s="11">
        <v>26142</v>
      </c>
      <c r="G284" t="s">
        <v>79</v>
      </c>
      <c r="H284" t="s">
        <v>436</v>
      </c>
      <c r="I284" t="s">
        <v>680</v>
      </c>
      <c r="J284" t="s">
        <v>550</v>
      </c>
      <c r="K284" t="s">
        <v>51</v>
      </c>
      <c r="L284">
        <v>14</v>
      </c>
      <c r="N284" t="s">
        <v>51</v>
      </c>
      <c r="O284">
        <v>27000</v>
      </c>
    </row>
    <row r="285" spans="1:15">
      <c r="A285" t="s">
        <v>76</v>
      </c>
      <c r="B285" t="s">
        <v>681</v>
      </c>
      <c r="C285" t="s">
        <v>682</v>
      </c>
      <c r="D285" t="str">
        <f>TEXT(Tabela7[[#This Row],[cpf]],"000\.000\.000\-00")</f>
        <v>000.000.232-00</v>
      </c>
      <c r="E285">
        <v>28</v>
      </c>
      <c r="G285" t="s">
        <v>127</v>
      </c>
      <c r="H285" t="s">
        <v>122</v>
      </c>
      <c r="I285">
        <v>14500</v>
      </c>
      <c r="J285">
        <v>39500</v>
      </c>
      <c r="K285" t="s">
        <v>50</v>
      </c>
      <c r="L285">
        <v>18</v>
      </c>
      <c r="N285" t="s">
        <v>50</v>
      </c>
      <c r="O285">
        <v>32000</v>
      </c>
    </row>
    <row r="286" spans="1:15">
      <c r="A286" t="s">
        <v>76</v>
      </c>
      <c r="B286" t="s">
        <v>683</v>
      </c>
      <c r="C286" t="s">
        <v>684</v>
      </c>
      <c r="D286" t="str">
        <f>TEXT(Tabela7[[#This Row],[cpf]],"000\.000\.000\-00")</f>
        <v>000.000.147-00</v>
      </c>
      <c r="E286">
        <v>52</v>
      </c>
      <c r="F286" s="11">
        <v>26921</v>
      </c>
      <c r="G286" t="s">
        <v>154</v>
      </c>
      <c r="H286" t="s">
        <v>142</v>
      </c>
      <c r="I286">
        <v>7300</v>
      </c>
      <c r="J286" t="s">
        <v>685</v>
      </c>
      <c r="K286" t="s">
        <v>50</v>
      </c>
      <c r="L286">
        <v>40</v>
      </c>
      <c r="N286" t="s">
        <v>50</v>
      </c>
      <c r="O286">
        <v>34500</v>
      </c>
    </row>
    <row r="287" spans="1:15">
      <c r="A287" t="s">
        <v>76</v>
      </c>
      <c r="B287" t="s">
        <v>686</v>
      </c>
      <c r="C287" t="s">
        <v>687</v>
      </c>
      <c r="D287" t="str">
        <f>TEXT(Tabela7[[#This Row],[cpf]],"000\.000\.000\-00")</f>
        <v>000.000.062-00</v>
      </c>
      <c r="E287">
        <v>63</v>
      </c>
      <c r="F287" s="11">
        <v>23006</v>
      </c>
      <c r="G287" t="s">
        <v>688</v>
      </c>
      <c r="I287">
        <v>11200</v>
      </c>
      <c r="L287">
        <v>41</v>
      </c>
      <c r="O287">
        <v>83500</v>
      </c>
    </row>
    <row r="288" spans="1:15">
      <c r="A288" t="s">
        <v>76</v>
      </c>
      <c r="B288" t="s">
        <v>689</v>
      </c>
      <c r="C288" t="s">
        <v>690</v>
      </c>
      <c r="D288" t="str">
        <f>TEXT(Tabela7[[#This Row],[cpf]],"000\.000\.000\-00")</f>
        <v>000.000.202-00</v>
      </c>
      <c r="E288">
        <v>53</v>
      </c>
      <c r="F288" s="11">
        <v>26840</v>
      </c>
      <c r="G288" t="s">
        <v>691</v>
      </c>
      <c r="I288">
        <v>9500</v>
      </c>
      <c r="J288" s="13">
        <v>66500</v>
      </c>
      <c r="K288" t="s">
        <v>51</v>
      </c>
      <c r="L288">
        <v>38</v>
      </c>
      <c r="N288" t="s">
        <v>51</v>
      </c>
      <c r="O288">
        <v>42500</v>
      </c>
    </row>
    <row r="289" spans="1:15">
      <c r="A289" t="s">
        <v>76</v>
      </c>
      <c r="B289" t="s">
        <v>692</v>
      </c>
      <c r="C289" t="s">
        <v>693</v>
      </c>
      <c r="D289" t="str">
        <f>TEXT(Tabela7[[#This Row],[cpf]],"000\.000\.000\-00")</f>
        <v>000.000.351-00</v>
      </c>
      <c r="E289">
        <v>71</v>
      </c>
      <c r="F289">
        <v>20275</v>
      </c>
      <c r="G289" t="s">
        <v>103</v>
      </c>
      <c r="H289" t="s">
        <v>108</v>
      </c>
      <c r="I289">
        <v>14200</v>
      </c>
      <c r="J289">
        <v>51000</v>
      </c>
      <c r="K289" t="s">
        <v>50</v>
      </c>
      <c r="L289">
        <v>10</v>
      </c>
      <c r="N289" t="s">
        <v>50</v>
      </c>
      <c r="O289">
        <v>90500</v>
      </c>
    </row>
    <row r="290" spans="1:15">
      <c r="A290" t="s">
        <v>76</v>
      </c>
      <c r="B290" t="s">
        <v>524</v>
      </c>
      <c r="C290" t="s">
        <v>525</v>
      </c>
      <c r="D290" t="str">
        <f>TEXT(Tabela7[[#This Row],[cpf]],"000\.000\.000\-00")</f>
        <v>000.000.168-00</v>
      </c>
      <c r="E290">
        <v>37</v>
      </c>
      <c r="F290">
        <v>32414</v>
      </c>
      <c r="G290" t="s">
        <v>526</v>
      </c>
      <c r="I290">
        <v>12800</v>
      </c>
      <c r="J290">
        <v>76500</v>
      </c>
      <c r="K290" t="s">
        <v>50</v>
      </c>
      <c r="L290" t="s">
        <v>466</v>
      </c>
      <c r="N290" t="s">
        <v>50</v>
      </c>
      <c r="O290">
        <v>95000</v>
      </c>
    </row>
    <row r="291" spans="1:15">
      <c r="A291" t="s">
        <v>76</v>
      </c>
      <c r="B291" t="s">
        <v>694</v>
      </c>
      <c r="C291" t="s">
        <v>695</v>
      </c>
      <c r="D291" t="str">
        <f>TEXT(Tabela7[[#This Row],[cpf]],"000\.000\.000\-00")</f>
        <v>000.000.101-00</v>
      </c>
      <c r="E291">
        <v>22</v>
      </c>
      <c r="F291">
        <v>37936</v>
      </c>
      <c r="G291" t="s">
        <v>79</v>
      </c>
      <c r="H291" t="s">
        <v>100</v>
      </c>
      <c r="I291" s="13">
        <v>4100</v>
      </c>
      <c r="J291">
        <v>2000</v>
      </c>
      <c r="K291" t="s">
        <v>50</v>
      </c>
      <c r="L291">
        <v>8</v>
      </c>
      <c r="N291" t="s">
        <v>50</v>
      </c>
      <c r="O291">
        <v>4000</v>
      </c>
    </row>
    <row r="292" spans="1:15">
      <c r="A292" t="s">
        <v>76</v>
      </c>
      <c r="B292" t="s">
        <v>696</v>
      </c>
      <c r="C292" t="s">
        <v>697</v>
      </c>
      <c r="D292" t="str">
        <f>TEXT(Tabela7[[#This Row],[cpf]],"000\.000\.000\-00")</f>
        <v>000.000.172-00</v>
      </c>
      <c r="E292">
        <v>37</v>
      </c>
      <c r="F292">
        <v>32680</v>
      </c>
      <c r="G292" t="s">
        <v>127</v>
      </c>
      <c r="H292" t="s">
        <v>122</v>
      </c>
      <c r="I292">
        <v>28900</v>
      </c>
      <c r="J292">
        <v>71000</v>
      </c>
      <c r="K292" t="s">
        <v>50</v>
      </c>
      <c r="L292">
        <v>28</v>
      </c>
      <c r="N292" t="s">
        <v>50</v>
      </c>
      <c r="O292">
        <v>36500</v>
      </c>
    </row>
    <row r="293" spans="1:15">
      <c r="A293" t="s">
        <v>76</v>
      </c>
      <c r="B293" t="s">
        <v>698</v>
      </c>
      <c r="C293">
        <v>13200</v>
      </c>
      <c r="D293" t="str">
        <f>TEXT(Tabela7[[#This Row],[cpf]],"000\.000\.000\-00")</f>
        <v>000.000.132-00</v>
      </c>
      <c r="E293">
        <v>29</v>
      </c>
      <c r="F293">
        <v>35334</v>
      </c>
      <c r="G293" t="s">
        <v>112</v>
      </c>
      <c r="H293" t="s">
        <v>132</v>
      </c>
      <c r="I293">
        <v>19500</v>
      </c>
      <c r="J293" s="12">
        <v>57000</v>
      </c>
      <c r="K293" t="s">
        <v>50</v>
      </c>
      <c r="L293">
        <v>12</v>
      </c>
      <c r="N293" t="s">
        <v>50</v>
      </c>
      <c r="O293">
        <v>20500</v>
      </c>
    </row>
    <row r="294" spans="1:15">
      <c r="A294" t="s">
        <v>76</v>
      </c>
      <c r="B294" t="s">
        <v>488</v>
      </c>
      <c r="C294" t="s">
        <v>1195</v>
      </c>
      <c r="D294" t="str">
        <f>TEXT(Tabela7[[#This Row],[cpf]],"000\.000\.000\-00")</f>
        <v>000.000.104-00</v>
      </c>
      <c r="E294">
        <v>51</v>
      </c>
      <c r="F294" s="11">
        <v>27421</v>
      </c>
      <c r="G294" t="s">
        <v>183</v>
      </c>
      <c r="H294" t="s">
        <v>183</v>
      </c>
      <c r="I294">
        <v>26000</v>
      </c>
      <c r="J294">
        <v>47500</v>
      </c>
      <c r="K294" t="s">
        <v>50</v>
      </c>
      <c r="L294">
        <v>45</v>
      </c>
      <c r="N294" t="s">
        <v>50</v>
      </c>
      <c r="O294">
        <v>60500</v>
      </c>
    </row>
    <row r="295" spans="1:15">
      <c r="A295" t="s">
        <v>81</v>
      </c>
      <c r="B295" t="s">
        <v>699</v>
      </c>
      <c r="C295" t="s">
        <v>700</v>
      </c>
      <c r="D295" t="str">
        <f>TEXT(Tabela7[[#This Row],[cpf]],"000\.000\.000\-00")</f>
        <v>000.000.353-00</v>
      </c>
      <c r="E295">
        <v>74</v>
      </c>
      <c r="F295" s="11">
        <v>19047</v>
      </c>
      <c r="G295" t="s">
        <v>103</v>
      </c>
      <c r="H295" t="s">
        <v>108</v>
      </c>
      <c r="I295">
        <v>24000</v>
      </c>
      <c r="J295">
        <v>35000</v>
      </c>
      <c r="K295" t="s">
        <v>50</v>
      </c>
      <c r="L295" t="s">
        <v>701</v>
      </c>
      <c r="N295" t="s">
        <v>50</v>
      </c>
      <c r="O295">
        <v>29500</v>
      </c>
    </row>
    <row r="296" spans="1:15">
      <c r="A296" t="s">
        <v>76</v>
      </c>
      <c r="B296" t="s">
        <v>702</v>
      </c>
      <c r="C296" t="s">
        <v>703</v>
      </c>
      <c r="D296" t="str">
        <f>TEXT(Tabela7[[#This Row],[cpf]],"000\.000\.000\-00")</f>
        <v>000.000.347-00</v>
      </c>
      <c r="E296">
        <v>19</v>
      </c>
      <c r="F296">
        <v>39016</v>
      </c>
      <c r="G296" t="s">
        <v>112</v>
      </c>
      <c r="H296" t="s">
        <v>264</v>
      </c>
      <c r="I296" s="13">
        <v>14900</v>
      </c>
      <c r="J296">
        <v>17000</v>
      </c>
      <c r="K296" t="s">
        <v>50</v>
      </c>
      <c r="L296">
        <v>20</v>
      </c>
      <c r="N296" t="s">
        <v>50</v>
      </c>
      <c r="O296">
        <v>29500</v>
      </c>
    </row>
    <row r="297" spans="1:15">
      <c r="A297" t="s">
        <v>81</v>
      </c>
      <c r="B297" t="s">
        <v>911</v>
      </c>
      <c r="C297">
        <v>32700</v>
      </c>
      <c r="D297" t="str">
        <f>TEXT(Tabela7[[#This Row],[cpf]],"000\.000\.000\-00")</f>
        <v>000.000.327-00</v>
      </c>
      <c r="E297">
        <v>57</v>
      </c>
      <c r="F297" s="11">
        <v>25369</v>
      </c>
      <c r="G297" t="s">
        <v>127</v>
      </c>
      <c r="H297" t="s">
        <v>256</v>
      </c>
      <c r="I297">
        <v>28600</v>
      </c>
      <c r="J297" s="12">
        <v>73500</v>
      </c>
      <c r="K297" t="s">
        <v>50</v>
      </c>
      <c r="L297">
        <v>29</v>
      </c>
      <c r="N297" t="s">
        <v>50</v>
      </c>
      <c r="O297">
        <v>93500</v>
      </c>
    </row>
    <row r="298" spans="1:15">
      <c r="A298" t="s">
        <v>81</v>
      </c>
      <c r="B298" t="s">
        <v>704</v>
      </c>
      <c r="C298">
        <v>19200</v>
      </c>
      <c r="D298" t="str">
        <f>TEXT(Tabela7[[#This Row],[cpf]],"000\.000\.000\-00")</f>
        <v>000.000.192-00</v>
      </c>
      <c r="E298">
        <v>50</v>
      </c>
      <c r="F298">
        <v>27833</v>
      </c>
      <c r="G298" t="s">
        <v>705</v>
      </c>
      <c r="I298">
        <v>16200</v>
      </c>
      <c r="J298" s="12">
        <v>25000</v>
      </c>
      <c r="K298" t="s">
        <v>244</v>
      </c>
      <c r="L298">
        <v>26</v>
      </c>
      <c r="N298" t="s">
        <v>244</v>
      </c>
      <c r="O298">
        <v>65000</v>
      </c>
    </row>
    <row r="299" spans="1:15">
      <c r="A299" t="s">
        <v>76</v>
      </c>
      <c r="B299" t="s">
        <v>441</v>
      </c>
      <c r="C299">
        <v>28500</v>
      </c>
      <c r="D299" t="str">
        <f>TEXT(Tabela7[[#This Row],[cpf]],"000\.000\.000\-00")</f>
        <v>000.000.285-00</v>
      </c>
      <c r="E299" t="s">
        <v>1196</v>
      </c>
      <c r="F299">
        <v>31115</v>
      </c>
      <c r="G299" t="s">
        <v>141</v>
      </c>
      <c r="H299" t="s">
        <v>142</v>
      </c>
      <c r="I299">
        <v>23100</v>
      </c>
      <c r="J299">
        <v>36000</v>
      </c>
      <c r="K299" t="s">
        <v>50</v>
      </c>
      <c r="L299">
        <v>19</v>
      </c>
      <c r="N299" t="s">
        <v>50</v>
      </c>
      <c r="O299">
        <v>37500</v>
      </c>
    </row>
    <row r="300" spans="1:15">
      <c r="A300" t="s">
        <v>76</v>
      </c>
      <c r="B300" t="s">
        <v>706</v>
      </c>
      <c r="C300">
        <v>13700</v>
      </c>
      <c r="D300" t="str">
        <f>TEXT(Tabela7[[#This Row],[cpf]],"000\.000\.000\-00")</f>
        <v>000.000.137-00</v>
      </c>
      <c r="E300">
        <v>73</v>
      </c>
      <c r="F300" s="11">
        <v>19323</v>
      </c>
      <c r="G300" t="s">
        <v>242</v>
      </c>
      <c r="H300" t="s">
        <v>456</v>
      </c>
      <c r="I300">
        <v>18100</v>
      </c>
      <c r="J300">
        <v>0</v>
      </c>
      <c r="K300" t="s">
        <v>50</v>
      </c>
      <c r="L300">
        <v>36</v>
      </c>
      <c r="N300" t="s">
        <v>50</v>
      </c>
      <c r="O300">
        <v>89000</v>
      </c>
    </row>
    <row r="301" spans="1:15">
      <c r="A301" t="s">
        <v>173</v>
      </c>
      <c r="B301" t="s">
        <v>707</v>
      </c>
      <c r="C301">
        <v>33100</v>
      </c>
      <c r="D301" t="str">
        <f>TEXT(Tabela7[[#This Row],[cpf]],"000\.000\.000\-00")</f>
        <v>000.000.331-00</v>
      </c>
      <c r="F301">
        <v>36759</v>
      </c>
      <c r="G301" t="s">
        <v>183</v>
      </c>
      <c r="H301" t="s">
        <v>183</v>
      </c>
      <c r="I301">
        <v>23200</v>
      </c>
      <c r="J301">
        <v>54500</v>
      </c>
      <c r="K301">
        <v>1</v>
      </c>
      <c r="L301">
        <v>26</v>
      </c>
      <c r="N301">
        <v>1</v>
      </c>
      <c r="O301">
        <v>75000</v>
      </c>
    </row>
    <row r="302" spans="1:15">
      <c r="A302" t="s">
        <v>76</v>
      </c>
      <c r="B302" t="s">
        <v>708</v>
      </c>
      <c r="C302" t="s">
        <v>709</v>
      </c>
      <c r="D302" t="str">
        <f>TEXT(Tabela7[[#This Row],[cpf]],"000\.000\.000\-00")</f>
        <v>000.000.312-00</v>
      </c>
      <c r="E302">
        <v>25</v>
      </c>
      <c r="F302" s="11">
        <v>36792</v>
      </c>
      <c r="G302" t="s">
        <v>79</v>
      </c>
      <c r="H302" t="s">
        <v>80</v>
      </c>
      <c r="I302">
        <v>22100</v>
      </c>
      <c r="J302">
        <v>30500</v>
      </c>
      <c r="K302" t="s">
        <v>50</v>
      </c>
      <c r="L302" t="s">
        <v>268</v>
      </c>
      <c r="N302" t="s">
        <v>50</v>
      </c>
      <c r="O302">
        <v>48000</v>
      </c>
    </row>
    <row r="303" spans="1:15">
      <c r="A303" t="s">
        <v>105</v>
      </c>
      <c r="B303" t="s">
        <v>710</v>
      </c>
      <c r="C303" t="s">
        <v>711</v>
      </c>
      <c r="D303" t="str">
        <f>TEXT(Tabela7[[#This Row],[cpf]],"000\.000\.000\-00")</f>
        <v>000.000.275-00</v>
      </c>
      <c r="E303">
        <v>36</v>
      </c>
      <c r="F303">
        <v>33117</v>
      </c>
      <c r="G303" t="s">
        <v>242</v>
      </c>
      <c r="H303" t="s">
        <v>456</v>
      </c>
      <c r="I303">
        <v>11600</v>
      </c>
      <c r="J303">
        <v>78500</v>
      </c>
      <c r="K303" t="s">
        <v>50</v>
      </c>
      <c r="L303">
        <v>1</v>
      </c>
      <c r="N303" t="s">
        <v>50</v>
      </c>
      <c r="O303">
        <v>42000</v>
      </c>
    </row>
    <row r="304" spans="1:15">
      <c r="A304" t="s">
        <v>81</v>
      </c>
      <c r="B304" t="s">
        <v>712</v>
      </c>
      <c r="C304">
        <v>16600</v>
      </c>
      <c r="D304" t="str">
        <f>TEXT(Tabela7[[#This Row],[cpf]],"000\.000\.000\-00")</f>
        <v>000.000.166-00</v>
      </c>
      <c r="E304">
        <v>35</v>
      </c>
      <c r="F304">
        <v>33417</v>
      </c>
      <c r="G304" t="s">
        <v>172</v>
      </c>
      <c r="H304" t="s">
        <v>216</v>
      </c>
      <c r="I304" s="12">
        <v>12400</v>
      </c>
      <c r="J304">
        <v>0</v>
      </c>
      <c r="K304" t="s">
        <v>50</v>
      </c>
      <c r="L304">
        <v>3</v>
      </c>
      <c r="N304" t="s">
        <v>50</v>
      </c>
      <c r="O304">
        <v>83500</v>
      </c>
    </row>
    <row r="305" spans="1:15">
      <c r="A305" t="s">
        <v>76</v>
      </c>
      <c r="B305" t="s">
        <v>713</v>
      </c>
      <c r="C305" t="s">
        <v>714</v>
      </c>
      <c r="D305" t="str">
        <f>TEXT(Tabela7[[#This Row],[cpf]],"000\.000\.000\-00")</f>
        <v>000.000.109-00</v>
      </c>
      <c r="E305">
        <v>64</v>
      </c>
      <c r="F305" s="11">
        <v>22845</v>
      </c>
      <c r="G305" t="s">
        <v>162</v>
      </c>
      <c r="H305" t="s">
        <v>176</v>
      </c>
      <c r="I305">
        <v>12700</v>
      </c>
      <c r="J305">
        <v>0</v>
      </c>
      <c r="K305" t="s">
        <v>50</v>
      </c>
      <c r="L305">
        <v>21</v>
      </c>
      <c r="N305" t="s">
        <v>50</v>
      </c>
      <c r="O305">
        <v>50500</v>
      </c>
    </row>
    <row r="306" spans="1:15">
      <c r="A306" t="s">
        <v>76</v>
      </c>
      <c r="B306" t="s">
        <v>715</v>
      </c>
      <c r="C306" t="s">
        <v>716</v>
      </c>
      <c r="D306" t="str">
        <f>TEXT(Tabela7[[#This Row],[cpf]],"000\.000\.000\-00")</f>
        <v>000.000.204-00</v>
      </c>
      <c r="E306">
        <v>49</v>
      </c>
      <c r="F306">
        <v>28147</v>
      </c>
      <c r="G306" t="s">
        <v>223</v>
      </c>
      <c r="H306" t="s">
        <v>413</v>
      </c>
      <c r="I306">
        <v>28400</v>
      </c>
      <c r="J306" s="13">
        <v>38500</v>
      </c>
      <c r="K306" t="s">
        <v>190</v>
      </c>
      <c r="L306" t="s">
        <v>649</v>
      </c>
      <c r="N306" t="s">
        <v>190</v>
      </c>
      <c r="O306">
        <v>51000</v>
      </c>
    </row>
    <row r="307" spans="1:15">
      <c r="A307" t="s">
        <v>76</v>
      </c>
      <c r="B307" t="s">
        <v>717</v>
      </c>
      <c r="C307" t="s">
        <v>718</v>
      </c>
      <c r="D307" t="str">
        <f>TEXT(Tabela7[[#This Row],[cpf]],"000\.000\.000\-00")</f>
        <v>000.000.085-00</v>
      </c>
      <c r="E307">
        <v>50</v>
      </c>
      <c r="F307" s="11">
        <v>27886</v>
      </c>
      <c r="G307" t="s">
        <v>183</v>
      </c>
      <c r="H307" t="s">
        <v>183</v>
      </c>
      <c r="I307">
        <v>16100</v>
      </c>
      <c r="J307" s="13">
        <v>8000</v>
      </c>
      <c r="K307" t="s">
        <v>51</v>
      </c>
      <c r="L307">
        <v>30</v>
      </c>
      <c r="N307" t="s">
        <v>51</v>
      </c>
      <c r="O307">
        <v>27000</v>
      </c>
    </row>
    <row r="308" spans="1:15">
      <c r="B308" t="s">
        <v>719</v>
      </c>
      <c r="C308" t="s">
        <v>720</v>
      </c>
      <c r="D308" t="str">
        <f>TEXT(Tabela7[[#This Row],[cpf]],"000\.000\.000\-00")</f>
        <v>000.000.261-00</v>
      </c>
      <c r="F308" s="11">
        <v>33188</v>
      </c>
      <c r="G308" t="s">
        <v>127</v>
      </c>
      <c r="H308" t="s">
        <v>122</v>
      </c>
      <c r="I308">
        <v>29900</v>
      </c>
      <c r="J308" s="12">
        <v>64500</v>
      </c>
      <c r="K308" t="s">
        <v>50</v>
      </c>
      <c r="L308">
        <v>34</v>
      </c>
      <c r="N308" t="s">
        <v>50</v>
      </c>
      <c r="O308">
        <v>48500</v>
      </c>
    </row>
    <row r="309" spans="1:15">
      <c r="A309" t="s">
        <v>76</v>
      </c>
      <c r="B309" t="s">
        <v>721</v>
      </c>
      <c r="C309" t="s">
        <v>722</v>
      </c>
      <c r="D309" t="str">
        <f>TEXT(Tabela7[[#This Row],[cpf]],"000\.000\.000\-00")</f>
        <v>000.000.189-00</v>
      </c>
      <c r="E309">
        <v>39</v>
      </c>
      <c r="F309" s="11">
        <v>31968</v>
      </c>
      <c r="G309" t="s">
        <v>691</v>
      </c>
      <c r="I309">
        <v>8000</v>
      </c>
      <c r="J309" s="13">
        <v>69000</v>
      </c>
      <c r="K309" t="s">
        <v>50</v>
      </c>
      <c r="L309">
        <v>15</v>
      </c>
      <c r="N309" t="s">
        <v>50</v>
      </c>
      <c r="O309">
        <v>39500</v>
      </c>
    </row>
    <row r="310" spans="1:15">
      <c r="A310" t="s">
        <v>105</v>
      </c>
      <c r="B310" t="s">
        <v>723</v>
      </c>
      <c r="C310" t="s">
        <v>724</v>
      </c>
      <c r="D310" t="str">
        <f>TEXT(Tabela7[[#This Row],[cpf]],"000\.000\.000\-00")</f>
        <v>000.000.298-00</v>
      </c>
      <c r="E310">
        <v>19</v>
      </c>
      <c r="F310" s="11">
        <v>39003</v>
      </c>
      <c r="G310" t="s">
        <v>154</v>
      </c>
      <c r="H310" t="s">
        <v>142</v>
      </c>
      <c r="I310" t="s">
        <v>725</v>
      </c>
      <c r="J310" s="13">
        <v>29500</v>
      </c>
      <c r="K310" t="s">
        <v>51</v>
      </c>
      <c r="L310">
        <v>13</v>
      </c>
      <c r="N310" t="s">
        <v>51</v>
      </c>
      <c r="O310">
        <v>5000</v>
      </c>
    </row>
    <row r="311" spans="1:15">
      <c r="A311" t="s">
        <v>81</v>
      </c>
      <c r="B311" t="s">
        <v>449</v>
      </c>
      <c r="C311" t="s">
        <v>450</v>
      </c>
      <c r="D311" t="str">
        <f>TEXT(Tabela7[[#This Row],[cpf]],"000\.000\.000\-00")</f>
        <v>000.000.073-00</v>
      </c>
      <c r="E311">
        <v>63</v>
      </c>
      <c r="F311" s="11">
        <v>22924</v>
      </c>
      <c r="G311" t="s">
        <v>127</v>
      </c>
      <c r="H311" t="s">
        <v>256</v>
      </c>
      <c r="I311">
        <v>29000</v>
      </c>
      <c r="J311" s="12">
        <v>36500</v>
      </c>
      <c r="K311" t="s">
        <v>50</v>
      </c>
      <c r="L311">
        <v>38</v>
      </c>
      <c r="N311" t="s">
        <v>50</v>
      </c>
      <c r="O311">
        <v>68000</v>
      </c>
    </row>
    <row r="312" spans="1:15">
      <c r="A312" t="s">
        <v>76</v>
      </c>
      <c r="B312" t="s">
        <v>726</v>
      </c>
      <c r="C312">
        <v>17900</v>
      </c>
      <c r="D312" t="str">
        <f>TEXT(Tabela7[[#This Row],[cpf]],"000\.000\.000\-00")</f>
        <v>000.000.179-00</v>
      </c>
      <c r="E312">
        <v>44</v>
      </c>
      <c r="F312" s="11">
        <v>29991</v>
      </c>
      <c r="G312" t="s">
        <v>223</v>
      </c>
      <c r="I312">
        <v>6700</v>
      </c>
      <c r="J312">
        <v>16500</v>
      </c>
      <c r="K312" t="s">
        <v>51</v>
      </c>
      <c r="L312">
        <v>38</v>
      </c>
      <c r="N312" t="s">
        <v>51</v>
      </c>
      <c r="O312">
        <v>15500</v>
      </c>
    </row>
    <row r="313" spans="1:15">
      <c r="A313" t="s">
        <v>105</v>
      </c>
      <c r="B313" t="s">
        <v>672</v>
      </c>
      <c r="C313" t="s">
        <v>1197</v>
      </c>
      <c r="D313" t="str">
        <f>TEXT(Tabela7[[#This Row],[cpf]],"000\.000\.000\-00")</f>
        <v>000.000.004-00</v>
      </c>
      <c r="E313">
        <v>26</v>
      </c>
      <c r="F313">
        <v>36671</v>
      </c>
      <c r="G313" t="s">
        <v>83</v>
      </c>
      <c r="H313" t="s">
        <v>187</v>
      </c>
      <c r="I313">
        <v>25000</v>
      </c>
      <c r="J313">
        <v>1000</v>
      </c>
      <c r="K313" t="s">
        <v>50</v>
      </c>
      <c r="L313">
        <v>16</v>
      </c>
      <c r="N313" t="s">
        <v>50</v>
      </c>
      <c r="O313">
        <v>10500</v>
      </c>
    </row>
    <row r="314" spans="1:15">
      <c r="A314" t="s">
        <v>76</v>
      </c>
      <c r="B314" t="s">
        <v>727</v>
      </c>
      <c r="C314">
        <v>25200</v>
      </c>
      <c r="D314" t="str">
        <f>TEXT(Tabela7[[#This Row],[cpf]],"000\.000\.000\-00")</f>
        <v>000.000.252-00</v>
      </c>
      <c r="E314">
        <v>44</v>
      </c>
      <c r="F314" s="11">
        <v>30081</v>
      </c>
      <c r="G314" t="s">
        <v>127</v>
      </c>
      <c r="H314" t="s">
        <v>122</v>
      </c>
      <c r="I314">
        <v>9600</v>
      </c>
      <c r="J314" s="13">
        <v>66000</v>
      </c>
      <c r="L314">
        <v>11</v>
      </c>
      <c r="O314">
        <v>4500</v>
      </c>
    </row>
    <row r="315" spans="1:15">
      <c r="A315" t="s">
        <v>76</v>
      </c>
      <c r="B315" t="s">
        <v>728</v>
      </c>
      <c r="C315">
        <v>29900</v>
      </c>
      <c r="D315" t="str">
        <f>TEXT(Tabela7[[#This Row],[cpf]],"000\.000\.000\-00")</f>
        <v>000.000.299-00</v>
      </c>
      <c r="E315" t="s">
        <v>262</v>
      </c>
      <c r="G315" t="s">
        <v>141</v>
      </c>
      <c r="H315" t="s">
        <v>142</v>
      </c>
      <c r="I315">
        <v>21300</v>
      </c>
      <c r="J315">
        <v>60500</v>
      </c>
      <c r="L315">
        <v>15</v>
      </c>
      <c r="O315">
        <v>74500</v>
      </c>
    </row>
    <row r="316" spans="1:15">
      <c r="A316" t="s">
        <v>76</v>
      </c>
      <c r="B316" t="s">
        <v>729</v>
      </c>
      <c r="C316" t="s">
        <v>730</v>
      </c>
      <c r="D316" t="str">
        <f>TEXT(Tabela7[[#This Row],[cpf]],"000\.000\.000\-00")</f>
        <v>000.000.118-00</v>
      </c>
      <c r="E316">
        <v>69</v>
      </c>
      <c r="F316">
        <v>21054</v>
      </c>
      <c r="G316" t="s">
        <v>172</v>
      </c>
      <c r="H316" t="s">
        <v>149</v>
      </c>
      <c r="I316" s="13">
        <v>23800</v>
      </c>
      <c r="J316" t="s">
        <v>92</v>
      </c>
      <c r="L316">
        <v>26</v>
      </c>
      <c r="O316">
        <v>89000</v>
      </c>
    </row>
    <row r="317" spans="1:15">
      <c r="A317" t="s">
        <v>76</v>
      </c>
      <c r="B317" t="s">
        <v>731</v>
      </c>
      <c r="C317" t="s">
        <v>732</v>
      </c>
      <c r="D317" t="str">
        <f>TEXT(Tabela7[[#This Row],[cpf]],"000\.000\.000\-00")</f>
        <v>000.000.355-00</v>
      </c>
      <c r="E317">
        <v>67</v>
      </c>
      <c r="F317">
        <v>21522</v>
      </c>
      <c r="G317" t="s">
        <v>302</v>
      </c>
      <c r="H317" t="s">
        <v>303</v>
      </c>
      <c r="I317">
        <v>11300</v>
      </c>
      <c r="J317">
        <v>49500</v>
      </c>
      <c r="K317" t="s">
        <v>50</v>
      </c>
      <c r="L317">
        <v>12</v>
      </c>
      <c r="N317" t="s">
        <v>50</v>
      </c>
      <c r="O317">
        <v>34500</v>
      </c>
    </row>
    <row r="318" spans="1:15">
      <c r="A318" t="s">
        <v>76</v>
      </c>
      <c r="B318" t="s">
        <v>733</v>
      </c>
      <c r="C318" t="s">
        <v>734</v>
      </c>
      <c r="D318" t="str">
        <f>TEXT(Tabela7[[#This Row],[cpf]],"000\.000\.000\-00")</f>
        <v>000.000.019-00</v>
      </c>
      <c r="E318" t="s">
        <v>735</v>
      </c>
      <c r="F318" s="11">
        <v>27378</v>
      </c>
      <c r="G318" t="s">
        <v>183</v>
      </c>
      <c r="H318" t="s">
        <v>183</v>
      </c>
      <c r="I318" s="12">
        <v>11600</v>
      </c>
      <c r="J318">
        <v>41000</v>
      </c>
      <c r="K318" t="s">
        <v>50</v>
      </c>
      <c r="L318" t="s">
        <v>736</v>
      </c>
      <c r="N318" t="s">
        <v>50</v>
      </c>
      <c r="O318">
        <v>67000</v>
      </c>
    </row>
    <row r="319" spans="1:15">
      <c r="A319" t="s">
        <v>76</v>
      </c>
      <c r="B319" t="s">
        <v>737</v>
      </c>
      <c r="C319" t="s">
        <v>738</v>
      </c>
      <c r="D319" t="str">
        <f>TEXT(Tabela7[[#This Row],[cpf]],"000\.000\.000\-00")</f>
        <v>000.000.302-00</v>
      </c>
      <c r="E319">
        <v>49</v>
      </c>
      <c r="F319" s="11">
        <v>28067</v>
      </c>
      <c r="G319" t="s">
        <v>112</v>
      </c>
      <c r="H319" t="s">
        <v>132</v>
      </c>
      <c r="I319">
        <v>29800</v>
      </c>
      <c r="J319" s="13">
        <v>54500</v>
      </c>
      <c r="K319" t="s">
        <v>50</v>
      </c>
      <c r="L319">
        <v>34</v>
      </c>
      <c r="N319" t="s">
        <v>50</v>
      </c>
      <c r="O319">
        <v>72000</v>
      </c>
    </row>
    <row r="320" spans="1:15">
      <c r="A320" t="s">
        <v>76</v>
      </c>
      <c r="B320" t="s">
        <v>425</v>
      </c>
      <c r="C320" t="s">
        <v>1198</v>
      </c>
      <c r="D320" t="str">
        <f>TEXT(Tabela7[[#This Row],[cpf]],"000\.000\.000\-00")</f>
        <v>000.000.103-00</v>
      </c>
      <c r="E320">
        <v>20</v>
      </c>
      <c r="F320" s="11">
        <v>38957</v>
      </c>
      <c r="G320" t="s">
        <v>162</v>
      </c>
      <c r="H320" t="s">
        <v>142</v>
      </c>
      <c r="I320">
        <v>18200</v>
      </c>
      <c r="K320" t="s">
        <v>50</v>
      </c>
      <c r="L320">
        <v>21</v>
      </c>
      <c r="N320" t="s">
        <v>50</v>
      </c>
      <c r="O320">
        <v>61500</v>
      </c>
    </row>
    <row r="321" spans="1:15">
      <c r="A321" t="s">
        <v>76</v>
      </c>
      <c r="B321" t="s">
        <v>609</v>
      </c>
      <c r="C321">
        <v>19300</v>
      </c>
      <c r="D321" t="str">
        <f>TEXT(Tabela7[[#This Row],[cpf]],"000\.000\.000\-00")</f>
        <v>000.000.193-00</v>
      </c>
      <c r="E321">
        <v>74</v>
      </c>
      <c r="F321" s="11">
        <v>19131</v>
      </c>
      <c r="G321" t="s">
        <v>223</v>
      </c>
      <c r="H321" t="s">
        <v>331</v>
      </c>
      <c r="I321">
        <v>20700</v>
      </c>
      <c r="J321" s="12">
        <v>17500</v>
      </c>
      <c r="K321" t="s">
        <v>50</v>
      </c>
      <c r="L321">
        <v>35</v>
      </c>
      <c r="N321" t="s">
        <v>50</v>
      </c>
      <c r="O321">
        <v>68500</v>
      </c>
    </row>
    <row r="322" spans="1:15">
      <c r="A322" t="s">
        <v>81</v>
      </c>
      <c r="B322" t="s">
        <v>591</v>
      </c>
      <c r="C322">
        <v>6400</v>
      </c>
      <c r="D322" t="str">
        <f>TEXT(Tabela7[[#This Row],[cpf]],"000\.000\.000\-00")</f>
        <v>000.000.064-00</v>
      </c>
      <c r="E322">
        <v>57</v>
      </c>
      <c r="F322">
        <v>25206</v>
      </c>
      <c r="G322" t="s">
        <v>138</v>
      </c>
      <c r="H322" t="s">
        <v>353</v>
      </c>
      <c r="I322">
        <v>3400</v>
      </c>
      <c r="J322">
        <v>23500</v>
      </c>
      <c r="K322" t="s">
        <v>50</v>
      </c>
      <c r="L322">
        <v>20</v>
      </c>
      <c r="N322" t="s">
        <v>50</v>
      </c>
      <c r="O322">
        <v>50500</v>
      </c>
    </row>
    <row r="323" spans="1:15">
      <c r="A323" t="s">
        <v>76</v>
      </c>
      <c r="B323" t="s">
        <v>403</v>
      </c>
      <c r="C323" t="s">
        <v>404</v>
      </c>
      <c r="D323" t="str">
        <f>TEXT(Tabela7[[#This Row],[cpf]],"000\.000\.000\-00")</f>
        <v>000.000.282-00</v>
      </c>
      <c r="E323">
        <v>56</v>
      </c>
      <c r="F323">
        <v>25671</v>
      </c>
      <c r="G323" t="s">
        <v>169</v>
      </c>
      <c r="H323" t="s">
        <v>139</v>
      </c>
      <c r="I323">
        <v>28300</v>
      </c>
      <c r="J323">
        <v>56000</v>
      </c>
      <c r="K323" t="s">
        <v>50</v>
      </c>
      <c r="L323">
        <v>6</v>
      </c>
      <c r="N323" t="s">
        <v>50</v>
      </c>
      <c r="O323">
        <v>84500</v>
      </c>
    </row>
    <row r="324" spans="1:15">
      <c r="A324" t="s">
        <v>76</v>
      </c>
      <c r="B324" t="s">
        <v>739</v>
      </c>
      <c r="C324" t="s">
        <v>740</v>
      </c>
      <c r="D324" t="str">
        <f>TEXT(Tabela7[[#This Row],[cpf]],"000\.000\.000\-00")</f>
        <v>000.000.213-00</v>
      </c>
      <c r="E324">
        <v>68</v>
      </c>
      <c r="F324" s="11">
        <v>21145</v>
      </c>
      <c r="G324" t="s">
        <v>83</v>
      </c>
      <c r="H324" t="s">
        <v>84</v>
      </c>
      <c r="I324">
        <v>24500</v>
      </c>
      <c r="J324">
        <v>16500</v>
      </c>
      <c r="K324" t="s">
        <v>50</v>
      </c>
      <c r="L324">
        <v>22</v>
      </c>
      <c r="N324" t="s">
        <v>50</v>
      </c>
      <c r="O324">
        <v>34500</v>
      </c>
    </row>
    <row r="325" spans="1:15">
      <c r="A325" t="s">
        <v>81</v>
      </c>
      <c r="B325" t="s">
        <v>741</v>
      </c>
      <c r="C325" t="s">
        <v>742</v>
      </c>
      <c r="D325" t="str">
        <f>TEXT(Tabela7[[#This Row],[cpf]],"000\.000\.000\-00")</f>
        <v>000.000.345-00</v>
      </c>
      <c r="E325">
        <v>73</v>
      </c>
      <c r="G325" t="s">
        <v>141</v>
      </c>
      <c r="H325" t="s">
        <v>142</v>
      </c>
      <c r="I325" t="s">
        <v>743</v>
      </c>
      <c r="J325">
        <v>47000</v>
      </c>
      <c r="K325" t="s">
        <v>50</v>
      </c>
      <c r="L325">
        <v>19</v>
      </c>
      <c r="N325" t="s">
        <v>50</v>
      </c>
      <c r="O325">
        <v>20500</v>
      </c>
    </row>
    <row r="326" spans="1:15">
      <c r="A326" t="s">
        <v>76</v>
      </c>
      <c r="B326" t="s">
        <v>744</v>
      </c>
      <c r="C326" t="s">
        <v>745</v>
      </c>
      <c r="D326" t="str">
        <f>TEXT(Tabela7[[#This Row],[cpf]],"000\.000\.000\-00")</f>
        <v>000.000.367-00</v>
      </c>
      <c r="E326">
        <v>67</v>
      </c>
      <c r="F326" s="11">
        <v>21497</v>
      </c>
      <c r="G326" t="s">
        <v>96</v>
      </c>
      <c r="I326" t="s">
        <v>746</v>
      </c>
      <c r="J326" s="12">
        <v>73500</v>
      </c>
      <c r="K326" t="s">
        <v>51</v>
      </c>
      <c r="L326">
        <v>7</v>
      </c>
      <c r="N326" t="s">
        <v>51</v>
      </c>
      <c r="O326">
        <v>24500</v>
      </c>
    </row>
    <row r="327" spans="1:15">
      <c r="A327" t="s">
        <v>76</v>
      </c>
      <c r="B327" t="s">
        <v>747</v>
      </c>
      <c r="C327" t="s">
        <v>748</v>
      </c>
      <c r="D327" t="str">
        <f>TEXT(Tabela7[[#This Row],[cpf]],"000\.000\.000\-00")</f>
        <v>000.000.149-00</v>
      </c>
      <c r="E327">
        <v>54</v>
      </c>
      <c r="F327" s="11">
        <v>26230</v>
      </c>
      <c r="G327" t="s">
        <v>162</v>
      </c>
      <c r="H327" t="s">
        <v>155</v>
      </c>
      <c r="I327">
        <v>18700</v>
      </c>
      <c r="J327">
        <v>46000</v>
      </c>
      <c r="K327" t="s">
        <v>51</v>
      </c>
      <c r="L327">
        <v>4</v>
      </c>
      <c r="N327" t="s">
        <v>51</v>
      </c>
      <c r="O327">
        <v>27500</v>
      </c>
    </row>
    <row r="328" spans="1:15">
      <c r="A328" t="s">
        <v>76</v>
      </c>
      <c r="B328" t="s">
        <v>440</v>
      </c>
      <c r="C328">
        <v>36900</v>
      </c>
      <c r="D328" t="str">
        <f>TEXT(Tabela7[[#This Row],[cpf]],"000\.000\.000\-00")</f>
        <v>000.000.369-00</v>
      </c>
      <c r="E328">
        <v>61</v>
      </c>
      <c r="F328">
        <v>23928</v>
      </c>
      <c r="G328" t="s">
        <v>302</v>
      </c>
      <c r="H328" t="s">
        <v>84</v>
      </c>
      <c r="I328">
        <v>22900</v>
      </c>
      <c r="J328">
        <v>7500</v>
      </c>
      <c r="K328" t="s">
        <v>50</v>
      </c>
      <c r="L328">
        <v>12</v>
      </c>
      <c r="N328" t="s">
        <v>50</v>
      </c>
      <c r="O328">
        <v>33000</v>
      </c>
    </row>
    <row r="329" spans="1:15">
      <c r="A329" t="s">
        <v>76</v>
      </c>
      <c r="B329" t="s">
        <v>744</v>
      </c>
      <c r="C329" t="s">
        <v>1199</v>
      </c>
      <c r="D329" t="str">
        <f>TEXT(Tabela7[[#This Row],[cpf]],"000\.000\.000\-00")</f>
        <v>000.000.010-00</v>
      </c>
      <c r="E329">
        <v>60</v>
      </c>
      <c r="F329" s="11">
        <v>24054</v>
      </c>
      <c r="G329" t="s">
        <v>79</v>
      </c>
      <c r="H329" t="s">
        <v>100</v>
      </c>
      <c r="I329">
        <v>22600</v>
      </c>
      <c r="J329" t="s">
        <v>1200</v>
      </c>
      <c r="K329" t="s">
        <v>50</v>
      </c>
      <c r="L329">
        <v>9</v>
      </c>
      <c r="N329" t="s">
        <v>50</v>
      </c>
      <c r="O329">
        <v>58500</v>
      </c>
    </row>
    <row r="330" spans="1:15">
      <c r="A330" t="s">
        <v>76</v>
      </c>
      <c r="B330" t="s">
        <v>336</v>
      </c>
      <c r="C330">
        <v>36000</v>
      </c>
      <c r="D330" t="str">
        <f>TEXT(Tabela7[[#This Row],[cpf]],"000\.000\.000\-00")</f>
        <v>000.000.360-00</v>
      </c>
      <c r="E330">
        <v>26</v>
      </c>
      <c r="F330" s="11">
        <v>36573</v>
      </c>
      <c r="G330" t="s">
        <v>688</v>
      </c>
      <c r="I330">
        <v>4800</v>
      </c>
      <c r="J330" t="s">
        <v>1201</v>
      </c>
      <c r="K330" t="s">
        <v>51</v>
      </c>
      <c r="L330">
        <v>6</v>
      </c>
      <c r="N330" t="s">
        <v>51</v>
      </c>
      <c r="O330">
        <v>56500</v>
      </c>
    </row>
    <row r="331" spans="1:15">
      <c r="A331" t="s">
        <v>81</v>
      </c>
      <c r="B331" t="s">
        <v>749</v>
      </c>
      <c r="C331">
        <v>32500</v>
      </c>
      <c r="D331" t="str">
        <f>TEXT(Tabela7[[#This Row],[cpf]],"000\.000\.000\-00")</f>
        <v>000.000.325-00</v>
      </c>
      <c r="E331">
        <v>48</v>
      </c>
      <c r="F331">
        <v>28446</v>
      </c>
      <c r="G331" t="s">
        <v>89</v>
      </c>
      <c r="H331" t="s">
        <v>331</v>
      </c>
      <c r="I331">
        <v>6900</v>
      </c>
      <c r="J331">
        <v>52500</v>
      </c>
      <c r="K331" t="s">
        <v>51</v>
      </c>
      <c r="L331">
        <v>0</v>
      </c>
      <c r="N331" t="s">
        <v>51</v>
      </c>
      <c r="O331">
        <v>66000</v>
      </c>
    </row>
    <row r="332" spans="1:15">
      <c r="A332" t="s">
        <v>76</v>
      </c>
      <c r="B332" t="s">
        <v>750</v>
      </c>
      <c r="C332" t="s">
        <v>751</v>
      </c>
      <c r="D332" t="str">
        <f>TEXT(Tabela7[[#This Row],[cpf]],"000\.000\.000\-00")</f>
        <v>000.000.199-00</v>
      </c>
      <c r="E332">
        <v>69</v>
      </c>
      <c r="G332" t="s">
        <v>302</v>
      </c>
      <c r="H332" t="s">
        <v>187</v>
      </c>
      <c r="I332">
        <v>11400</v>
      </c>
      <c r="J332">
        <v>0</v>
      </c>
      <c r="K332" t="s">
        <v>181</v>
      </c>
      <c r="L332">
        <v>13</v>
      </c>
      <c r="N332" t="s">
        <v>181</v>
      </c>
      <c r="O332">
        <v>79000</v>
      </c>
    </row>
    <row r="333" spans="1:15">
      <c r="A333" t="s">
        <v>76</v>
      </c>
      <c r="B333" t="s">
        <v>147</v>
      </c>
      <c r="C333">
        <v>22300</v>
      </c>
      <c r="D333" t="str">
        <f>TEXT(Tabela7[[#This Row],[cpf]],"000\.000\.000\-00")</f>
        <v>000.000.223-00</v>
      </c>
      <c r="E333">
        <v>25</v>
      </c>
      <c r="F333" s="11">
        <v>36831</v>
      </c>
      <c r="G333" t="s">
        <v>148</v>
      </c>
      <c r="H333" t="s">
        <v>149</v>
      </c>
      <c r="I333" s="13">
        <v>9400</v>
      </c>
      <c r="J333">
        <v>51500</v>
      </c>
      <c r="K333" t="s">
        <v>50</v>
      </c>
      <c r="L333">
        <v>14</v>
      </c>
      <c r="N333" t="s">
        <v>50</v>
      </c>
      <c r="O333">
        <v>74000</v>
      </c>
    </row>
    <row r="334" spans="1:15">
      <c r="A334" t="s">
        <v>76</v>
      </c>
      <c r="B334" t="s">
        <v>752</v>
      </c>
      <c r="C334" t="s">
        <v>753</v>
      </c>
      <c r="D334" t="str">
        <f>TEXT(Tabela7[[#This Row],[cpf]],"000\.000\.000\-00")</f>
        <v>000.000.164-00</v>
      </c>
      <c r="E334">
        <v>62</v>
      </c>
      <c r="F334">
        <v>23317</v>
      </c>
      <c r="G334" t="s">
        <v>210</v>
      </c>
      <c r="H334" t="s">
        <v>142</v>
      </c>
      <c r="I334">
        <v>10500</v>
      </c>
      <c r="J334">
        <v>0</v>
      </c>
      <c r="K334" t="s">
        <v>51</v>
      </c>
      <c r="L334" t="s">
        <v>638</v>
      </c>
      <c r="N334" t="s">
        <v>51</v>
      </c>
      <c r="O334">
        <v>54500</v>
      </c>
    </row>
    <row r="335" spans="1:15">
      <c r="A335" t="s">
        <v>76</v>
      </c>
      <c r="B335" t="s">
        <v>754</v>
      </c>
      <c r="C335">
        <v>25700</v>
      </c>
      <c r="D335" t="str">
        <f>TEXT(Tabela7[[#This Row],[cpf]],"000\.000\.000\-00")</f>
        <v>000.000.257-00</v>
      </c>
      <c r="E335">
        <v>27</v>
      </c>
      <c r="F335">
        <v>36152</v>
      </c>
      <c r="G335" t="s">
        <v>172</v>
      </c>
      <c r="H335" t="s">
        <v>213</v>
      </c>
      <c r="I335">
        <v>30000</v>
      </c>
      <c r="J335" s="13">
        <v>27000</v>
      </c>
      <c r="K335" t="s">
        <v>93</v>
      </c>
      <c r="L335">
        <v>28</v>
      </c>
      <c r="N335" t="s">
        <v>93</v>
      </c>
      <c r="O335">
        <v>28500</v>
      </c>
    </row>
    <row r="336" spans="1:15">
      <c r="A336" t="s">
        <v>76</v>
      </c>
      <c r="B336" t="s">
        <v>755</v>
      </c>
      <c r="C336" t="s">
        <v>756</v>
      </c>
      <c r="D336" t="str">
        <f>TEXT(Tabela7[[#This Row],[cpf]],"000\.000\.000\-00")</f>
        <v>000.000.071-00</v>
      </c>
      <c r="F336" s="11">
        <v>34769</v>
      </c>
      <c r="G336" t="s">
        <v>103</v>
      </c>
      <c r="H336" t="s">
        <v>193</v>
      </c>
      <c r="I336">
        <v>9000</v>
      </c>
      <c r="J336">
        <v>66000</v>
      </c>
      <c r="K336" t="s">
        <v>50</v>
      </c>
      <c r="L336">
        <v>24</v>
      </c>
      <c r="N336" t="s">
        <v>50</v>
      </c>
      <c r="O336">
        <v>72000</v>
      </c>
    </row>
    <row r="337" spans="1:15">
      <c r="A337" t="s">
        <v>81</v>
      </c>
      <c r="B337" t="s">
        <v>267</v>
      </c>
      <c r="C337" t="s">
        <v>1202</v>
      </c>
      <c r="D337" t="str">
        <f>TEXT(Tabela7[[#This Row],[cpf]],"000\.000\.000\-00")</f>
        <v>000.000.079-00</v>
      </c>
      <c r="E337">
        <v>65</v>
      </c>
      <c r="F337">
        <v>22275</v>
      </c>
      <c r="G337" t="s">
        <v>79</v>
      </c>
      <c r="H337" t="s">
        <v>80</v>
      </c>
      <c r="I337">
        <v>3300</v>
      </c>
      <c r="J337">
        <v>43500</v>
      </c>
      <c r="K337" t="s">
        <v>50</v>
      </c>
      <c r="L337" t="s">
        <v>204</v>
      </c>
      <c r="N337" t="s">
        <v>50</v>
      </c>
      <c r="O337">
        <v>23500</v>
      </c>
    </row>
    <row r="338" spans="1:15">
      <c r="A338" t="s">
        <v>76</v>
      </c>
      <c r="B338" t="s">
        <v>757</v>
      </c>
      <c r="C338" t="s">
        <v>758</v>
      </c>
      <c r="D338" t="str">
        <f>TEXT(Tabela7[[#This Row],[cpf]],"000\.000\.000\-00")</f>
        <v>000.000.120-00</v>
      </c>
      <c r="E338">
        <v>29</v>
      </c>
      <c r="F338" s="11">
        <v>35392</v>
      </c>
      <c r="G338" t="s">
        <v>242</v>
      </c>
      <c r="I338" t="s">
        <v>759</v>
      </c>
      <c r="J338">
        <v>19500</v>
      </c>
      <c r="K338" t="s">
        <v>50</v>
      </c>
      <c r="L338">
        <v>30</v>
      </c>
      <c r="N338" t="s">
        <v>50</v>
      </c>
      <c r="O338">
        <v>51000</v>
      </c>
    </row>
    <row r="339" spans="1:15">
      <c r="A339" t="s">
        <v>76</v>
      </c>
      <c r="B339" t="s">
        <v>760</v>
      </c>
      <c r="C339" t="s">
        <v>761</v>
      </c>
      <c r="D339" t="str">
        <f>TEXT(Tabela7[[#This Row],[cpf]],"000\.000\.000\-00")</f>
        <v>000.000.113-00</v>
      </c>
      <c r="E339">
        <v>55</v>
      </c>
      <c r="F339">
        <v>25844</v>
      </c>
      <c r="G339" t="s">
        <v>172</v>
      </c>
      <c r="H339" t="s">
        <v>213</v>
      </c>
      <c r="I339" s="13">
        <v>17400</v>
      </c>
      <c r="J339" s="12">
        <v>75500</v>
      </c>
      <c r="K339" t="s">
        <v>50</v>
      </c>
      <c r="L339">
        <v>9</v>
      </c>
      <c r="N339" t="s">
        <v>50</v>
      </c>
      <c r="O339">
        <v>52000</v>
      </c>
    </row>
    <row r="340" spans="1:15">
      <c r="A340" t="s">
        <v>81</v>
      </c>
      <c r="B340" t="s">
        <v>596</v>
      </c>
      <c r="C340">
        <v>34000</v>
      </c>
      <c r="D340" t="str">
        <f>TEXT(Tabela7[[#This Row],[cpf]],"000\.000\.000\-00")</f>
        <v>000.000.340-00</v>
      </c>
      <c r="E340">
        <v>38</v>
      </c>
      <c r="F340" s="11">
        <v>32118</v>
      </c>
      <c r="G340" t="s">
        <v>83</v>
      </c>
      <c r="H340" t="s">
        <v>135</v>
      </c>
      <c r="I340" s="13">
        <v>15800</v>
      </c>
      <c r="J340">
        <v>14500</v>
      </c>
      <c r="K340" t="s">
        <v>50</v>
      </c>
      <c r="L340">
        <v>4</v>
      </c>
      <c r="N340" t="s">
        <v>50</v>
      </c>
      <c r="O340">
        <v>21000</v>
      </c>
    </row>
    <row r="341" spans="1:15">
      <c r="A341" t="s">
        <v>76</v>
      </c>
      <c r="B341" t="s">
        <v>762</v>
      </c>
      <c r="C341">
        <v>2200</v>
      </c>
      <c r="D341" t="str">
        <f>TEXT(Tabela7[[#This Row],[cpf]],"000\.000\.000\-00")</f>
        <v>000.000.022-00</v>
      </c>
      <c r="E341">
        <v>58</v>
      </c>
      <c r="F341">
        <v>24840</v>
      </c>
      <c r="G341" t="s">
        <v>242</v>
      </c>
      <c r="H341" t="s">
        <v>243</v>
      </c>
      <c r="I341" s="12">
        <v>2800</v>
      </c>
      <c r="J341" s="12">
        <v>35000</v>
      </c>
      <c r="K341" t="s">
        <v>50</v>
      </c>
      <c r="L341">
        <v>36</v>
      </c>
      <c r="N341" t="s">
        <v>50</v>
      </c>
      <c r="O341">
        <v>9000</v>
      </c>
    </row>
    <row r="342" spans="1:15">
      <c r="A342" t="s">
        <v>76</v>
      </c>
      <c r="B342" t="s">
        <v>763</v>
      </c>
      <c r="C342" t="s">
        <v>764</v>
      </c>
      <c r="D342" t="str">
        <f>TEXT(Tabela7[[#This Row],[cpf]],"000\.000\.000\-00")</f>
        <v>000.000.246-00</v>
      </c>
      <c r="F342" s="11">
        <v>35600</v>
      </c>
      <c r="G342" t="s">
        <v>169</v>
      </c>
      <c r="H342" t="s">
        <v>139</v>
      </c>
      <c r="I342">
        <v>9600</v>
      </c>
      <c r="J342" s="12">
        <v>41000</v>
      </c>
      <c r="K342" t="s">
        <v>50</v>
      </c>
      <c r="L342">
        <v>27</v>
      </c>
      <c r="N342" t="s">
        <v>50</v>
      </c>
      <c r="O342">
        <v>25000</v>
      </c>
    </row>
    <row r="343" spans="1:15">
      <c r="A343" t="s">
        <v>81</v>
      </c>
      <c r="B343" t="s">
        <v>765</v>
      </c>
      <c r="C343">
        <v>11600</v>
      </c>
      <c r="D343" t="str">
        <f>TEXT(Tabela7[[#This Row],[cpf]],"000\.000\.000\-00")</f>
        <v>000.000.116-00</v>
      </c>
      <c r="F343">
        <v>32890</v>
      </c>
      <c r="G343" t="s">
        <v>138</v>
      </c>
      <c r="H343" t="s">
        <v>353</v>
      </c>
      <c r="I343" s="13">
        <v>28100</v>
      </c>
      <c r="J343" s="13">
        <v>36500</v>
      </c>
      <c r="K343" t="s">
        <v>50</v>
      </c>
      <c r="L343">
        <v>13</v>
      </c>
      <c r="N343" t="s">
        <v>50</v>
      </c>
      <c r="O343">
        <v>5000</v>
      </c>
    </row>
    <row r="344" spans="1:15">
      <c r="A344" t="s">
        <v>81</v>
      </c>
      <c r="B344" t="s">
        <v>683</v>
      </c>
      <c r="C344">
        <v>20300</v>
      </c>
      <c r="D344" t="str">
        <f>TEXT(Tabela7[[#This Row],[cpf]],"000\.000\.000\-00")</f>
        <v>000.000.203-00</v>
      </c>
      <c r="E344">
        <v>46</v>
      </c>
      <c r="F344" s="11">
        <v>29427</v>
      </c>
      <c r="G344" t="s">
        <v>169</v>
      </c>
      <c r="H344" t="s">
        <v>146</v>
      </c>
      <c r="J344">
        <v>37500</v>
      </c>
      <c r="K344" t="s">
        <v>50</v>
      </c>
      <c r="N344" t="s">
        <v>50</v>
      </c>
      <c r="O344">
        <v>77000</v>
      </c>
    </row>
    <row r="345" spans="1:15">
      <c r="A345" t="s">
        <v>81</v>
      </c>
      <c r="B345" t="s">
        <v>354</v>
      </c>
      <c r="C345" t="s">
        <v>355</v>
      </c>
      <c r="D345" t="str">
        <f>TEXT(Tabela7[[#This Row],[cpf]],"000\.000\.000\-00")</f>
        <v>000.000.027-00</v>
      </c>
      <c r="E345">
        <v>30</v>
      </c>
      <c r="F345" s="11">
        <v>35200</v>
      </c>
      <c r="G345" t="s">
        <v>127</v>
      </c>
      <c r="H345" t="s">
        <v>256</v>
      </c>
      <c r="I345">
        <v>26500</v>
      </c>
      <c r="J345">
        <v>14500</v>
      </c>
      <c r="K345">
        <v>0</v>
      </c>
      <c r="L345">
        <v>15</v>
      </c>
      <c r="N345">
        <v>0</v>
      </c>
      <c r="O345">
        <v>39000</v>
      </c>
    </row>
    <row r="346" spans="1:15">
      <c r="A346" t="s">
        <v>76</v>
      </c>
      <c r="B346" t="s">
        <v>766</v>
      </c>
      <c r="C346" t="s">
        <v>767</v>
      </c>
      <c r="D346" t="str">
        <f>TEXT(Tabela7[[#This Row],[cpf]],"000\.000\.000\-00")</f>
        <v>000.000.013-00</v>
      </c>
      <c r="E346">
        <v>60</v>
      </c>
      <c r="F346">
        <v>24202</v>
      </c>
      <c r="G346" t="s">
        <v>302</v>
      </c>
      <c r="H346" t="s">
        <v>84</v>
      </c>
      <c r="I346" s="12">
        <v>5500</v>
      </c>
      <c r="J346">
        <v>0</v>
      </c>
      <c r="K346" t="s">
        <v>190</v>
      </c>
      <c r="L346">
        <v>26</v>
      </c>
      <c r="N346" t="s">
        <v>190</v>
      </c>
      <c r="O346">
        <v>52500</v>
      </c>
    </row>
    <row r="347" spans="1:15">
      <c r="A347" t="s">
        <v>76</v>
      </c>
      <c r="B347" t="s">
        <v>768</v>
      </c>
      <c r="C347" t="s">
        <v>769</v>
      </c>
      <c r="D347" t="str">
        <f>TEXT(Tabela7[[#This Row],[cpf]],"000\.000\.000\-00")</f>
        <v>000.000.286-00</v>
      </c>
      <c r="E347">
        <v>43</v>
      </c>
      <c r="F347">
        <v>30437</v>
      </c>
      <c r="G347" t="s">
        <v>223</v>
      </c>
      <c r="H347" t="s">
        <v>90</v>
      </c>
      <c r="I347">
        <v>14600</v>
      </c>
      <c r="J347">
        <v>18500</v>
      </c>
      <c r="K347" t="s">
        <v>181</v>
      </c>
      <c r="L347">
        <v>22</v>
      </c>
      <c r="N347" t="s">
        <v>181</v>
      </c>
      <c r="O347">
        <v>16500</v>
      </c>
    </row>
    <row r="348" spans="1:15">
      <c r="A348" t="s">
        <v>173</v>
      </c>
      <c r="B348" t="s">
        <v>707</v>
      </c>
      <c r="C348">
        <v>33100</v>
      </c>
      <c r="D348" t="str">
        <f>TEXT(Tabela7[[#This Row],[cpf]],"000\.000\.000\-00")</f>
        <v>000.000.331-00</v>
      </c>
      <c r="F348">
        <v>36759</v>
      </c>
      <c r="G348" t="s">
        <v>183</v>
      </c>
      <c r="H348" t="s">
        <v>183</v>
      </c>
      <c r="I348">
        <v>23200</v>
      </c>
      <c r="J348">
        <v>54500</v>
      </c>
      <c r="K348">
        <v>1</v>
      </c>
      <c r="L348">
        <v>26</v>
      </c>
      <c r="N348">
        <v>1</v>
      </c>
      <c r="O348">
        <v>39500</v>
      </c>
    </row>
    <row r="349" spans="1:15">
      <c r="A349" t="s">
        <v>76</v>
      </c>
      <c r="B349" t="s">
        <v>397</v>
      </c>
      <c r="C349" t="s">
        <v>398</v>
      </c>
      <c r="D349" t="str">
        <f>TEXT(Tabela7[[#This Row],[cpf]],"000\.000\.000\-00")</f>
        <v>000.000.314-00</v>
      </c>
      <c r="E349">
        <v>53</v>
      </c>
      <c r="F349" s="11">
        <v>26584</v>
      </c>
      <c r="G349" t="s">
        <v>162</v>
      </c>
      <c r="H349" t="s">
        <v>142</v>
      </c>
      <c r="I349">
        <v>12200</v>
      </c>
      <c r="J349" s="12">
        <v>79500</v>
      </c>
      <c r="K349" t="s">
        <v>190</v>
      </c>
      <c r="L349">
        <v>45</v>
      </c>
      <c r="N349" t="s">
        <v>190</v>
      </c>
      <c r="O349">
        <v>62000</v>
      </c>
    </row>
    <row r="350" spans="1:15">
      <c r="A350" t="s">
        <v>173</v>
      </c>
      <c r="B350" t="s">
        <v>770</v>
      </c>
      <c r="C350" t="s">
        <v>771</v>
      </c>
      <c r="D350" t="str">
        <f>TEXT(Tabela7[[#This Row],[cpf]],"000\.000\.000\-00")</f>
        <v>000.000.123-00</v>
      </c>
      <c r="E350">
        <v>19</v>
      </c>
      <c r="F350" s="11">
        <v>39209</v>
      </c>
      <c r="G350" t="s">
        <v>215</v>
      </c>
      <c r="H350" t="s">
        <v>149</v>
      </c>
      <c r="I350" s="12">
        <v>7200</v>
      </c>
      <c r="J350">
        <v>16000</v>
      </c>
      <c r="K350" t="s">
        <v>50</v>
      </c>
      <c r="L350">
        <v>5</v>
      </c>
      <c r="N350" t="s">
        <v>50</v>
      </c>
      <c r="O350">
        <v>52000</v>
      </c>
    </row>
    <row r="351" spans="1:15">
      <c r="A351" t="s">
        <v>81</v>
      </c>
      <c r="B351" t="s">
        <v>772</v>
      </c>
      <c r="C351">
        <v>11700</v>
      </c>
      <c r="D351" t="str">
        <f>TEXT(Tabela7[[#This Row],[cpf]],"000\.000\.000\-00")</f>
        <v>000.000.117-00</v>
      </c>
      <c r="E351">
        <v>27</v>
      </c>
      <c r="F351">
        <v>36151</v>
      </c>
      <c r="G351" t="s">
        <v>210</v>
      </c>
      <c r="H351" t="s">
        <v>142</v>
      </c>
      <c r="I351" s="12">
        <v>25900</v>
      </c>
      <c r="J351">
        <v>0</v>
      </c>
      <c r="K351" t="s">
        <v>51</v>
      </c>
      <c r="L351">
        <v>10</v>
      </c>
      <c r="N351" t="s">
        <v>51</v>
      </c>
      <c r="O351">
        <v>5000</v>
      </c>
    </row>
    <row r="352" spans="1:15">
      <c r="A352" t="s">
        <v>76</v>
      </c>
      <c r="B352" t="s">
        <v>773</v>
      </c>
      <c r="C352" t="s">
        <v>774</v>
      </c>
      <c r="D352" t="str">
        <f>TEXT(Tabela7[[#This Row],[cpf]],"000\.000\.000\-00")</f>
        <v>000.000.134-00</v>
      </c>
      <c r="E352">
        <v>44</v>
      </c>
      <c r="F352">
        <v>29892</v>
      </c>
      <c r="G352" t="s">
        <v>103</v>
      </c>
      <c r="H352" t="s">
        <v>108</v>
      </c>
      <c r="I352">
        <v>20600</v>
      </c>
      <c r="J352">
        <v>8000</v>
      </c>
      <c r="K352" t="s">
        <v>50</v>
      </c>
      <c r="L352">
        <v>39</v>
      </c>
      <c r="N352" t="s">
        <v>50</v>
      </c>
      <c r="O352">
        <v>36000</v>
      </c>
    </row>
    <row r="353" spans="1:15">
      <c r="A353" t="s">
        <v>76</v>
      </c>
      <c r="B353" t="s">
        <v>775</v>
      </c>
      <c r="C353" t="s">
        <v>776</v>
      </c>
      <c r="D353" t="str">
        <f>TEXT(Tabela7[[#This Row],[cpf]],"000\.000\.000\-00")</f>
        <v>000.000.060-00</v>
      </c>
      <c r="E353">
        <v>48</v>
      </c>
      <c r="F353">
        <v>28689</v>
      </c>
      <c r="G353" t="s">
        <v>83</v>
      </c>
      <c r="H353" t="s">
        <v>84</v>
      </c>
      <c r="I353" s="12">
        <v>18700</v>
      </c>
      <c r="J353">
        <v>11000</v>
      </c>
      <c r="K353" t="s">
        <v>50</v>
      </c>
      <c r="L353">
        <v>28</v>
      </c>
      <c r="N353" t="s">
        <v>50</v>
      </c>
      <c r="O353">
        <v>18000</v>
      </c>
    </row>
    <row r="354" spans="1:15">
      <c r="A354" t="s">
        <v>76</v>
      </c>
      <c r="B354" t="s">
        <v>777</v>
      </c>
      <c r="C354">
        <v>8200</v>
      </c>
      <c r="D354" t="str">
        <f>TEXT(Tabela7[[#This Row],[cpf]],"000\.000\.000\-00")</f>
        <v>000.000.082-00</v>
      </c>
      <c r="E354">
        <v>20</v>
      </c>
      <c r="F354">
        <v>38894</v>
      </c>
      <c r="G354" t="s">
        <v>154</v>
      </c>
      <c r="H354" t="s">
        <v>176</v>
      </c>
      <c r="I354">
        <v>24900</v>
      </c>
      <c r="J354">
        <v>0</v>
      </c>
      <c r="K354" t="s">
        <v>51</v>
      </c>
      <c r="L354">
        <v>14</v>
      </c>
      <c r="N354" t="s">
        <v>51</v>
      </c>
      <c r="O354">
        <v>49500</v>
      </c>
    </row>
    <row r="355" spans="1:15">
      <c r="A355" t="s">
        <v>81</v>
      </c>
      <c r="B355" t="s">
        <v>778</v>
      </c>
      <c r="C355">
        <v>23000</v>
      </c>
      <c r="D355" t="str">
        <f>TEXT(Tabela7[[#This Row],[cpf]],"000\.000\.000\-00")</f>
        <v>000.000.230-00</v>
      </c>
      <c r="E355">
        <v>53</v>
      </c>
      <c r="F355">
        <v>26744</v>
      </c>
      <c r="G355" t="s">
        <v>112</v>
      </c>
      <c r="H355" t="s">
        <v>132</v>
      </c>
      <c r="I355" s="12">
        <v>26400</v>
      </c>
      <c r="J355">
        <v>9500</v>
      </c>
      <c r="K355" t="s">
        <v>93</v>
      </c>
      <c r="L355">
        <v>21</v>
      </c>
      <c r="N355" t="s">
        <v>93</v>
      </c>
      <c r="O355">
        <v>16000</v>
      </c>
    </row>
    <row r="356" spans="1:15">
      <c r="A356" t="s">
        <v>81</v>
      </c>
      <c r="B356" t="s">
        <v>779</v>
      </c>
      <c r="C356" t="s">
        <v>780</v>
      </c>
      <c r="D356" t="str">
        <f>TEXT(Tabela7[[#This Row],[cpf]],"000\.000\.000\-00")</f>
        <v>000.000.107-00</v>
      </c>
      <c r="E356">
        <v>31</v>
      </c>
      <c r="F356">
        <v>34824</v>
      </c>
      <c r="G356" t="s">
        <v>302</v>
      </c>
      <c r="H356" t="s">
        <v>84</v>
      </c>
      <c r="I356" s="12">
        <v>29500</v>
      </c>
      <c r="J356">
        <v>5000</v>
      </c>
      <c r="K356" t="s">
        <v>50</v>
      </c>
      <c r="L356">
        <v>22</v>
      </c>
      <c r="N356" t="s">
        <v>50</v>
      </c>
      <c r="O356">
        <v>18000</v>
      </c>
    </row>
    <row r="357" spans="1:15">
      <c r="A357" t="s">
        <v>76</v>
      </c>
      <c r="B357" t="s">
        <v>781</v>
      </c>
      <c r="C357" t="s">
        <v>782</v>
      </c>
      <c r="D357" t="str">
        <f>TEXT(Tabela7[[#This Row],[cpf]],"000\.000\.000\-00")</f>
        <v>000.000.046-00</v>
      </c>
      <c r="E357">
        <v>32</v>
      </c>
      <c r="F357">
        <v>34508</v>
      </c>
      <c r="G357" t="s">
        <v>183</v>
      </c>
      <c r="H357" t="s">
        <v>183</v>
      </c>
      <c r="I357">
        <v>9800</v>
      </c>
      <c r="J357">
        <v>0</v>
      </c>
      <c r="K357" t="s">
        <v>50</v>
      </c>
      <c r="L357">
        <v>23</v>
      </c>
      <c r="N357" t="s">
        <v>50</v>
      </c>
      <c r="O357">
        <v>68000</v>
      </c>
    </row>
    <row r="358" spans="1:15">
      <c r="A358" t="s">
        <v>81</v>
      </c>
      <c r="B358" t="s">
        <v>783</v>
      </c>
      <c r="C358" t="s">
        <v>784</v>
      </c>
      <c r="D358" t="str">
        <f>TEXT(Tabela7[[#This Row],[cpf]],"000\.000\.000\-00")</f>
        <v>000.000.281-00</v>
      </c>
      <c r="E358">
        <v>51</v>
      </c>
      <c r="F358">
        <v>27590</v>
      </c>
      <c r="G358" t="s">
        <v>215</v>
      </c>
      <c r="H358" t="s">
        <v>149</v>
      </c>
      <c r="I358" t="s">
        <v>785</v>
      </c>
      <c r="J358">
        <v>0</v>
      </c>
      <c r="K358" t="s">
        <v>50</v>
      </c>
      <c r="L358">
        <v>17</v>
      </c>
      <c r="N358" t="s">
        <v>50</v>
      </c>
      <c r="O358">
        <v>55500</v>
      </c>
    </row>
    <row r="359" spans="1:15">
      <c r="B359" t="s">
        <v>786</v>
      </c>
      <c r="C359" t="s">
        <v>787</v>
      </c>
      <c r="E359">
        <v>54</v>
      </c>
      <c r="F359" s="11">
        <v>26403</v>
      </c>
      <c r="G359" t="s">
        <v>215</v>
      </c>
      <c r="H359" t="s">
        <v>149</v>
      </c>
      <c r="I359" t="s">
        <v>788</v>
      </c>
      <c r="J359" t="s">
        <v>414</v>
      </c>
      <c r="K359" t="s">
        <v>190</v>
      </c>
      <c r="L359">
        <v>32</v>
      </c>
      <c r="N359" t="s">
        <v>190</v>
      </c>
      <c r="O359">
        <v>31500</v>
      </c>
    </row>
    <row r="360" spans="1:15">
      <c r="A360" t="s">
        <v>81</v>
      </c>
      <c r="B360" t="s">
        <v>789</v>
      </c>
      <c r="C360" t="s">
        <v>790</v>
      </c>
      <c r="D360" t="str">
        <f>TEXT(Tabela7[[#This Row],[cpf]],"000\.000\.000\-00")</f>
        <v>000.000.356-00</v>
      </c>
      <c r="E360">
        <v>66</v>
      </c>
      <c r="F360" s="11">
        <v>22101</v>
      </c>
      <c r="G360" t="s">
        <v>121</v>
      </c>
      <c r="H360" t="s">
        <v>256</v>
      </c>
      <c r="I360">
        <v>16800</v>
      </c>
      <c r="J360">
        <v>79500</v>
      </c>
      <c r="K360" t="s">
        <v>50</v>
      </c>
      <c r="L360">
        <v>36</v>
      </c>
      <c r="N360" t="s">
        <v>50</v>
      </c>
      <c r="O360">
        <v>1500</v>
      </c>
    </row>
    <row r="361" spans="1:15">
      <c r="A361" t="s">
        <v>81</v>
      </c>
      <c r="B361" t="s">
        <v>683</v>
      </c>
      <c r="C361">
        <v>20300</v>
      </c>
      <c r="D361" t="str">
        <f>TEXT(Tabela7[[#This Row],[cpf]],"000\.000\.000\-00")</f>
        <v>000.000.203-00</v>
      </c>
      <c r="E361">
        <v>46</v>
      </c>
      <c r="F361" s="11">
        <v>29427</v>
      </c>
      <c r="G361" t="s">
        <v>169</v>
      </c>
      <c r="H361" t="s">
        <v>146</v>
      </c>
      <c r="J361">
        <v>37500</v>
      </c>
      <c r="K361" t="s">
        <v>50</v>
      </c>
      <c r="N361" t="s">
        <v>50</v>
      </c>
      <c r="O361">
        <v>21500</v>
      </c>
    </row>
    <row r="362" spans="1:15">
      <c r="A362" t="s">
        <v>76</v>
      </c>
      <c r="B362" t="s">
        <v>791</v>
      </c>
      <c r="C362" t="s">
        <v>792</v>
      </c>
      <c r="D362" t="str">
        <f>TEXT(Tabela7[[#This Row],[cpf]],"000\.000\.000\-00")</f>
        <v>000.000.329-00</v>
      </c>
      <c r="E362">
        <v>22</v>
      </c>
      <c r="F362" s="11">
        <v>38204</v>
      </c>
      <c r="G362" t="s">
        <v>79</v>
      </c>
      <c r="H362" t="s">
        <v>80</v>
      </c>
      <c r="I362">
        <v>10500</v>
      </c>
      <c r="J362" s="13">
        <v>50500</v>
      </c>
      <c r="K362" t="s">
        <v>50</v>
      </c>
      <c r="L362">
        <v>16</v>
      </c>
      <c r="N362" t="s">
        <v>50</v>
      </c>
      <c r="O362">
        <v>41500</v>
      </c>
    </row>
    <row r="363" spans="1:15">
      <c r="A363" t="s">
        <v>76</v>
      </c>
      <c r="B363" t="s">
        <v>793</v>
      </c>
      <c r="C363">
        <v>21400</v>
      </c>
      <c r="D363" t="str">
        <f>TEXT(Tabela7[[#This Row],[cpf]],"000\.000\.000\-00")</f>
        <v>000.000.214-00</v>
      </c>
      <c r="E363">
        <v>67</v>
      </c>
      <c r="F363" s="11">
        <v>21689</v>
      </c>
      <c r="G363" t="s">
        <v>121</v>
      </c>
      <c r="H363" t="s">
        <v>122</v>
      </c>
      <c r="I363">
        <v>10700</v>
      </c>
      <c r="J363" s="12">
        <v>9000</v>
      </c>
      <c r="K363" t="s">
        <v>50</v>
      </c>
      <c r="L363">
        <v>37</v>
      </c>
      <c r="N363" t="s">
        <v>50</v>
      </c>
      <c r="O363">
        <v>53000</v>
      </c>
    </row>
    <row r="364" spans="1:15">
      <c r="A364" t="s">
        <v>76</v>
      </c>
      <c r="B364" t="s">
        <v>794</v>
      </c>
      <c r="C364" t="s">
        <v>795</v>
      </c>
      <c r="D364" t="str">
        <f>TEXT(Tabela7[[#This Row],[cpf]],"000\.000\.000\-00")</f>
        <v>000.000.269-00</v>
      </c>
      <c r="E364">
        <v>53</v>
      </c>
      <c r="F364" s="11">
        <v>26790</v>
      </c>
      <c r="G364" t="s">
        <v>127</v>
      </c>
      <c r="H364" t="s">
        <v>122</v>
      </c>
      <c r="I364" t="s">
        <v>184</v>
      </c>
      <c r="J364" s="12">
        <v>21500</v>
      </c>
      <c r="K364" t="s">
        <v>51</v>
      </c>
      <c r="L364">
        <v>44</v>
      </c>
      <c r="N364" t="s">
        <v>51</v>
      </c>
      <c r="O364">
        <v>3500</v>
      </c>
    </row>
    <row r="365" spans="1:15">
      <c r="A365" t="s">
        <v>81</v>
      </c>
      <c r="B365" t="s">
        <v>796</v>
      </c>
      <c r="C365">
        <v>3200</v>
      </c>
      <c r="D365" t="str">
        <f>TEXT(Tabela7[[#This Row],[cpf]],"000\.000\.000\-00")</f>
        <v>000.000.032-00</v>
      </c>
      <c r="E365">
        <v>31</v>
      </c>
      <c r="F365">
        <v>34746</v>
      </c>
      <c r="G365" t="s">
        <v>127</v>
      </c>
      <c r="H365" t="s">
        <v>256</v>
      </c>
      <c r="I365" s="12">
        <v>18200</v>
      </c>
      <c r="J365">
        <v>78500</v>
      </c>
      <c r="K365" t="s">
        <v>50</v>
      </c>
      <c r="L365">
        <v>9</v>
      </c>
      <c r="N365" t="s">
        <v>50</v>
      </c>
      <c r="O365">
        <v>73000</v>
      </c>
    </row>
    <row r="366" spans="1:15">
      <c r="A366" t="s">
        <v>76</v>
      </c>
      <c r="B366" t="s">
        <v>263</v>
      </c>
      <c r="C366" t="s">
        <v>815</v>
      </c>
      <c r="D366" t="str">
        <f>TEXT(Tabela7[[#This Row],[cpf]],"000\.000\.000\-00")</f>
        <v>000.000.280-00</v>
      </c>
      <c r="E366">
        <v>41</v>
      </c>
      <c r="F366">
        <v>31156</v>
      </c>
      <c r="G366" t="s">
        <v>162</v>
      </c>
      <c r="H366" t="s">
        <v>155</v>
      </c>
      <c r="I366" s="12">
        <v>26500</v>
      </c>
      <c r="J366" t="s">
        <v>1203</v>
      </c>
      <c r="K366" t="s">
        <v>50</v>
      </c>
      <c r="L366">
        <v>5</v>
      </c>
      <c r="N366" t="s">
        <v>50</v>
      </c>
      <c r="O366">
        <v>75000</v>
      </c>
    </row>
    <row r="367" spans="1:15">
      <c r="A367" t="s">
        <v>81</v>
      </c>
      <c r="B367" t="s">
        <v>929</v>
      </c>
      <c r="C367">
        <v>20600</v>
      </c>
      <c r="D367" t="str">
        <f>TEXT(Tabela7[[#This Row],[cpf]],"000\.000\.000\-00")</f>
        <v>000.000.206-00</v>
      </c>
      <c r="E367">
        <v>55</v>
      </c>
      <c r="F367">
        <v>26075</v>
      </c>
      <c r="G367" t="s">
        <v>79</v>
      </c>
      <c r="H367" t="s">
        <v>80</v>
      </c>
      <c r="I367" s="12">
        <v>21100</v>
      </c>
      <c r="J367" s="13">
        <v>67500</v>
      </c>
      <c r="K367" t="s">
        <v>50</v>
      </c>
      <c r="L367">
        <v>15</v>
      </c>
      <c r="N367" t="s">
        <v>50</v>
      </c>
      <c r="O367">
        <v>20000</v>
      </c>
    </row>
    <row r="368" spans="1:15">
      <c r="A368" t="s">
        <v>76</v>
      </c>
      <c r="B368" t="s">
        <v>797</v>
      </c>
      <c r="C368" t="s">
        <v>798</v>
      </c>
      <c r="D368" t="str">
        <f>TEXT(Tabela7[[#This Row],[cpf]],"000\.000\.000\-00")</f>
        <v>000.000.253-00</v>
      </c>
      <c r="E368">
        <v>60</v>
      </c>
      <c r="F368">
        <v>24272</v>
      </c>
      <c r="G368" t="s">
        <v>215</v>
      </c>
      <c r="H368" t="s">
        <v>213</v>
      </c>
      <c r="I368">
        <v>17300</v>
      </c>
      <c r="J368" s="12">
        <v>15000</v>
      </c>
      <c r="K368" t="s">
        <v>50</v>
      </c>
      <c r="L368">
        <v>17</v>
      </c>
      <c r="N368" t="s">
        <v>50</v>
      </c>
      <c r="O368">
        <v>69000</v>
      </c>
    </row>
    <row r="369" spans="1:15">
      <c r="A369" t="s">
        <v>76</v>
      </c>
      <c r="B369" t="s">
        <v>799</v>
      </c>
      <c r="C369" t="s">
        <v>800</v>
      </c>
      <c r="D369" t="str">
        <f>TEXT(Tabela7[[#This Row],[cpf]],"000\.000\.000\-00")</f>
        <v>000.000.036-00</v>
      </c>
      <c r="E369">
        <v>49</v>
      </c>
      <c r="F369" s="11">
        <v>28136</v>
      </c>
      <c r="G369" t="s">
        <v>172</v>
      </c>
      <c r="H369" t="s">
        <v>216</v>
      </c>
      <c r="I369">
        <v>20300</v>
      </c>
      <c r="J369" s="13">
        <v>12000</v>
      </c>
      <c r="K369" t="s">
        <v>51</v>
      </c>
      <c r="L369">
        <v>27</v>
      </c>
      <c r="N369" t="s">
        <v>51</v>
      </c>
      <c r="O369">
        <v>67500</v>
      </c>
    </row>
  </sheetData>
  <conditionalFormatting sqref="D1:D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5531-16E9-4A5E-AA01-7DDB8F4A73D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2026-09-02T18:10:35Z</dcterms:created>
  <dcterms:modified xsi:type="dcterms:W3CDTF">2026-09-14T02:59:56Z</dcterms:modified>
  <cp:category/>
  <cp:contentStatus/>
</cp:coreProperties>
</file>